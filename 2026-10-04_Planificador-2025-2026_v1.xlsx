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eeme" sheetId="1" state="visible" r:id="rId3"/>
    <sheet name="Supuestos" sheetId="2" state="visible" r:id="rId4"/>
    <sheet name="Drivers" sheetId="3" state="visible" r:id="rId5"/>
    <sheet name="Cálculo" sheetId="4" state="visible" r:id="rId6"/>
    <sheet name="EERR" sheetId="5" state="visible" r:id="rId7"/>
    <sheet name="Por cartera" sheetId="6" state="visible" r:id="rId8"/>
    <sheet name="Dotación" sheetId="7" state="visible" r:id="rId9"/>
  </sheets>
  <definedNames>
    <definedName function="false" hidden="true" localSheetId="3" name="_xlnm._FilterDatabase" vbProcedure="false">Cálculo!$A$4:$V$216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Tipo de cambio promedio real de septiembre 2025 (fuente: KPI de operación del caso).</t>
        </r>
      </text>
    </comment>
  </commentList>
</comments>
</file>

<file path=xl/sharedStrings.xml><?xml version="1.0" encoding="utf-8"?>
<sst xmlns="http://schemas.openxmlformats.org/spreadsheetml/2006/main" count="1685" uniqueCount="266">
  <si>
    <t xml:space="preserve">Planificador · reproyección oct–dic 2025 y presupuesto 2026</t>
  </si>
  <si>
    <t xml:space="preserve">Cobranzas del Sur S.A. · datos 100% ficticios · generado el 2026-10-04</t>
  </si>
  <si>
    <t xml:space="preserve">Para qué sirve</t>
  </si>
  <si>
    <t xml:space="preserve">Arma el cierre 2025 (real ene–sep + reproyección oct–dic) y el presupuesto 2026 mes a mes, desde la operación real de jul–sep 2025.</t>
  </si>
  <si>
    <t xml:space="preserve">Qué se carga</t>
  </si>
  <si>
    <t xml:space="preserve">Celdas azules con fondo amarillo: supuestos mes a mes (hoja Supuestos) y lo que proyecta cada supervisor por cartera (hoja Drivers). Todo lo demás son fórmulas.</t>
  </si>
  <si>
    <t xml:space="preserve">Supuestos</t>
  </si>
  <si>
    <t xml:space="preserve">Inflación mensual, tipo de cambio, aumentos salariales por tramos (paritarias), aumento del precio del SMS y estacionalidad.</t>
  </si>
  <si>
    <t xml:space="preserve">Drivers por cartera</t>
  </si>
  <si>
    <t xml:space="preserve">Volumen de deuda asignada (índice real, sep-25 = 100), % de recupero, fee y posiciones. Para dar de baja una cartera, poné volumen y posiciones en 0.</t>
  </si>
  <si>
    <t xml:space="preserve">Cálculo</t>
  </si>
  <si>
    <t xml:space="preserve">Una fila por cartera y línea del estado de resultados. La columna Categoría dice con qué índice se mueve cada línea (ver la lista abajo).</t>
  </si>
  <si>
    <t xml:space="preserve">EERR</t>
  </si>
  <si>
    <t xml:space="preserve">Estado de resultados mensual: real ene–sep, reproyección oct–dic, cierre 2025 contra presupuesto 2025, y presupuesto 2026 mes a mes.</t>
  </si>
  <si>
    <t xml:space="preserve">Por cartera</t>
  </si>
  <si>
    <t xml:space="preserve">Ingresos y margen de contribución por cartera para el cierre 2025 y el presupuesto 2026.</t>
  </si>
  <si>
    <t xml:space="preserve">Dotación</t>
  </si>
  <si>
    <t xml:space="preserve">Posiciones por cartera y remuneraciones operativas. Información sensible: solo RRHH, Gerencia y Control de Gestión.</t>
  </si>
  <si>
    <t xml:space="preserve">Base</t>
  </si>
  <si>
    <t xml:space="preserve">Run-rate de jul–sep 2025 llevado a precios de septiembre; los ingresos se desestacionalizan y la estacionalidad se vuelve a aplicar mes a mes.</t>
  </si>
  <si>
    <t xml:space="preserve">Montos</t>
  </si>
  <si>
    <t xml:space="preserve">En pesos; las tablas de resultados se muestran en millones (formato de celda). Índices: sep-25 = 1.</t>
  </si>
  <si>
    <t xml:space="preserve">Al abrir</t>
  </si>
  <si>
    <t xml:space="preserve">Si Excel abre en Vista protegida y ves celdas vacías, tocá «Habilitar edición»: el archivo recalcula todo al abrir.</t>
  </si>
  <si>
    <t xml:space="preserve">Categorías de cálculo</t>
  </si>
  <si>
    <t xml:space="preserve">rev</t>
  </si>
  <si>
    <t xml:space="preserve">Ingreso: precios (o TC) × volumen × recupero × fee × estacionalidad</t>
  </si>
  <si>
    <t xml:space="preserve">iibb</t>
  </si>
  <si>
    <t xml:space="preserve">Igual que el ingreso (es un % de lo facturado)</t>
  </si>
  <si>
    <t xml:space="preserve">pos_sal</t>
  </si>
  <si>
    <t xml:space="preserve">Índice salarial × posiciones</t>
  </si>
  <si>
    <t xml:space="preserve">pos_usd</t>
  </si>
  <si>
    <t xml:space="preserve">Índice de TC × posiciones</t>
  </si>
  <si>
    <t xml:space="preserve">pos_inf</t>
  </si>
  <si>
    <t xml:space="preserve">Índice de precios × posiciones</t>
  </si>
  <si>
    <t xml:space="preserve">vol_usd</t>
  </si>
  <si>
    <t xml:space="preserve">Índice de TC × volumen</t>
  </si>
  <si>
    <t xml:space="preserve">vol_inf</t>
  </si>
  <si>
    <t xml:space="preserve">Índice de precios × volumen</t>
  </si>
  <si>
    <t xml:space="preserve">sms</t>
  </si>
  <si>
    <t xml:space="preserve">Índice de precio SMS × volumen</t>
  </si>
  <si>
    <t xml:space="preserve">zero</t>
  </si>
  <si>
    <t xml:space="preserve">No se presupuesta (se carga aparte si hay desvinculaciones)</t>
  </si>
  <si>
    <t xml:space="preserve">sal</t>
  </si>
  <si>
    <t xml:space="preserve">Índice salarial</t>
  </si>
  <si>
    <t xml:space="preserve">usd</t>
  </si>
  <si>
    <t xml:space="preserve">Índice de TC</t>
  </si>
  <si>
    <t xml:space="preserve">inf</t>
  </si>
  <si>
    <t xml:space="preserve">Índice de precios</t>
  </si>
  <si>
    <t xml:space="preserve">fix</t>
  </si>
  <si>
    <t xml:space="preserve">Fijo</t>
  </si>
  <si>
    <t xml:space="preserve">ic</t>
  </si>
  <si>
    <t xml:space="preserve">difc</t>
  </si>
  <si>
    <t xml:space="preserve">Saldo US$ × variación del TC</t>
  </si>
  <si>
    <t xml:space="preserve">tax</t>
  </si>
  <si>
    <t xml:space="preserve">Tasa × resultado antes de impuestos</t>
  </si>
  <si>
    <t xml:space="preserve">Colores</t>
  </si>
  <si>
    <t xml:space="preserve">1.234</t>
  </si>
  <si>
    <t xml:space="preserve">Dato que se carga (supuesto o proyección)</t>
  </si>
  <si>
    <t xml:space="preserve">Fórmula</t>
  </si>
  <si>
    <t xml:space="preserve">Vínculo a otra hoja</t>
  </si>
  <si>
    <t xml:space="preserve">Supuestos mes a mes</t>
  </si>
  <si>
    <t xml:space="preserve">Celdas azules: se cargan. Índices con base sep-25 = 1.</t>
  </si>
  <si>
    <t xml:space="preserve">Supuesto</t>
  </si>
  <si>
    <t xml:space="preserve">Unidad</t>
  </si>
  <si>
    <t xml:space="preserve">Base sep-25</t>
  </si>
  <si>
    <t xml:space="preserve">oct-25</t>
  </si>
  <si>
    <t xml:space="preserve">nov-25</t>
  </si>
  <si>
    <t xml:space="preserve">dic-25</t>
  </si>
  <si>
    <t xml:space="preserve">ene-26</t>
  </si>
  <si>
    <t xml:space="preserve">feb-26</t>
  </si>
  <si>
    <t xml:space="preserve">mar-26</t>
  </si>
  <si>
    <t xml:space="preserve">abr-26</t>
  </si>
  <si>
    <t xml:space="preserve">may-26</t>
  </si>
  <si>
    <t xml:space="preserve">jun-26</t>
  </si>
  <si>
    <t xml:space="preserve">jul-26</t>
  </si>
  <si>
    <t xml:space="preserve">ago-26</t>
  </si>
  <si>
    <t xml:space="preserve">sep-26</t>
  </si>
  <si>
    <t xml:space="preserve">oct-26</t>
  </si>
  <si>
    <t xml:space="preserve">nov-26</t>
  </si>
  <si>
    <t xml:space="preserve">dic-26</t>
  </si>
  <si>
    <t xml:space="preserve">Comentario</t>
  </si>
  <si>
    <t xml:space="preserve">Inflación mensual</t>
  </si>
  <si>
    <t xml:space="preserve">%</t>
  </si>
  <si>
    <t xml:space="preserve">Variación mensual de precios. Ajusta la deuda en pesos (y el ingreso) y los costos que siguen a la inflación.</t>
  </si>
  <si>
    <t xml:space="preserve">índice</t>
  </si>
  <si>
    <t xml:space="preserve">Acumula la inflación desde sep-25.</t>
  </si>
  <si>
    <t xml:space="preserve">Tipo de cambio promedio</t>
  </si>
  <si>
    <t xml:space="preserve">$ / US$</t>
  </si>
  <si>
    <t xml:space="preserve">Mueve los ingresos de carteras en dólares y los costos en dólares (Paraguay, licencias, mailing).</t>
  </si>
  <si>
    <t xml:space="preserve">Índice de tipo de cambio</t>
  </si>
  <si>
    <t xml:space="preserve">TC del mes / TC de sep-25.</t>
  </si>
  <si>
    <t xml:space="preserve">Aumento salarial del mes (paritaria)</t>
  </si>
  <si>
    <t xml:space="preserve">Cargá el % en el mes del tramo (trimestral, bimestral o mensual).</t>
  </si>
  <si>
    <t xml:space="preserve">Acumula los tramos de paritaria.</t>
  </si>
  <si>
    <t xml:space="preserve">Aumento del precio del SMS</t>
  </si>
  <si>
    <t xml:space="preserve">Por defecto, igual a la inflación.</t>
  </si>
  <si>
    <t xml:space="preserve">Índice de precio SMS</t>
  </si>
  <si>
    <t xml:space="preserve">Estacionalidad de ingresos</t>
  </si>
  <si>
    <t xml:space="preserve">factor</t>
  </si>
  <si>
    <t xml:space="preserve">Factor del mes calendario (1 = mes promedio).</t>
  </si>
  <si>
    <t xml:space="preserve">Parámetros</t>
  </si>
  <si>
    <t xml:space="preserve">Saldo a cobrar intercompany</t>
  </si>
  <si>
    <t xml:space="preserve">US$</t>
  </si>
  <si>
    <t xml:space="preserve">Promedio jul–sep 2025. La diferencia de cambio del mes = saldo × variación del TC.</t>
  </si>
  <si>
    <t xml:space="preserve">Tasa de impuesto a las ganancias</t>
  </si>
  <si>
    <t xml:space="preserve">Drivers por cartera · lo que proyecta cada supervisor</t>
  </si>
  <si>
    <t xml:space="preserve">Volumen: índice real (sep-25 = 100). Recupero y fee en %. Posiciones: operadores en Argentina + posiciones en Paraguay.</t>
  </si>
  <si>
    <t xml:space="preserve">Cartera / driver</t>
  </si>
  <si>
    <t xml:space="preserve">TMV · Telco Móvil · Temprana (ARS)</t>
  </si>
  <si>
    <t xml:space="preserve">   Volumen asignado</t>
  </si>
  <si>
    <t xml:space="preserve">   % de recupero</t>
  </si>
  <si>
    <t xml:space="preserve">   Fee</t>
  </si>
  <si>
    <t xml:space="preserve">   Posiciones</t>
  </si>
  <si>
    <t xml:space="preserve">n</t>
  </si>
  <si>
    <t xml:space="preserve">TFP · Tarjeta Federal · Prelegal (ARS)</t>
  </si>
  <si>
    <t xml:space="preserve">RSM · Retail Sur · Temprana (ARS)</t>
  </si>
  <si>
    <t xml:space="preserve">FPG · Fintech Pago · Temprana (ARS)</t>
  </si>
  <si>
    <t xml:space="preserve">GNM · Gas Natural · Masiva (ARS)</t>
  </si>
  <si>
    <t xml:space="preserve">CFM · Cable &amp; Fibra · Masiva (ARS)</t>
  </si>
  <si>
    <t xml:space="preserve">PUY · Préstamos Uruguay · Temprana (USD)</t>
  </si>
  <si>
    <t xml:space="preserve">TUY · Telco Uruguay · Temprana (USD)</t>
  </si>
  <si>
    <t xml:space="preserve">BNP · Banco Norte · Prelegal (ARS)</t>
  </si>
  <si>
    <t xml:space="preserve">POA · Pool Argentina · Multicedente (ARS)</t>
  </si>
  <si>
    <t xml:space="preserve">POC · Pool Judicial · Servicios (ARS)</t>
  </si>
  <si>
    <t xml:space="preserve">TKV · Telemarketing · Seguros (ARS)</t>
  </si>
  <si>
    <t xml:space="preserve">Cálculo por cartera y línea</t>
  </si>
  <si>
    <t xml:space="preserve">Cada celda = base mensual × índices de la categoría. No se carga nada acá.</t>
  </si>
  <si>
    <t xml:space="preserve">Ámbito</t>
  </si>
  <si>
    <t xml:space="preserve">Moneda</t>
  </si>
  <si>
    <t xml:space="preserve">N1</t>
  </si>
  <si>
    <t xml:space="preserve">N2</t>
  </si>
  <si>
    <t xml:space="preserve">Ítem</t>
  </si>
  <si>
    <t xml:space="preserve">Categoría</t>
  </si>
  <si>
    <t xml:space="preserve">Base mensual sep-25 ($)</t>
  </si>
  <si>
    <t xml:space="preserve">TMV</t>
  </si>
  <si>
    <t xml:space="preserve">ARS</t>
  </si>
  <si>
    <t xml:space="preserve">1 Ingreso Operacional</t>
  </si>
  <si>
    <t xml:space="preserve">1.1 Ingreso Cobranzas</t>
  </si>
  <si>
    <t xml:space="preserve">Ingreso por recupero</t>
  </si>
  <si>
    <t xml:space="preserve">2 Costos de Explotación</t>
  </si>
  <si>
    <t xml:space="preserve">2.1 Remuneraciones</t>
  </si>
  <si>
    <t xml:space="preserve">Operadores</t>
  </si>
  <si>
    <t xml:space="preserve">Supervisión</t>
  </si>
  <si>
    <t xml:space="preserve">Calidad</t>
  </si>
  <si>
    <t xml:space="preserve">Back Office</t>
  </si>
  <si>
    <t xml:space="preserve">Ejecutivos de cuenta</t>
  </si>
  <si>
    <t xml:space="preserve">Gerencia de Operaciones</t>
  </si>
  <si>
    <t xml:space="preserve">Indemnizaciones</t>
  </si>
  <si>
    <t xml:space="preserve">2.2 Servicios de Terceros</t>
  </si>
  <si>
    <t xml:space="preserve">Posiciones Paraguay</t>
  </si>
  <si>
    <t xml:space="preserve">2.3 Licencias</t>
  </si>
  <si>
    <t xml:space="preserve">Licencias discador/CRM</t>
  </si>
  <si>
    <t xml:space="preserve">2.5 Telefonía</t>
  </si>
  <si>
    <t xml:space="preserve">Telefonía celular</t>
  </si>
  <si>
    <t xml:space="preserve">Telefonía LDN</t>
  </si>
  <si>
    <t xml:space="preserve">Telefonía local y 0800</t>
  </si>
  <si>
    <t xml:space="preserve">2.6 SMS</t>
  </si>
  <si>
    <t xml:space="preserve">SMS</t>
  </si>
  <si>
    <t xml:space="preserve">2.7 Bocas de Cobranza</t>
  </si>
  <si>
    <t xml:space="preserve">Bocas de cobranza</t>
  </si>
  <si>
    <t xml:space="preserve">2.8 Mailing</t>
  </si>
  <si>
    <t xml:space="preserve">Mailing</t>
  </si>
  <si>
    <t xml:space="preserve">2.9 Informes Comerciales</t>
  </si>
  <si>
    <t xml:space="preserve">Informes comerciales</t>
  </si>
  <si>
    <t xml:space="preserve">2.12 WhatsApp</t>
  </si>
  <si>
    <t xml:space="preserve">WhatsApp</t>
  </si>
  <si>
    <t xml:space="preserve">3 Impuestos Directos</t>
  </si>
  <si>
    <t xml:space="preserve">3.1 Ingresos Brutos</t>
  </si>
  <si>
    <t xml:space="preserve">Ingresos Brutos</t>
  </si>
  <si>
    <t xml:space="preserve">TFP</t>
  </si>
  <si>
    <t xml:space="preserve">RSM</t>
  </si>
  <si>
    <t xml:space="preserve">FPG</t>
  </si>
  <si>
    <t xml:space="preserve">GNM</t>
  </si>
  <si>
    <t xml:space="preserve">CFM</t>
  </si>
  <si>
    <t xml:space="preserve">PUY</t>
  </si>
  <si>
    <t xml:space="preserve">USD</t>
  </si>
  <si>
    <t xml:space="preserve">TUY</t>
  </si>
  <si>
    <t xml:space="preserve">BNP</t>
  </si>
  <si>
    <t xml:space="preserve">POA</t>
  </si>
  <si>
    <t xml:space="preserve">POC</t>
  </si>
  <si>
    <t xml:space="preserve">TKV</t>
  </si>
  <si>
    <t xml:space="preserve">1.3 Ingreso Ventas</t>
  </si>
  <si>
    <t xml:space="preserve">Comisiones por venta</t>
  </si>
  <si>
    <t xml:space="preserve">Estructura</t>
  </si>
  <si>
    <t xml:space="preserve">4 Gastos de Estructura</t>
  </si>
  <si>
    <t xml:space="preserve">4.1 Remuneraciones Staff</t>
  </si>
  <si>
    <t xml:space="preserve">Remuneraciones staff</t>
  </si>
  <si>
    <t xml:space="preserve">4.2 Honorarios</t>
  </si>
  <si>
    <t xml:space="preserve">Honorarios</t>
  </si>
  <si>
    <t xml:space="preserve">4.3 Mantenimiento de Oficina</t>
  </si>
  <si>
    <t xml:space="preserve">Mantenimiento y servicios</t>
  </si>
  <si>
    <t xml:space="preserve">4.4 Alquileres</t>
  </si>
  <si>
    <t xml:space="preserve">Alquileres</t>
  </si>
  <si>
    <t xml:space="preserve">4.6 Otros Gastos</t>
  </si>
  <si>
    <t xml:space="preserve">Infraestructura TI (USD)</t>
  </si>
  <si>
    <t xml:space="preserve">Otros gastos</t>
  </si>
  <si>
    <t xml:space="preserve">5 Resultado No Operacional</t>
  </si>
  <si>
    <t xml:space="preserve">5.1 Amortizaciones</t>
  </si>
  <si>
    <t xml:space="preserve">Amortizaciones</t>
  </si>
  <si>
    <t xml:space="preserve">5.2 Resultados Financieros</t>
  </si>
  <si>
    <t xml:space="preserve">Gastos bancarios e intereses</t>
  </si>
  <si>
    <t xml:space="preserve">Diferencia de cambio</t>
  </si>
  <si>
    <t xml:space="preserve">5.3 Recupero Intercompany</t>
  </si>
  <si>
    <t xml:space="preserve">Recupero gastos intercompany</t>
  </si>
  <si>
    <t xml:space="preserve">6 Impuestos</t>
  </si>
  <si>
    <t xml:space="preserve">6.1 Impuesto a las Ganancias</t>
  </si>
  <si>
    <t xml:space="preserve">Impuesto a las ganancias</t>
  </si>
  <si>
    <t xml:space="preserve">Estado de resultados de gestión · cierre 2025 y presupuesto 2026</t>
  </si>
  <si>
    <t xml:space="preserve">En millones de pesos (formato de celda). Real ene–sep: datos de gestión; oct–dic: reproyección; 2026: presupuesto. Si ves celdas vacías, habilitá la edición.</t>
  </si>
  <si>
    <t xml:space="preserve">Línea</t>
  </si>
  <si>
    <t xml:space="preserve">Real ene–sep 2025</t>
  </si>
  <si>
    <t xml:space="preserve">Cierre 2025</t>
  </si>
  <si>
    <t xml:space="preserve">Presupuesto 2025</t>
  </si>
  <si>
    <t xml:space="preserve">Cierre vs presup.</t>
  </si>
  <si>
    <t xml:space="preserve">Total 2026</t>
  </si>
  <si>
    <t xml:space="preserve">2026 vs cierre 2025</t>
  </si>
  <si>
    <t xml:space="preserve">Margen bruto</t>
  </si>
  <si>
    <t xml:space="preserve">   % sobre ingresos</t>
  </si>
  <si>
    <t xml:space="preserve">Margen operativo</t>
  </si>
  <si>
    <t xml:space="preserve">Resultado antes de impuestos</t>
  </si>
  <si>
    <t xml:space="preserve">Utilidad neta</t>
  </si>
  <si>
    <t xml:space="preserve">Por cartera · margen de contribución</t>
  </si>
  <si>
    <t xml:space="preserve">Ingresos y margen (ingresos menos costos directos y asignados de la cartera). En millones de pesos.</t>
  </si>
  <si>
    <t xml:space="preserve">Código</t>
  </si>
  <si>
    <t xml:space="preserve">Cartera</t>
  </si>
  <si>
    <t xml:space="preserve">Ingresos oct–dic 25</t>
  </si>
  <si>
    <t xml:space="preserve">Margen oct–dic 25</t>
  </si>
  <si>
    <t xml:space="preserve">Ingresos 2026</t>
  </si>
  <si>
    <t xml:space="preserve">Margen 2026</t>
  </si>
  <si>
    <t xml:space="preserve">Margen % 2026</t>
  </si>
  <si>
    <t xml:space="preserve">Posiciones promedio 2026</t>
  </si>
  <si>
    <t xml:space="preserve">Ingreso mensual por posición 2026</t>
  </si>
  <si>
    <t xml:space="preserve">Telco Móvil · Temprana</t>
  </si>
  <si>
    <t xml:space="preserve">Tarjeta Federal · Prelegal</t>
  </si>
  <si>
    <t xml:space="preserve">Retail Sur · Temprana</t>
  </si>
  <si>
    <t xml:space="preserve">Fintech Pago · Temprana</t>
  </si>
  <si>
    <t xml:space="preserve">Gas Natural · Masiva</t>
  </si>
  <si>
    <t xml:space="preserve">Cable &amp; Fibra · Masiva</t>
  </si>
  <si>
    <t xml:space="preserve">Préstamos Uruguay · Temprana</t>
  </si>
  <si>
    <t xml:space="preserve">Telco Uruguay · Temprana</t>
  </si>
  <si>
    <t xml:space="preserve">Banco Norte · Prelegal</t>
  </si>
  <si>
    <t xml:space="preserve">Pool Argentina · Multicedente</t>
  </si>
  <si>
    <t xml:space="preserve">Pool Judicial · Servicios</t>
  </si>
  <si>
    <t xml:space="preserve">Telemarketing · Seguros</t>
  </si>
  <si>
    <t xml:space="preserve">Total carteras</t>
  </si>
  <si>
    <t xml:space="preserve">Dotación y remuneraciones operativas</t>
  </si>
  <si>
    <t xml:space="preserve">Información sensible: solo RRHH, Gerencia y Control de Gestión.</t>
  </si>
  <si>
    <t xml:space="preserve">Sep-25</t>
  </si>
  <si>
    <t xml:space="preserve">TMV · Telco Móvil · Temprana</t>
  </si>
  <si>
    <t xml:space="preserve">TFP · Tarjeta Federal · Prelegal</t>
  </si>
  <si>
    <t xml:space="preserve">RSM · Retail Sur · Temprana</t>
  </si>
  <si>
    <t xml:space="preserve">FPG · Fintech Pago · Temprana</t>
  </si>
  <si>
    <t xml:space="preserve">GNM · Gas Natural · Masiva</t>
  </si>
  <si>
    <t xml:space="preserve">CFM · Cable &amp; Fibra · Masiva</t>
  </si>
  <si>
    <t xml:space="preserve">PUY · Préstamos Uruguay · Temprana</t>
  </si>
  <si>
    <t xml:space="preserve">TUY · Telco Uruguay · Temprana</t>
  </si>
  <si>
    <t xml:space="preserve">BNP · Banco Norte · Prelegal</t>
  </si>
  <si>
    <t xml:space="preserve">POA · Pool Argentina · Multicedente</t>
  </si>
  <si>
    <t xml:space="preserve">POC · Pool Judicial · Servicios</t>
  </si>
  <si>
    <t xml:space="preserve">TKV · Telemarketing · Seguros</t>
  </si>
  <si>
    <t xml:space="preserve">Total posiciones</t>
  </si>
  <si>
    <t xml:space="preserve">Remuneraciones operativas ($)</t>
  </si>
  <si>
    <t xml:space="preserve">Costo mensual por posición ($)</t>
  </si>
  <si>
    <t xml:space="preserve">Índice salarial (sep-25 = 1)</t>
  </si>
  <si>
    <t xml:space="preserve">Remuneraciones operativas: operadores, supervisión, calidad, back office, ejecutivos de cuenta y gerencia de operaciones (categoría pos_sal), en millones.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</si>
</sst>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0.0000"/>
    <numFmt numFmtId="167" formatCode="#,##0;\(#,##0\);\-"/>
    <numFmt numFmtId="168" formatCode="0.00"/>
    <numFmt numFmtId="169" formatCode="0.0"/>
    <numFmt numFmtId="170" formatCode="0.00%"/>
    <numFmt numFmtId="171" formatCode="0"/>
    <numFmt numFmtId="172" formatCode="#,##0.0,,;\(#,##0.0,,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94B"/>
      <name val="Arial"/>
      <family val="0"/>
      <charset val="1"/>
    </font>
    <font>
      <sz val="10"/>
      <color rgb="FF5D687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3294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D6874"/>
      <name val="Arial"/>
      <family val="0"/>
      <charset val="1"/>
    </font>
    <font>
      <sz val="10"/>
      <name val="Arial"/>
      <family val="2"/>
    </font>
    <font>
      <i val="true"/>
      <sz val="10"/>
      <color rgb="FF5D6874"/>
      <name val="Arial"/>
      <family val="0"/>
      <charset val="1"/>
    </font>
    <font>
      <b val="true"/>
      <sz val="10"/>
      <color rgb="FFA82A2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5F7FA"/>
      </patternFill>
    </fill>
    <fill>
      <patternFill patternType="solid">
        <fgColor rgb="FF13294B"/>
        <bgColor rgb="FF333333"/>
      </patternFill>
    </fill>
    <fill>
      <patternFill patternType="solid">
        <fgColor rgb="FFEEF2F7"/>
        <bgColor rgb="FFF5F7FA"/>
      </patternFill>
    </fill>
    <fill>
      <patternFill patternType="solid">
        <fgColor rgb="FFF5F7FA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B949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329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874"/>
      <rgbColor rgb="FF8B949E"/>
      <rgbColor rgb="FF13294B"/>
      <rgbColor rgb="FF339966"/>
      <rgbColor rgb="FF003300"/>
      <rgbColor rgb="FF333300"/>
      <rgbColor rgb="FFA82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  <c r="B17" s="6" t="s">
        <v>26</v>
      </c>
    </row>
    <row r="18" customFormat="false" ht="15" hidden="false" customHeight="false" outlineLevel="0" collapsed="false">
      <c r="A18" s="6" t="s">
        <v>27</v>
      </c>
      <c r="B18" s="6" t="s">
        <v>28</v>
      </c>
    </row>
    <row r="19" customFormat="false" ht="15" hidden="false" customHeight="false" outlineLevel="0" collapsed="false">
      <c r="A19" s="6" t="s">
        <v>29</v>
      </c>
      <c r="B19" s="6" t="s">
        <v>30</v>
      </c>
    </row>
    <row r="20" customFormat="false" ht="15" hidden="false" customHeight="false" outlineLevel="0" collapsed="false">
      <c r="A20" s="6" t="s">
        <v>31</v>
      </c>
      <c r="B20" s="6" t="s">
        <v>32</v>
      </c>
    </row>
    <row r="21" customFormat="false" ht="15" hidden="false" customHeight="false" outlineLevel="0" collapsed="false">
      <c r="A21" s="6" t="s">
        <v>33</v>
      </c>
      <c r="B21" s="6" t="s">
        <v>34</v>
      </c>
    </row>
    <row r="22" customFormat="false" ht="15" hidden="false" customHeight="false" outlineLevel="0" collapsed="false">
      <c r="A22" s="6" t="s">
        <v>35</v>
      </c>
      <c r="B22" s="6" t="s">
        <v>36</v>
      </c>
    </row>
    <row r="23" customFormat="false" ht="15" hidden="false" customHeight="false" outlineLevel="0" collapsed="false">
      <c r="A23" s="6" t="s">
        <v>37</v>
      </c>
      <c r="B23" s="6" t="s">
        <v>38</v>
      </c>
    </row>
    <row r="24" customFormat="false" ht="15" hidden="false" customHeight="false" outlineLevel="0" collapsed="false">
      <c r="A24" s="6" t="s">
        <v>39</v>
      </c>
      <c r="B24" s="6" t="s">
        <v>40</v>
      </c>
    </row>
    <row r="25" customFormat="false" ht="15" hidden="false" customHeight="false" outlineLevel="0" collapsed="false">
      <c r="A25" s="6" t="s">
        <v>41</v>
      </c>
      <c r="B25" s="6" t="s">
        <v>42</v>
      </c>
    </row>
    <row r="26" customFormat="false" ht="15" hidden="false" customHeight="false" outlineLevel="0" collapsed="false">
      <c r="A26" s="6" t="s">
        <v>43</v>
      </c>
      <c r="B26" s="6" t="s">
        <v>44</v>
      </c>
    </row>
    <row r="27" customFormat="false" ht="15" hidden="false" customHeight="false" outlineLevel="0" collapsed="false">
      <c r="A27" s="6" t="s">
        <v>45</v>
      </c>
      <c r="B27" s="6" t="s">
        <v>46</v>
      </c>
    </row>
    <row r="28" customFormat="false" ht="15" hidden="false" customHeight="false" outlineLevel="0" collapsed="false">
      <c r="A28" s="6" t="s">
        <v>47</v>
      </c>
      <c r="B28" s="6" t="s">
        <v>48</v>
      </c>
    </row>
    <row r="29" customFormat="false" ht="15" hidden="false" customHeight="false" outlineLevel="0" collapsed="false">
      <c r="A29" s="6" t="s">
        <v>49</v>
      </c>
      <c r="B29" s="6" t="s">
        <v>50</v>
      </c>
    </row>
    <row r="30" customFormat="false" ht="15" hidden="false" customHeight="false" outlineLevel="0" collapsed="false">
      <c r="A30" s="6" t="s">
        <v>51</v>
      </c>
      <c r="B30" s="6" t="s">
        <v>44</v>
      </c>
    </row>
    <row r="31" customFormat="false" ht="15" hidden="false" customHeight="false" outlineLevel="0" collapsed="false">
      <c r="A31" s="6" t="s">
        <v>52</v>
      </c>
      <c r="B31" s="6" t="s">
        <v>53</v>
      </c>
    </row>
    <row r="32" customFormat="false" ht="15" hidden="false" customHeight="false" outlineLevel="0" collapsed="false">
      <c r="A32" s="6" t="s">
        <v>54</v>
      </c>
      <c r="B32" s="6" t="s">
        <v>55</v>
      </c>
    </row>
    <row r="34" customFormat="false" ht="15" hidden="false" customHeight="false" outlineLevel="0" collapsed="false">
      <c r="A34" s="5" t="s">
        <v>56</v>
      </c>
    </row>
    <row r="35" customFormat="false" ht="15" hidden="false" customHeight="false" outlineLevel="0" collapsed="false">
      <c r="A35" s="7" t="s">
        <v>57</v>
      </c>
      <c r="B35" s="6" t="s">
        <v>58</v>
      </c>
    </row>
    <row r="36" customFormat="false" ht="15" hidden="false" customHeight="false" outlineLevel="0" collapsed="false">
      <c r="A36" s="6" t="s">
        <v>57</v>
      </c>
      <c r="B36" s="6" t="s">
        <v>59</v>
      </c>
    </row>
    <row r="37" customFormat="false" ht="15" hidden="false" customHeight="false" outlineLevel="0" collapsed="false">
      <c r="A37" s="8" t="s">
        <v>57</v>
      </c>
      <c r="B37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18" min="4" style="0" width="10.51"/>
    <col collapsed="false" customWidth="true" hidden="false" outlineLevel="0" max="19" min="19" style="0" width="7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0" hidden="false" customHeight="true" outlineLevel="0" collapsed="false">
      <c r="A4" s="9" t="s">
        <v>63</v>
      </c>
      <c r="B4" s="10" t="s">
        <v>64</v>
      </c>
      <c r="C4" s="10" t="s">
        <v>65</v>
      </c>
      <c r="D4" s="10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  <c r="M4" s="10" t="s">
        <v>75</v>
      </c>
      <c r="N4" s="10" t="s">
        <v>76</v>
      </c>
      <c r="O4" s="10" t="s">
        <v>77</v>
      </c>
      <c r="P4" s="10" t="s">
        <v>78</v>
      </c>
      <c r="Q4" s="10" t="s">
        <v>79</v>
      </c>
      <c r="R4" s="10" t="s">
        <v>80</v>
      </c>
      <c r="S4" s="10" t="s">
        <v>81</v>
      </c>
    </row>
    <row r="5" customFormat="false" ht="15" hidden="false" customHeight="false" outlineLevel="0" collapsed="false">
      <c r="A5" s="6" t="s">
        <v>82</v>
      </c>
      <c r="B5" s="2" t="s">
        <v>83</v>
      </c>
      <c r="D5" s="11" t="n">
        <v>0.023</v>
      </c>
      <c r="E5" s="11" t="n">
        <v>0.023</v>
      </c>
      <c r="F5" s="11" t="n">
        <v>0.023</v>
      </c>
      <c r="G5" s="11" t="n">
        <v>0.019</v>
      </c>
      <c r="H5" s="11" t="n">
        <v>0.019</v>
      </c>
      <c r="I5" s="11" t="n">
        <v>0.019</v>
      </c>
      <c r="J5" s="11" t="n">
        <v>0.019</v>
      </c>
      <c r="K5" s="11" t="n">
        <v>0.019</v>
      </c>
      <c r="L5" s="11" t="n">
        <v>0.019</v>
      </c>
      <c r="M5" s="11" t="n">
        <v>0.019</v>
      </c>
      <c r="N5" s="11" t="n">
        <v>0.019</v>
      </c>
      <c r="O5" s="11" t="n">
        <v>0.019</v>
      </c>
      <c r="P5" s="11" t="n">
        <v>0.019</v>
      </c>
      <c r="Q5" s="11" t="n">
        <v>0.019</v>
      </c>
      <c r="R5" s="11" t="n">
        <v>0.019</v>
      </c>
      <c r="S5" s="12" t="s">
        <v>84</v>
      </c>
    </row>
    <row r="6" customFormat="false" ht="15" hidden="false" customHeight="false" outlineLevel="0" collapsed="false">
      <c r="A6" s="3" t="s">
        <v>48</v>
      </c>
      <c r="B6" s="2" t="s">
        <v>85</v>
      </c>
      <c r="C6" s="13" t="n">
        <v>1</v>
      </c>
      <c r="D6" s="13" t="n">
        <f aca="false">C6*(1+D5)</f>
        <v>1.023</v>
      </c>
      <c r="E6" s="13" t="n">
        <f aca="false">D6*(1+E5)</f>
        <v>1.046529</v>
      </c>
      <c r="F6" s="13" t="n">
        <f aca="false">E6*(1+F5)</f>
        <v>1.070599167</v>
      </c>
      <c r="G6" s="13" t="n">
        <f aca="false">F6*(1+G5)</f>
        <v>1.090940551173</v>
      </c>
      <c r="H6" s="13" t="n">
        <f aca="false">G6*(1+H5)</f>
        <v>1.11166842164529</v>
      </c>
      <c r="I6" s="13" t="n">
        <f aca="false">H6*(1+I5)</f>
        <v>1.13279012165655</v>
      </c>
      <c r="J6" s="13" t="n">
        <f aca="false">I6*(1+J5)</f>
        <v>1.15431313396802</v>
      </c>
      <c r="K6" s="13" t="n">
        <f aca="false">J6*(1+K5)</f>
        <v>1.17624508351341</v>
      </c>
      <c r="L6" s="13" t="n">
        <f aca="false">K6*(1+L5)</f>
        <v>1.19859374010017</v>
      </c>
      <c r="M6" s="13" t="n">
        <f aca="false">L6*(1+M5)</f>
        <v>1.22136702116207</v>
      </c>
      <c r="N6" s="13" t="n">
        <f aca="false">M6*(1+N5)</f>
        <v>1.24457299456415</v>
      </c>
      <c r="O6" s="13" t="n">
        <f aca="false">N6*(1+O5)</f>
        <v>1.26821988146087</v>
      </c>
      <c r="P6" s="13" t="n">
        <f aca="false">O6*(1+P5)</f>
        <v>1.29231605920863</v>
      </c>
      <c r="Q6" s="13" t="n">
        <f aca="false">P6*(1+Q5)</f>
        <v>1.31687006433359</v>
      </c>
      <c r="R6" s="13" t="n">
        <f aca="false">Q6*(1+R5)</f>
        <v>1.34189059555593</v>
      </c>
      <c r="S6" s="12" t="s">
        <v>86</v>
      </c>
    </row>
    <row r="7" customFormat="false" ht="15" hidden="false" customHeight="false" outlineLevel="0" collapsed="false">
      <c r="A7" s="6" t="s">
        <v>87</v>
      </c>
      <c r="B7" s="2" t="s">
        <v>88</v>
      </c>
      <c r="C7" s="14" t="n">
        <v>1365</v>
      </c>
      <c r="D7" s="14" t="n">
        <v>1398</v>
      </c>
      <c r="E7" s="14" t="n">
        <v>1432</v>
      </c>
      <c r="F7" s="14" t="n">
        <v>1465</v>
      </c>
      <c r="G7" s="14" t="n">
        <v>1489</v>
      </c>
      <c r="H7" s="14" t="n">
        <v>1512</v>
      </c>
      <c r="I7" s="14" t="n">
        <v>1536</v>
      </c>
      <c r="J7" s="14" t="n">
        <v>1560</v>
      </c>
      <c r="K7" s="14" t="n">
        <v>1584</v>
      </c>
      <c r="L7" s="14" t="n">
        <v>1608</v>
      </c>
      <c r="M7" s="14" t="n">
        <v>1631</v>
      </c>
      <c r="N7" s="14" t="n">
        <v>1655</v>
      </c>
      <c r="O7" s="14" t="n">
        <v>1679</v>
      </c>
      <c r="P7" s="14" t="n">
        <v>1702</v>
      </c>
      <c r="Q7" s="14" t="n">
        <v>1726</v>
      </c>
      <c r="R7" s="14" t="n">
        <v>1750</v>
      </c>
      <c r="S7" s="12" t="s">
        <v>89</v>
      </c>
    </row>
    <row r="8" customFormat="false" ht="15" hidden="false" customHeight="false" outlineLevel="0" collapsed="false">
      <c r="A8" s="3" t="s">
        <v>90</v>
      </c>
      <c r="B8" s="2" t="s">
        <v>85</v>
      </c>
      <c r="C8" s="13" t="n">
        <v>1</v>
      </c>
      <c r="D8" s="13" t="n">
        <f aca="false">D7/$C$7</f>
        <v>1.02417582417582</v>
      </c>
      <c r="E8" s="13" t="n">
        <f aca="false">E7/$C$7</f>
        <v>1.04908424908425</v>
      </c>
      <c r="F8" s="13" t="n">
        <f aca="false">F7/$C$7</f>
        <v>1.07326007326007</v>
      </c>
      <c r="G8" s="13" t="n">
        <f aca="false">G7/$C$7</f>
        <v>1.09084249084249</v>
      </c>
      <c r="H8" s="13" t="n">
        <f aca="false">H7/$C$7</f>
        <v>1.10769230769231</v>
      </c>
      <c r="I8" s="13" t="n">
        <f aca="false">I7/$C$7</f>
        <v>1.12527472527473</v>
      </c>
      <c r="J8" s="13" t="n">
        <f aca="false">J7/$C$7</f>
        <v>1.14285714285714</v>
      </c>
      <c r="K8" s="13" t="n">
        <f aca="false">K7/$C$7</f>
        <v>1.16043956043956</v>
      </c>
      <c r="L8" s="13" t="n">
        <f aca="false">L7/$C$7</f>
        <v>1.17802197802198</v>
      </c>
      <c r="M8" s="13" t="n">
        <f aca="false">M7/$C$7</f>
        <v>1.19487179487179</v>
      </c>
      <c r="N8" s="13" t="n">
        <f aca="false">N7/$C$7</f>
        <v>1.21245421245421</v>
      </c>
      <c r="O8" s="13" t="n">
        <f aca="false">O7/$C$7</f>
        <v>1.23003663003663</v>
      </c>
      <c r="P8" s="13" t="n">
        <f aca="false">P7/$C$7</f>
        <v>1.24688644688645</v>
      </c>
      <c r="Q8" s="13" t="n">
        <f aca="false">Q7/$C$7</f>
        <v>1.26446886446886</v>
      </c>
      <c r="R8" s="13" t="n">
        <f aca="false">R7/$C$7</f>
        <v>1.28205128205128</v>
      </c>
      <c r="S8" s="12" t="s">
        <v>91</v>
      </c>
    </row>
    <row r="9" customFormat="false" ht="15" hidden="false" customHeight="false" outlineLevel="0" collapsed="false">
      <c r="A9" s="6" t="s">
        <v>92</v>
      </c>
      <c r="B9" s="2" t="s">
        <v>83</v>
      </c>
      <c r="D9" s="11" t="n">
        <v>0.06</v>
      </c>
      <c r="E9" s="11" t="n">
        <v>0</v>
      </c>
      <c r="F9" s="11" t="n">
        <v>0</v>
      </c>
      <c r="G9" s="11" t="n">
        <v>0.055</v>
      </c>
      <c r="H9" s="11" t="n">
        <v>0</v>
      </c>
      <c r="I9" s="11" t="n">
        <v>0</v>
      </c>
      <c r="J9" s="11" t="n">
        <v>0.055</v>
      </c>
      <c r="K9" s="11" t="n">
        <v>0</v>
      </c>
      <c r="L9" s="11" t="n">
        <v>0</v>
      </c>
      <c r="M9" s="11" t="n">
        <v>0.055</v>
      </c>
      <c r="N9" s="11" t="n">
        <v>0</v>
      </c>
      <c r="O9" s="11" t="n">
        <v>0</v>
      </c>
      <c r="P9" s="11" t="n">
        <v>0.055</v>
      </c>
      <c r="Q9" s="11" t="n">
        <v>0</v>
      </c>
      <c r="R9" s="11" t="n">
        <v>0</v>
      </c>
      <c r="S9" s="12" t="s">
        <v>93</v>
      </c>
    </row>
    <row r="10" customFormat="false" ht="15" hidden="false" customHeight="false" outlineLevel="0" collapsed="false">
      <c r="A10" s="3" t="s">
        <v>44</v>
      </c>
      <c r="B10" s="2" t="s">
        <v>85</v>
      </c>
      <c r="C10" s="13" t="n">
        <v>1</v>
      </c>
      <c r="D10" s="13" t="n">
        <f aca="false">C10*(1+D9)</f>
        <v>1.06</v>
      </c>
      <c r="E10" s="13" t="n">
        <f aca="false">D10*(1+E9)</f>
        <v>1.06</v>
      </c>
      <c r="F10" s="13" t="n">
        <f aca="false">E10*(1+F9)</f>
        <v>1.06</v>
      </c>
      <c r="G10" s="13" t="n">
        <f aca="false">F10*(1+G9)</f>
        <v>1.1183</v>
      </c>
      <c r="H10" s="13" t="n">
        <f aca="false">G10*(1+H9)</f>
        <v>1.1183</v>
      </c>
      <c r="I10" s="13" t="n">
        <f aca="false">H10*(1+I9)</f>
        <v>1.1183</v>
      </c>
      <c r="J10" s="13" t="n">
        <f aca="false">I10*(1+J9)</f>
        <v>1.1798065</v>
      </c>
      <c r="K10" s="13" t="n">
        <f aca="false">J10*(1+K9)</f>
        <v>1.1798065</v>
      </c>
      <c r="L10" s="13" t="n">
        <f aca="false">K10*(1+L9)</f>
        <v>1.1798065</v>
      </c>
      <c r="M10" s="13" t="n">
        <f aca="false">L10*(1+M9)</f>
        <v>1.2446958575</v>
      </c>
      <c r="N10" s="13" t="n">
        <f aca="false">M10*(1+N9)</f>
        <v>1.2446958575</v>
      </c>
      <c r="O10" s="13" t="n">
        <f aca="false">N10*(1+O9)</f>
        <v>1.2446958575</v>
      </c>
      <c r="P10" s="13" t="n">
        <f aca="false">O10*(1+P9)</f>
        <v>1.3131541296625</v>
      </c>
      <c r="Q10" s="13" t="n">
        <f aca="false">P10*(1+Q9)</f>
        <v>1.3131541296625</v>
      </c>
      <c r="R10" s="13" t="n">
        <f aca="false">Q10*(1+R9)</f>
        <v>1.3131541296625</v>
      </c>
      <c r="S10" s="12" t="s">
        <v>94</v>
      </c>
    </row>
    <row r="11" customFormat="false" ht="15" hidden="false" customHeight="false" outlineLevel="0" collapsed="false">
      <c r="A11" s="6" t="s">
        <v>95</v>
      </c>
      <c r="B11" s="2" t="s">
        <v>83</v>
      </c>
      <c r="D11" s="11" t="n">
        <v>0.023</v>
      </c>
      <c r="E11" s="11" t="n">
        <v>0.023</v>
      </c>
      <c r="F11" s="11" t="n">
        <v>0.023</v>
      </c>
      <c r="G11" s="11" t="n">
        <v>0.019</v>
      </c>
      <c r="H11" s="11" t="n">
        <v>0.019</v>
      </c>
      <c r="I11" s="11" t="n">
        <v>0.019</v>
      </c>
      <c r="J11" s="11" t="n">
        <v>0.019</v>
      </c>
      <c r="K11" s="11" t="n">
        <v>0.019</v>
      </c>
      <c r="L11" s="11" t="n">
        <v>0.019</v>
      </c>
      <c r="M11" s="11" t="n">
        <v>0.019</v>
      </c>
      <c r="N11" s="11" t="n">
        <v>0.019</v>
      </c>
      <c r="O11" s="11" t="n">
        <v>0.019</v>
      </c>
      <c r="P11" s="11" t="n">
        <v>0.019</v>
      </c>
      <c r="Q11" s="11" t="n">
        <v>0.019</v>
      </c>
      <c r="R11" s="11" t="n">
        <v>0.019</v>
      </c>
      <c r="S11" s="12" t="s">
        <v>96</v>
      </c>
    </row>
    <row r="12" customFormat="false" ht="15" hidden="false" customHeight="false" outlineLevel="0" collapsed="false">
      <c r="A12" s="3" t="s">
        <v>97</v>
      </c>
      <c r="B12" s="2" t="s">
        <v>85</v>
      </c>
      <c r="C12" s="13" t="n">
        <v>1</v>
      </c>
      <c r="D12" s="13" t="n">
        <f aca="false">C12*(1+D11)</f>
        <v>1.023</v>
      </c>
      <c r="E12" s="13" t="n">
        <f aca="false">D12*(1+E11)</f>
        <v>1.046529</v>
      </c>
      <c r="F12" s="13" t="n">
        <f aca="false">E12*(1+F11)</f>
        <v>1.070599167</v>
      </c>
      <c r="G12" s="13" t="n">
        <f aca="false">F12*(1+G11)</f>
        <v>1.090940551173</v>
      </c>
      <c r="H12" s="13" t="n">
        <f aca="false">G12*(1+H11)</f>
        <v>1.11166842164529</v>
      </c>
      <c r="I12" s="13" t="n">
        <f aca="false">H12*(1+I11)</f>
        <v>1.13279012165655</v>
      </c>
      <c r="J12" s="13" t="n">
        <f aca="false">I12*(1+J11)</f>
        <v>1.15431313396802</v>
      </c>
      <c r="K12" s="13" t="n">
        <f aca="false">J12*(1+K11)</f>
        <v>1.17624508351341</v>
      </c>
      <c r="L12" s="13" t="n">
        <f aca="false">K12*(1+L11)</f>
        <v>1.19859374010017</v>
      </c>
      <c r="M12" s="13" t="n">
        <f aca="false">L12*(1+M11)</f>
        <v>1.22136702116207</v>
      </c>
      <c r="N12" s="13" t="n">
        <f aca="false">M12*(1+N11)</f>
        <v>1.24457299456415</v>
      </c>
      <c r="O12" s="13" t="n">
        <f aca="false">N12*(1+O11)</f>
        <v>1.26821988146087</v>
      </c>
      <c r="P12" s="13" t="n">
        <f aca="false">O12*(1+P11)</f>
        <v>1.29231605920863</v>
      </c>
      <c r="Q12" s="13" t="n">
        <f aca="false">P12*(1+Q11)</f>
        <v>1.31687006433359</v>
      </c>
      <c r="R12" s="13" t="n">
        <f aca="false">Q12*(1+R11)</f>
        <v>1.34189059555593</v>
      </c>
      <c r="S12" s="12"/>
    </row>
    <row r="13" customFormat="false" ht="15" hidden="false" customHeight="false" outlineLevel="0" collapsed="false">
      <c r="A13" s="6" t="s">
        <v>98</v>
      </c>
      <c r="B13" s="2" t="s">
        <v>99</v>
      </c>
      <c r="D13" s="15" t="n">
        <v>1.01</v>
      </c>
      <c r="E13" s="15" t="n">
        <v>1</v>
      </c>
      <c r="F13" s="15" t="n">
        <v>0.97</v>
      </c>
      <c r="G13" s="15" t="n">
        <v>0.96</v>
      </c>
      <c r="H13" s="15" t="n">
        <v>0.97</v>
      </c>
      <c r="I13" s="15" t="n">
        <v>1.03</v>
      </c>
      <c r="J13" s="15" t="n">
        <v>1.01</v>
      </c>
      <c r="K13" s="15" t="n">
        <v>1</v>
      </c>
      <c r="L13" s="15" t="n">
        <v>0.99</v>
      </c>
      <c r="M13" s="15" t="n">
        <v>1</v>
      </c>
      <c r="N13" s="15" t="n">
        <v>1.01</v>
      </c>
      <c r="O13" s="15" t="n">
        <v>1.02</v>
      </c>
      <c r="P13" s="15" t="n">
        <v>1.01</v>
      </c>
      <c r="Q13" s="15" t="n">
        <v>1</v>
      </c>
      <c r="R13" s="15" t="n">
        <v>0.97</v>
      </c>
      <c r="S13" s="12" t="s">
        <v>100</v>
      </c>
    </row>
    <row r="15" customFormat="false" ht="15" hidden="false" customHeight="false" outlineLevel="0" collapsed="false">
      <c r="A15" s="5" t="s">
        <v>101</v>
      </c>
    </row>
    <row r="16" customFormat="false" ht="15" hidden="false" customHeight="false" outlineLevel="0" collapsed="false">
      <c r="A16" s="6" t="s">
        <v>102</v>
      </c>
      <c r="B16" s="2" t="s">
        <v>103</v>
      </c>
      <c r="C16" s="14" t="n">
        <v>35114</v>
      </c>
      <c r="D16" s="12" t="s">
        <v>104</v>
      </c>
    </row>
    <row r="17" customFormat="false" ht="15" hidden="false" customHeight="false" outlineLevel="0" collapsed="false">
      <c r="A17" s="6" t="s">
        <v>105</v>
      </c>
      <c r="B17" s="2" t="s">
        <v>83</v>
      </c>
      <c r="C17" s="11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18" min="4" style="0" width="1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0" hidden="false" customHeight="true" outlineLevel="0" collapsed="false">
      <c r="A4" s="9" t="s">
        <v>108</v>
      </c>
      <c r="B4" s="10" t="s">
        <v>64</v>
      </c>
      <c r="C4" s="10" t="s">
        <v>65</v>
      </c>
      <c r="D4" s="10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  <c r="M4" s="10" t="s">
        <v>75</v>
      </c>
      <c r="N4" s="10" t="s">
        <v>76</v>
      </c>
      <c r="O4" s="10" t="s">
        <v>77</v>
      </c>
      <c r="P4" s="10" t="s">
        <v>78</v>
      </c>
      <c r="Q4" s="10" t="s">
        <v>79</v>
      </c>
      <c r="R4" s="10" t="s">
        <v>80</v>
      </c>
    </row>
    <row r="5" customFormat="false" ht="15" hidden="false" customHeight="false" outlineLevel="0" collapsed="false">
      <c r="A5" s="16" t="s">
        <v>109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customFormat="false" ht="15" hidden="false" customHeight="false" outlineLevel="0" collapsed="false">
      <c r="A6" s="6" t="s">
        <v>110</v>
      </c>
      <c r="B6" s="2" t="s">
        <v>85</v>
      </c>
      <c r="C6" s="18" t="n">
        <v>100</v>
      </c>
      <c r="D6" s="19" t="n">
        <v>100</v>
      </c>
      <c r="E6" s="19" t="n">
        <v>100</v>
      </c>
      <c r="F6" s="19" t="n">
        <v>100</v>
      </c>
      <c r="G6" s="19" t="n">
        <v>100</v>
      </c>
      <c r="H6" s="19" t="n">
        <v>100</v>
      </c>
      <c r="I6" s="19" t="n">
        <v>100</v>
      </c>
      <c r="J6" s="19" t="n">
        <v>100</v>
      </c>
      <c r="K6" s="19" t="n">
        <v>100</v>
      </c>
      <c r="L6" s="19" t="n">
        <v>100</v>
      </c>
      <c r="M6" s="19" t="n">
        <v>100</v>
      </c>
      <c r="N6" s="19" t="n">
        <v>100</v>
      </c>
      <c r="O6" s="19" t="n">
        <v>100</v>
      </c>
      <c r="P6" s="19" t="n">
        <v>100</v>
      </c>
      <c r="Q6" s="19" t="n">
        <v>100</v>
      </c>
      <c r="R6" s="19" t="n">
        <v>100</v>
      </c>
    </row>
    <row r="7" customFormat="false" ht="15" hidden="false" customHeight="false" outlineLevel="0" collapsed="false">
      <c r="A7" s="6" t="s">
        <v>111</v>
      </c>
      <c r="B7" s="2" t="s">
        <v>83</v>
      </c>
      <c r="C7" s="20" t="n">
        <v>0.33665</v>
      </c>
      <c r="D7" s="21" t="n">
        <v>0.33665</v>
      </c>
      <c r="E7" s="21" t="n">
        <v>0.33665</v>
      </c>
      <c r="F7" s="21" t="n">
        <v>0.33665</v>
      </c>
      <c r="G7" s="21" t="n">
        <v>0.33665</v>
      </c>
      <c r="H7" s="21" t="n">
        <v>0.33665</v>
      </c>
      <c r="I7" s="21" t="n">
        <v>0.33665</v>
      </c>
      <c r="J7" s="21" t="n">
        <v>0.33665</v>
      </c>
      <c r="K7" s="21" t="n">
        <v>0.33665</v>
      </c>
      <c r="L7" s="21" t="n">
        <v>0.33665</v>
      </c>
      <c r="M7" s="21" t="n">
        <v>0.33665</v>
      </c>
      <c r="N7" s="21" t="n">
        <v>0.33665</v>
      </c>
      <c r="O7" s="21" t="n">
        <v>0.33665</v>
      </c>
      <c r="P7" s="21" t="n">
        <v>0.33665</v>
      </c>
      <c r="Q7" s="21" t="n">
        <v>0.33665</v>
      </c>
      <c r="R7" s="21" t="n">
        <v>0.33665</v>
      </c>
    </row>
    <row r="8" customFormat="false" ht="15" hidden="false" customHeight="false" outlineLevel="0" collapsed="false">
      <c r="A8" s="6" t="s">
        <v>112</v>
      </c>
      <c r="B8" s="2" t="s">
        <v>83</v>
      </c>
      <c r="C8" s="20" t="n">
        <v>0.068</v>
      </c>
      <c r="D8" s="21" t="n">
        <v>0.068</v>
      </c>
      <c r="E8" s="21" t="n">
        <v>0.068</v>
      </c>
      <c r="F8" s="21" t="n">
        <v>0.068</v>
      </c>
      <c r="G8" s="21" t="n">
        <v>0.068</v>
      </c>
      <c r="H8" s="21" t="n">
        <v>0.068</v>
      </c>
      <c r="I8" s="21" t="n">
        <v>0.068</v>
      </c>
      <c r="J8" s="21" t="n">
        <v>0.068</v>
      </c>
      <c r="K8" s="21" t="n">
        <v>0.068</v>
      </c>
      <c r="L8" s="21" t="n">
        <v>0.068</v>
      </c>
      <c r="M8" s="21" t="n">
        <v>0.068</v>
      </c>
      <c r="N8" s="21" t="n">
        <v>0.068</v>
      </c>
      <c r="O8" s="21" t="n">
        <v>0.068</v>
      </c>
      <c r="P8" s="21" t="n">
        <v>0.068</v>
      </c>
      <c r="Q8" s="21" t="n">
        <v>0.068</v>
      </c>
      <c r="R8" s="21" t="n">
        <v>0.068</v>
      </c>
    </row>
    <row r="9" customFormat="false" ht="15" hidden="false" customHeight="false" outlineLevel="0" collapsed="false">
      <c r="A9" s="6" t="s">
        <v>113</v>
      </c>
      <c r="B9" s="2" t="s">
        <v>114</v>
      </c>
      <c r="C9" s="22" t="n">
        <v>30</v>
      </c>
      <c r="D9" s="23" t="n">
        <v>30</v>
      </c>
      <c r="E9" s="23" t="n">
        <v>30</v>
      </c>
      <c r="F9" s="23" t="n">
        <v>30</v>
      </c>
      <c r="G9" s="23" t="n">
        <v>30</v>
      </c>
      <c r="H9" s="23" t="n">
        <v>30</v>
      </c>
      <c r="I9" s="23" t="n">
        <v>30</v>
      </c>
      <c r="J9" s="23" t="n">
        <v>30</v>
      </c>
      <c r="K9" s="23" t="n">
        <v>30</v>
      </c>
      <c r="L9" s="23" t="n">
        <v>30</v>
      </c>
      <c r="M9" s="23" t="n">
        <v>30</v>
      </c>
      <c r="N9" s="23" t="n">
        <v>30</v>
      </c>
      <c r="O9" s="23" t="n">
        <v>30</v>
      </c>
      <c r="P9" s="23" t="n">
        <v>30</v>
      </c>
      <c r="Q9" s="23" t="n">
        <v>30</v>
      </c>
      <c r="R9" s="23" t="n">
        <v>30</v>
      </c>
    </row>
    <row r="11" customFormat="false" ht="15" hidden="false" customHeight="false" outlineLevel="0" collapsed="false">
      <c r="A11" s="16" t="s">
        <v>115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customFormat="false" ht="15" hidden="false" customHeight="false" outlineLevel="0" collapsed="false">
      <c r="A12" s="6" t="s">
        <v>110</v>
      </c>
      <c r="B12" s="2" t="s">
        <v>85</v>
      </c>
      <c r="C12" s="18" t="n">
        <v>100</v>
      </c>
      <c r="D12" s="19" t="n">
        <v>100</v>
      </c>
      <c r="E12" s="19" t="n">
        <v>100</v>
      </c>
      <c r="F12" s="19" t="n">
        <v>100</v>
      </c>
      <c r="G12" s="19" t="n">
        <v>100</v>
      </c>
      <c r="H12" s="19" t="n">
        <v>100</v>
      </c>
      <c r="I12" s="19" t="n">
        <v>100</v>
      </c>
      <c r="J12" s="19" t="n">
        <v>100</v>
      </c>
      <c r="K12" s="19" t="n">
        <v>100</v>
      </c>
      <c r="L12" s="19" t="n">
        <v>100</v>
      </c>
      <c r="M12" s="19" t="n">
        <v>100</v>
      </c>
      <c r="N12" s="19" t="n">
        <v>100</v>
      </c>
      <c r="O12" s="19" t="n">
        <v>100</v>
      </c>
      <c r="P12" s="19" t="n">
        <v>100</v>
      </c>
      <c r="Q12" s="19" t="n">
        <v>100</v>
      </c>
      <c r="R12" s="19" t="n">
        <v>100</v>
      </c>
    </row>
    <row r="13" customFormat="false" ht="15" hidden="false" customHeight="false" outlineLevel="0" collapsed="false">
      <c r="A13" s="6" t="s">
        <v>111</v>
      </c>
      <c r="B13" s="2" t="s">
        <v>83</v>
      </c>
      <c r="C13" s="20" t="n">
        <v>0.16079</v>
      </c>
      <c r="D13" s="21" t="n">
        <v>0.16079</v>
      </c>
      <c r="E13" s="21" t="n">
        <v>0.16079</v>
      </c>
      <c r="F13" s="21" t="n">
        <v>0.16079</v>
      </c>
      <c r="G13" s="21" t="n">
        <v>0.16079</v>
      </c>
      <c r="H13" s="21" t="n">
        <v>0.16079</v>
      </c>
      <c r="I13" s="21" t="n">
        <v>0.16079</v>
      </c>
      <c r="J13" s="21" t="n">
        <v>0.16079</v>
      </c>
      <c r="K13" s="21" t="n">
        <v>0.16079</v>
      </c>
      <c r="L13" s="21" t="n">
        <v>0.16079</v>
      </c>
      <c r="M13" s="21" t="n">
        <v>0.16079</v>
      </c>
      <c r="N13" s="21" t="n">
        <v>0.16079</v>
      </c>
      <c r="O13" s="21" t="n">
        <v>0.16079</v>
      </c>
      <c r="P13" s="21" t="n">
        <v>0.16079</v>
      </c>
      <c r="Q13" s="21" t="n">
        <v>0.16079</v>
      </c>
      <c r="R13" s="21" t="n">
        <v>0.16079</v>
      </c>
    </row>
    <row r="14" customFormat="false" ht="15" hidden="false" customHeight="false" outlineLevel="0" collapsed="false">
      <c r="A14" s="6" t="s">
        <v>112</v>
      </c>
      <c r="B14" s="2" t="s">
        <v>83</v>
      </c>
      <c r="C14" s="20" t="n">
        <v>0.14</v>
      </c>
      <c r="D14" s="21" t="n">
        <v>0.14</v>
      </c>
      <c r="E14" s="21" t="n">
        <v>0.14</v>
      </c>
      <c r="F14" s="21" t="n">
        <v>0.14</v>
      </c>
      <c r="G14" s="21" t="n">
        <v>0.14</v>
      </c>
      <c r="H14" s="21" t="n">
        <v>0.14</v>
      </c>
      <c r="I14" s="21" t="n">
        <v>0.14</v>
      </c>
      <c r="J14" s="21" t="n">
        <v>0.14</v>
      </c>
      <c r="K14" s="21" t="n">
        <v>0.14</v>
      </c>
      <c r="L14" s="21" t="n">
        <v>0.14</v>
      </c>
      <c r="M14" s="21" t="n">
        <v>0.14</v>
      </c>
      <c r="N14" s="21" t="n">
        <v>0.14</v>
      </c>
      <c r="O14" s="21" t="n">
        <v>0.14</v>
      </c>
      <c r="P14" s="21" t="n">
        <v>0.14</v>
      </c>
      <c r="Q14" s="21" t="n">
        <v>0.14</v>
      </c>
      <c r="R14" s="21" t="n">
        <v>0.14</v>
      </c>
    </row>
    <row r="15" customFormat="false" ht="15" hidden="false" customHeight="false" outlineLevel="0" collapsed="false">
      <c r="A15" s="6" t="s">
        <v>113</v>
      </c>
      <c r="B15" s="2" t="s">
        <v>114</v>
      </c>
      <c r="C15" s="22" t="n">
        <v>40</v>
      </c>
      <c r="D15" s="23" t="n">
        <v>40</v>
      </c>
      <c r="E15" s="23" t="n">
        <v>40</v>
      </c>
      <c r="F15" s="23" t="n">
        <v>40</v>
      </c>
      <c r="G15" s="23" t="n">
        <v>40</v>
      </c>
      <c r="H15" s="23" t="n">
        <v>40</v>
      </c>
      <c r="I15" s="23" t="n">
        <v>40</v>
      </c>
      <c r="J15" s="23" t="n">
        <v>40</v>
      </c>
      <c r="K15" s="23" t="n">
        <v>40</v>
      </c>
      <c r="L15" s="23" t="n">
        <v>40</v>
      </c>
      <c r="M15" s="23" t="n">
        <v>40</v>
      </c>
      <c r="N15" s="23" t="n">
        <v>40</v>
      </c>
      <c r="O15" s="23" t="n">
        <v>40</v>
      </c>
      <c r="P15" s="23" t="n">
        <v>40</v>
      </c>
      <c r="Q15" s="23" t="n">
        <v>40</v>
      </c>
      <c r="R15" s="23" t="n">
        <v>40</v>
      </c>
    </row>
    <row r="17" customFormat="false" ht="15" hidden="false" customHeight="false" outlineLevel="0" collapsed="false">
      <c r="A17" s="16" t="s">
        <v>116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customFormat="false" ht="15" hidden="false" customHeight="false" outlineLevel="0" collapsed="false">
      <c r="A18" s="6" t="s">
        <v>110</v>
      </c>
      <c r="B18" s="2" t="s">
        <v>85</v>
      </c>
      <c r="C18" s="18" t="n">
        <v>100</v>
      </c>
      <c r="D18" s="19" t="n">
        <v>100</v>
      </c>
      <c r="E18" s="19" t="n">
        <v>100</v>
      </c>
      <c r="F18" s="19" t="n">
        <v>100</v>
      </c>
      <c r="G18" s="19" t="n">
        <v>100</v>
      </c>
      <c r="H18" s="19" t="n">
        <v>100</v>
      </c>
      <c r="I18" s="19" t="n">
        <v>100</v>
      </c>
      <c r="J18" s="19" t="n">
        <v>100</v>
      </c>
      <c r="K18" s="19" t="n">
        <v>100</v>
      </c>
      <c r="L18" s="19" t="n">
        <v>100</v>
      </c>
      <c r="M18" s="19" t="n">
        <v>100</v>
      </c>
      <c r="N18" s="19" t="n">
        <v>100</v>
      </c>
      <c r="O18" s="19" t="n">
        <v>100</v>
      </c>
      <c r="P18" s="19" t="n">
        <v>100</v>
      </c>
      <c r="Q18" s="19" t="n">
        <v>100</v>
      </c>
      <c r="R18" s="19" t="n">
        <v>100</v>
      </c>
    </row>
    <row r="19" customFormat="false" ht="15" hidden="false" customHeight="false" outlineLevel="0" collapsed="false">
      <c r="A19" s="6" t="s">
        <v>111</v>
      </c>
      <c r="B19" s="2" t="s">
        <v>83</v>
      </c>
      <c r="C19" s="20" t="n">
        <v>0.39473</v>
      </c>
      <c r="D19" s="21" t="n">
        <v>0.39473</v>
      </c>
      <c r="E19" s="21" t="n">
        <v>0.39473</v>
      </c>
      <c r="F19" s="21" t="n">
        <v>0.39473</v>
      </c>
      <c r="G19" s="21" t="n">
        <v>0.39473</v>
      </c>
      <c r="H19" s="21" t="n">
        <v>0.39473</v>
      </c>
      <c r="I19" s="21" t="n">
        <v>0.39473</v>
      </c>
      <c r="J19" s="21" t="n">
        <v>0.39473</v>
      </c>
      <c r="K19" s="21" t="n">
        <v>0.39473</v>
      </c>
      <c r="L19" s="21" t="n">
        <v>0.39473</v>
      </c>
      <c r="M19" s="21" t="n">
        <v>0.39473</v>
      </c>
      <c r="N19" s="21" t="n">
        <v>0.39473</v>
      </c>
      <c r="O19" s="21" t="n">
        <v>0.39473</v>
      </c>
      <c r="P19" s="21" t="n">
        <v>0.39473</v>
      </c>
      <c r="Q19" s="21" t="n">
        <v>0.39473</v>
      </c>
      <c r="R19" s="21" t="n">
        <v>0.39473</v>
      </c>
    </row>
    <row r="20" customFormat="false" ht="15" hidden="false" customHeight="false" outlineLevel="0" collapsed="false">
      <c r="A20" s="6" t="s">
        <v>112</v>
      </c>
      <c r="B20" s="2" t="s">
        <v>83</v>
      </c>
      <c r="C20" s="20" t="n">
        <v>0.06</v>
      </c>
      <c r="D20" s="21" t="n">
        <v>0.06</v>
      </c>
      <c r="E20" s="21" t="n">
        <v>0.06</v>
      </c>
      <c r="F20" s="21" t="n">
        <v>0.06</v>
      </c>
      <c r="G20" s="21" t="n">
        <v>0.06</v>
      </c>
      <c r="H20" s="21" t="n">
        <v>0.06</v>
      </c>
      <c r="I20" s="21" t="n">
        <v>0.06</v>
      </c>
      <c r="J20" s="21" t="n">
        <v>0.06</v>
      </c>
      <c r="K20" s="21" t="n">
        <v>0.06</v>
      </c>
      <c r="L20" s="21" t="n">
        <v>0.06</v>
      </c>
      <c r="M20" s="21" t="n">
        <v>0.06</v>
      </c>
      <c r="N20" s="21" t="n">
        <v>0.06</v>
      </c>
      <c r="O20" s="21" t="n">
        <v>0.06</v>
      </c>
      <c r="P20" s="21" t="n">
        <v>0.06</v>
      </c>
      <c r="Q20" s="21" t="n">
        <v>0.06</v>
      </c>
      <c r="R20" s="21" t="n">
        <v>0.06</v>
      </c>
    </row>
    <row r="21" customFormat="false" ht="15" hidden="false" customHeight="false" outlineLevel="0" collapsed="false">
      <c r="A21" s="6" t="s">
        <v>113</v>
      </c>
      <c r="B21" s="2" t="s">
        <v>114</v>
      </c>
      <c r="C21" s="22" t="n">
        <v>22</v>
      </c>
      <c r="D21" s="23" t="n">
        <v>22</v>
      </c>
      <c r="E21" s="23" t="n">
        <v>22</v>
      </c>
      <c r="F21" s="23" t="n">
        <v>22</v>
      </c>
      <c r="G21" s="23" t="n">
        <v>22</v>
      </c>
      <c r="H21" s="23" t="n">
        <v>22</v>
      </c>
      <c r="I21" s="23" t="n">
        <v>22</v>
      </c>
      <c r="J21" s="23" t="n">
        <v>22</v>
      </c>
      <c r="K21" s="23" t="n">
        <v>22</v>
      </c>
      <c r="L21" s="23" t="n">
        <v>22</v>
      </c>
      <c r="M21" s="23" t="n">
        <v>22</v>
      </c>
      <c r="N21" s="23" t="n">
        <v>22</v>
      </c>
      <c r="O21" s="23" t="n">
        <v>22</v>
      </c>
      <c r="P21" s="23" t="n">
        <v>22</v>
      </c>
      <c r="Q21" s="23" t="n">
        <v>22</v>
      </c>
      <c r="R21" s="23" t="n">
        <v>22</v>
      </c>
    </row>
    <row r="23" customFormat="false" ht="15" hidden="false" customHeight="false" outlineLevel="0" collapsed="false">
      <c r="A23" s="16" t="s">
        <v>117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customFormat="false" ht="15" hidden="false" customHeight="false" outlineLevel="0" collapsed="false">
      <c r="A24" s="6" t="s">
        <v>110</v>
      </c>
      <c r="B24" s="2" t="s">
        <v>85</v>
      </c>
      <c r="C24" s="18" t="n">
        <v>100</v>
      </c>
      <c r="D24" s="19" t="n">
        <v>100</v>
      </c>
      <c r="E24" s="19" t="n">
        <v>100</v>
      </c>
      <c r="F24" s="19" t="n">
        <v>100</v>
      </c>
      <c r="G24" s="19" t="n">
        <v>100</v>
      </c>
      <c r="H24" s="19" t="n">
        <v>100</v>
      </c>
      <c r="I24" s="19" t="n">
        <v>100</v>
      </c>
      <c r="J24" s="19" t="n">
        <v>100</v>
      </c>
      <c r="K24" s="19" t="n">
        <v>100</v>
      </c>
      <c r="L24" s="19" t="n">
        <v>100</v>
      </c>
      <c r="M24" s="19" t="n">
        <v>100</v>
      </c>
      <c r="N24" s="19" t="n">
        <v>100</v>
      </c>
      <c r="O24" s="19" t="n">
        <v>100</v>
      </c>
      <c r="P24" s="19" t="n">
        <v>100</v>
      </c>
      <c r="Q24" s="19" t="n">
        <v>100</v>
      </c>
      <c r="R24" s="19" t="n">
        <v>100</v>
      </c>
    </row>
    <row r="25" customFormat="false" ht="15" hidden="false" customHeight="false" outlineLevel="0" collapsed="false">
      <c r="A25" s="6" t="s">
        <v>111</v>
      </c>
      <c r="B25" s="2" t="s">
        <v>83</v>
      </c>
      <c r="C25" s="20" t="n">
        <v>0.40434</v>
      </c>
      <c r="D25" s="21" t="n">
        <v>0.40434</v>
      </c>
      <c r="E25" s="21" t="n">
        <v>0.40434</v>
      </c>
      <c r="F25" s="21" t="n">
        <v>0.40434</v>
      </c>
      <c r="G25" s="21" t="n">
        <v>0.40434</v>
      </c>
      <c r="H25" s="21" t="n">
        <v>0.40434</v>
      </c>
      <c r="I25" s="21" t="n">
        <v>0.40434</v>
      </c>
      <c r="J25" s="21" t="n">
        <v>0.40434</v>
      </c>
      <c r="K25" s="21" t="n">
        <v>0.40434</v>
      </c>
      <c r="L25" s="21" t="n">
        <v>0.40434</v>
      </c>
      <c r="M25" s="21" t="n">
        <v>0.40434</v>
      </c>
      <c r="N25" s="21" t="n">
        <v>0.40434</v>
      </c>
      <c r="O25" s="21" t="n">
        <v>0.40434</v>
      </c>
      <c r="P25" s="21" t="n">
        <v>0.40434</v>
      </c>
      <c r="Q25" s="21" t="n">
        <v>0.40434</v>
      </c>
      <c r="R25" s="21" t="n">
        <v>0.40434</v>
      </c>
    </row>
    <row r="26" customFormat="false" ht="15" hidden="false" customHeight="false" outlineLevel="0" collapsed="false">
      <c r="A26" s="6" t="s">
        <v>112</v>
      </c>
      <c r="B26" s="2" t="s">
        <v>83</v>
      </c>
      <c r="C26" s="20" t="n">
        <v>0.065</v>
      </c>
      <c r="D26" s="21" t="n">
        <v>0.065</v>
      </c>
      <c r="E26" s="21" t="n">
        <v>0.065</v>
      </c>
      <c r="F26" s="21" t="n">
        <v>0.065</v>
      </c>
      <c r="G26" s="21" t="n">
        <v>0.065</v>
      </c>
      <c r="H26" s="21" t="n">
        <v>0.065</v>
      </c>
      <c r="I26" s="21" t="n">
        <v>0.065</v>
      </c>
      <c r="J26" s="21" t="n">
        <v>0.065</v>
      </c>
      <c r="K26" s="21" t="n">
        <v>0.065</v>
      </c>
      <c r="L26" s="21" t="n">
        <v>0.065</v>
      </c>
      <c r="M26" s="21" t="n">
        <v>0.065</v>
      </c>
      <c r="N26" s="21" t="n">
        <v>0.065</v>
      </c>
      <c r="O26" s="21" t="n">
        <v>0.065</v>
      </c>
      <c r="P26" s="21" t="n">
        <v>0.065</v>
      </c>
      <c r="Q26" s="21" t="n">
        <v>0.065</v>
      </c>
      <c r="R26" s="21" t="n">
        <v>0.065</v>
      </c>
    </row>
    <row r="27" customFormat="false" ht="15" hidden="false" customHeight="false" outlineLevel="0" collapsed="false">
      <c r="A27" s="6" t="s">
        <v>113</v>
      </c>
      <c r="B27" s="2" t="s">
        <v>114</v>
      </c>
      <c r="C27" s="22" t="n">
        <v>9</v>
      </c>
      <c r="D27" s="23" t="n">
        <v>9</v>
      </c>
      <c r="E27" s="23" t="n">
        <v>9</v>
      </c>
      <c r="F27" s="23" t="n">
        <v>9</v>
      </c>
      <c r="G27" s="23" t="n">
        <v>9</v>
      </c>
      <c r="H27" s="23" t="n">
        <v>9</v>
      </c>
      <c r="I27" s="23" t="n">
        <v>9</v>
      </c>
      <c r="J27" s="23" t="n">
        <v>9</v>
      </c>
      <c r="K27" s="23" t="n">
        <v>9</v>
      </c>
      <c r="L27" s="23" t="n">
        <v>9</v>
      </c>
      <c r="M27" s="23" t="n">
        <v>9</v>
      </c>
      <c r="N27" s="23" t="n">
        <v>9</v>
      </c>
      <c r="O27" s="23" t="n">
        <v>9</v>
      </c>
      <c r="P27" s="23" t="n">
        <v>9</v>
      </c>
      <c r="Q27" s="23" t="n">
        <v>9</v>
      </c>
      <c r="R27" s="23" t="n">
        <v>9</v>
      </c>
    </row>
    <row r="29" customFormat="false" ht="15" hidden="false" customHeight="false" outlineLevel="0" collapsed="false">
      <c r="A29" s="16" t="s">
        <v>118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customFormat="false" ht="15" hidden="false" customHeight="false" outlineLevel="0" collapsed="false">
      <c r="A30" s="6" t="s">
        <v>110</v>
      </c>
      <c r="B30" s="2" t="s">
        <v>85</v>
      </c>
      <c r="C30" s="18" t="n">
        <v>100</v>
      </c>
      <c r="D30" s="19" t="n">
        <v>100</v>
      </c>
      <c r="E30" s="19" t="n">
        <v>100</v>
      </c>
      <c r="F30" s="19" t="n">
        <v>100</v>
      </c>
      <c r="G30" s="19" t="n">
        <v>100</v>
      </c>
      <c r="H30" s="19" t="n">
        <v>100</v>
      </c>
      <c r="I30" s="19" t="n">
        <v>100</v>
      </c>
      <c r="J30" s="19" t="n">
        <v>100</v>
      </c>
      <c r="K30" s="19" t="n">
        <v>100</v>
      </c>
      <c r="L30" s="19" t="n">
        <v>100</v>
      </c>
      <c r="M30" s="19" t="n">
        <v>100</v>
      </c>
      <c r="N30" s="19" t="n">
        <v>100</v>
      </c>
      <c r="O30" s="19" t="n">
        <v>100</v>
      </c>
      <c r="P30" s="19" t="n">
        <v>100</v>
      </c>
      <c r="Q30" s="19" t="n">
        <v>100</v>
      </c>
      <c r="R30" s="19" t="n">
        <v>100</v>
      </c>
    </row>
    <row r="31" customFormat="false" ht="15" hidden="false" customHeight="false" outlineLevel="0" collapsed="false">
      <c r="A31" s="6" t="s">
        <v>111</v>
      </c>
      <c r="B31" s="2" t="s">
        <v>83</v>
      </c>
      <c r="C31" s="20" t="n">
        <v>0.3081</v>
      </c>
      <c r="D31" s="21" t="n">
        <v>0.3081</v>
      </c>
      <c r="E31" s="21" t="n">
        <v>0.3081</v>
      </c>
      <c r="F31" s="21" t="n">
        <v>0.3081</v>
      </c>
      <c r="G31" s="21" t="n">
        <v>0.3081</v>
      </c>
      <c r="H31" s="21" t="n">
        <v>0.3081</v>
      </c>
      <c r="I31" s="21" t="n">
        <v>0.3081</v>
      </c>
      <c r="J31" s="21" t="n">
        <v>0.3081</v>
      </c>
      <c r="K31" s="21" t="n">
        <v>0.3081</v>
      </c>
      <c r="L31" s="21" t="n">
        <v>0.3081</v>
      </c>
      <c r="M31" s="21" t="n">
        <v>0.3081</v>
      </c>
      <c r="N31" s="21" t="n">
        <v>0.3081</v>
      </c>
      <c r="O31" s="21" t="n">
        <v>0.3081</v>
      </c>
      <c r="P31" s="21" t="n">
        <v>0.3081</v>
      </c>
      <c r="Q31" s="21" t="n">
        <v>0.3081</v>
      </c>
      <c r="R31" s="21" t="n">
        <v>0.3081</v>
      </c>
    </row>
    <row r="32" customFormat="false" ht="15" hidden="false" customHeight="false" outlineLevel="0" collapsed="false">
      <c r="A32" s="6" t="s">
        <v>112</v>
      </c>
      <c r="B32" s="2" t="s">
        <v>83</v>
      </c>
      <c r="C32" s="20" t="n">
        <v>0.055</v>
      </c>
      <c r="D32" s="21" t="n">
        <v>0.055</v>
      </c>
      <c r="E32" s="21" t="n">
        <v>0.055</v>
      </c>
      <c r="F32" s="21" t="n">
        <v>0.055</v>
      </c>
      <c r="G32" s="21" t="n">
        <v>0.055</v>
      </c>
      <c r="H32" s="21" t="n">
        <v>0.055</v>
      </c>
      <c r="I32" s="21" t="n">
        <v>0.055</v>
      </c>
      <c r="J32" s="21" t="n">
        <v>0.055</v>
      </c>
      <c r="K32" s="21" t="n">
        <v>0.055</v>
      </c>
      <c r="L32" s="21" t="n">
        <v>0.055</v>
      </c>
      <c r="M32" s="21" t="n">
        <v>0.055</v>
      </c>
      <c r="N32" s="21" t="n">
        <v>0.055</v>
      </c>
      <c r="O32" s="21" t="n">
        <v>0.055</v>
      </c>
      <c r="P32" s="21" t="n">
        <v>0.055</v>
      </c>
      <c r="Q32" s="21" t="n">
        <v>0.055</v>
      </c>
      <c r="R32" s="21" t="n">
        <v>0.055</v>
      </c>
    </row>
    <row r="33" customFormat="false" ht="15" hidden="false" customHeight="false" outlineLevel="0" collapsed="false">
      <c r="A33" s="6" t="s">
        <v>113</v>
      </c>
      <c r="B33" s="2" t="s">
        <v>114</v>
      </c>
      <c r="C33" s="22" t="n">
        <v>6</v>
      </c>
      <c r="D33" s="23" t="n">
        <v>6</v>
      </c>
      <c r="E33" s="23" t="n">
        <v>6</v>
      </c>
      <c r="F33" s="23" t="n">
        <v>6</v>
      </c>
      <c r="G33" s="23" t="n">
        <v>6</v>
      </c>
      <c r="H33" s="23" t="n">
        <v>6</v>
      </c>
      <c r="I33" s="23" t="n">
        <v>6</v>
      </c>
      <c r="J33" s="23" t="n">
        <v>6</v>
      </c>
      <c r="K33" s="23" t="n">
        <v>6</v>
      </c>
      <c r="L33" s="23" t="n">
        <v>6</v>
      </c>
      <c r="M33" s="23" t="n">
        <v>6</v>
      </c>
      <c r="N33" s="23" t="n">
        <v>6</v>
      </c>
      <c r="O33" s="23" t="n">
        <v>6</v>
      </c>
      <c r="P33" s="23" t="n">
        <v>6</v>
      </c>
      <c r="Q33" s="23" t="n">
        <v>6</v>
      </c>
      <c r="R33" s="23" t="n">
        <v>6</v>
      </c>
    </row>
    <row r="35" customFormat="false" ht="15" hidden="false" customHeight="false" outlineLevel="0" collapsed="false">
      <c r="A35" s="16" t="s">
        <v>119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customFormat="false" ht="15" hidden="false" customHeight="false" outlineLevel="0" collapsed="false">
      <c r="A36" s="6" t="s">
        <v>110</v>
      </c>
      <c r="B36" s="2" t="s">
        <v>85</v>
      </c>
      <c r="C36" s="18" t="n">
        <v>100</v>
      </c>
      <c r="D36" s="19" t="n">
        <v>100</v>
      </c>
      <c r="E36" s="19" t="n">
        <v>100</v>
      </c>
      <c r="F36" s="19" t="n">
        <v>100</v>
      </c>
      <c r="G36" s="19" t="n">
        <v>100</v>
      </c>
      <c r="H36" s="19" t="n">
        <v>100</v>
      </c>
      <c r="I36" s="19" t="n">
        <v>100</v>
      </c>
      <c r="J36" s="19" t="n">
        <v>100</v>
      </c>
      <c r="K36" s="19" t="n">
        <v>100</v>
      </c>
      <c r="L36" s="19" t="n">
        <v>100</v>
      </c>
      <c r="M36" s="19" t="n">
        <v>100</v>
      </c>
      <c r="N36" s="19" t="n">
        <v>100</v>
      </c>
      <c r="O36" s="19" t="n">
        <v>100</v>
      </c>
      <c r="P36" s="19" t="n">
        <v>100</v>
      </c>
      <c r="Q36" s="19" t="n">
        <v>100</v>
      </c>
      <c r="R36" s="19" t="n">
        <v>100</v>
      </c>
    </row>
    <row r="37" customFormat="false" ht="15" hidden="false" customHeight="false" outlineLevel="0" collapsed="false">
      <c r="A37" s="6" t="s">
        <v>111</v>
      </c>
      <c r="B37" s="2" t="s">
        <v>83</v>
      </c>
      <c r="C37" s="20" t="n">
        <v>0.27384</v>
      </c>
      <c r="D37" s="21" t="n">
        <v>0.27384</v>
      </c>
      <c r="E37" s="21" t="n">
        <v>0.27384</v>
      </c>
      <c r="F37" s="21" t="n">
        <v>0.27384</v>
      </c>
      <c r="G37" s="21" t="n">
        <v>0.27384</v>
      </c>
      <c r="H37" s="21" t="n">
        <v>0.27384</v>
      </c>
      <c r="I37" s="21" t="n">
        <v>0.27384</v>
      </c>
      <c r="J37" s="21" t="n">
        <v>0.27384</v>
      </c>
      <c r="K37" s="21" t="n">
        <v>0.27384</v>
      </c>
      <c r="L37" s="21" t="n">
        <v>0.27384</v>
      </c>
      <c r="M37" s="21" t="n">
        <v>0.27384</v>
      </c>
      <c r="N37" s="21" t="n">
        <v>0.27384</v>
      </c>
      <c r="O37" s="21" t="n">
        <v>0.27384</v>
      </c>
      <c r="P37" s="21" t="n">
        <v>0.27384</v>
      </c>
      <c r="Q37" s="21" t="n">
        <v>0.27384</v>
      </c>
      <c r="R37" s="21" t="n">
        <v>0.27384</v>
      </c>
    </row>
    <row r="38" customFormat="false" ht="15" hidden="false" customHeight="false" outlineLevel="0" collapsed="false">
      <c r="A38" s="6" t="s">
        <v>112</v>
      </c>
      <c r="B38" s="2" t="s">
        <v>83</v>
      </c>
      <c r="C38" s="20" t="n">
        <v>0.06</v>
      </c>
      <c r="D38" s="21" t="n">
        <v>0.06</v>
      </c>
      <c r="E38" s="21" t="n">
        <v>0.06</v>
      </c>
      <c r="F38" s="21" t="n">
        <v>0.06</v>
      </c>
      <c r="G38" s="21" t="n">
        <v>0.06</v>
      </c>
      <c r="H38" s="21" t="n">
        <v>0.06</v>
      </c>
      <c r="I38" s="21" t="n">
        <v>0.06</v>
      </c>
      <c r="J38" s="21" t="n">
        <v>0.06</v>
      </c>
      <c r="K38" s="21" t="n">
        <v>0.06</v>
      </c>
      <c r="L38" s="21" t="n">
        <v>0.06</v>
      </c>
      <c r="M38" s="21" t="n">
        <v>0.06</v>
      </c>
      <c r="N38" s="21" t="n">
        <v>0.06</v>
      </c>
      <c r="O38" s="21" t="n">
        <v>0.06</v>
      </c>
      <c r="P38" s="21" t="n">
        <v>0.06</v>
      </c>
      <c r="Q38" s="21" t="n">
        <v>0.06</v>
      </c>
      <c r="R38" s="21" t="n">
        <v>0.06</v>
      </c>
    </row>
    <row r="39" customFormat="false" ht="15" hidden="false" customHeight="false" outlineLevel="0" collapsed="false">
      <c r="A39" s="6" t="s">
        <v>113</v>
      </c>
      <c r="B39" s="2" t="s">
        <v>114</v>
      </c>
      <c r="C39" s="22" t="n">
        <v>6</v>
      </c>
      <c r="D39" s="23" t="n">
        <v>6</v>
      </c>
      <c r="E39" s="23" t="n">
        <v>6</v>
      </c>
      <c r="F39" s="23" t="n">
        <v>6</v>
      </c>
      <c r="G39" s="23" t="n">
        <v>6</v>
      </c>
      <c r="H39" s="23" t="n">
        <v>6</v>
      </c>
      <c r="I39" s="23" t="n">
        <v>6</v>
      </c>
      <c r="J39" s="23" t="n">
        <v>6</v>
      </c>
      <c r="K39" s="23" t="n">
        <v>6</v>
      </c>
      <c r="L39" s="23" t="n">
        <v>6</v>
      </c>
      <c r="M39" s="23" t="n">
        <v>6</v>
      </c>
      <c r="N39" s="23" t="n">
        <v>6</v>
      </c>
      <c r="O39" s="23" t="n">
        <v>6</v>
      </c>
      <c r="P39" s="23" t="n">
        <v>6</v>
      </c>
      <c r="Q39" s="23" t="n">
        <v>6</v>
      </c>
      <c r="R39" s="23" t="n">
        <v>6</v>
      </c>
    </row>
    <row r="41" customFormat="false" ht="15" hidden="false" customHeight="false" outlineLevel="0" collapsed="false">
      <c r="A41" s="16" t="s">
        <v>120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customFormat="false" ht="15" hidden="false" customHeight="false" outlineLevel="0" collapsed="false">
      <c r="A42" s="6" t="s">
        <v>110</v>
      </c>
      <c r="B42" s="2" t="s">
        <v>85</v>
      </c>
      <c r="C42" s="18" t="n">
        <v>100</v>
      </c>
      <c r="D42" s="19" t="n">
        <v>100</v>
      </c>
      <c r="E42" s="19" t="n">
        <v>100</v>
      </c>
      <c r="F42" s="19" t="n">
        <v>100</v>
      </c>
      <c r="G42" s="19" t="n">
        <v>100</v>
      </c>
      <c r="H42" s="19" t="n">
        <v>100</v>
      </c>
      <c r="I42" s="19" t="n">
        <v>100</v>
      </c>
      <c r="J42" s="19" t="n">
        <v>100</v>
      </c>
      <c r="K42" s="19" t="n">
        <v>100</v>
      </c>
      <c r="L42" s="19" t="n">
        <v>100</v>
      </c>
      <c r="M42" s="19" t="n">
        <v>100</v>
      </c>
      <c r="N42" s="19" t="n">
        <v>100</v>
      </c>
      <c r="O42" s="19" t="n">
        <v>100</v>
      </c>
      <c r="P42" s="19" t="n">
        <v>100</v>
      </c>
      <c r="Q42" s="19" t="n">
        <v>100</v>
      </c>
      <c r="R42" s="19" t="n">
        <v>100</v>
      </c>
    </row>
    <row r="43" customFormat="false" ht="15" hidden="false" customHeight="false" outlineLevel="0" collapsed="false">
      <c r="A43" s="6" t="s">
        <v>111</v>
      </c>
      <c r="B43" s="2" t="s">
        <v>83</v>
      </c>
      <c r="C43" s="20" t="n">
        <v>0.40762</v>
      </c>
      <c r="D43" s="21" t="n">
        <v>0.40762</v>
      </c>
      <c r="E43" s="21" t="n">
        <v>0.40762</v>
      </c>
      <c r="F43" s="21" t="n">
        <v>0.40762</v>
      </c>
      <c r="G43" s="21" t="n">
        <v>0.40762</v>
      </c>
      <c r="H43" s="21" t="n">
        <v>0.40762</v>
      </c>
      <c r="I43" s="21" t="n">
        <v>0.40762</v>
      </c>
      <c r="J43" s="21" t="n">
        <v>0.40762</v>
      </c>
      <c r="K43" s="21" t="n">
        <v>0.40762</v>
      </c>
      <c r="L43" s="21" t="n">
        <v>0.40762</v>
      </c>
      <c r="M43" s="21" t="n">
        <v>0.40762</v>
      </c>
      <c r="N43" s="21" t="n">
        <v>0.40762</v>
      </c>
      <c r="O43" s="21" t="n">
        <v>0.40762</v>
      </c>
      <c r="P43" s="21" t="n">
        <v>0.40762</v>
      </c>
      <c r="Q43" s="21" t="n">
        <v>0.40762</v>
      </c>
      <c r="R43" s="21" t="n">
        <v>0.40762</v>
      </c>
    </row>
    <row r="44" customFormat="false" ht="15" hidden="false" customHeight="false" outlineLevel="0" collapsed="false">
      <c r="A44" s="6" t="s">
        <v>112</v>
      </c>
      <c r="B44" s="2" t="s">
        <v>83</v>
      </c>
      <c r="C44" s="20" t="n">
        <v>0.09</v>
      </c>
      <c r="D44" s="21" t="n">
        <v>0.09</v>
      </c>
      <c r="E44" s="21" t="n">
        <v>0.09</v>
      </c>
      <c r="F44" s="21" t="n">
        <v>0.09</v>
      </c>
      <c r="G44" s="21" t="n">
        <v>0.09</v>
      </c>
      <c r="H44" s="21" t="n">
        <v>0.09</v>
      </c>
      <c r="I44" s="21" t="n">
        <v>0.09</v>
      </c>
      <c r="J44" s="21" t="n">
        <v>0.09</v>
      </c>
      <c r="K44" s="21" t="n">
        <v>0.09</v>
      </c>
      <c r="L44" s="21" t="n">
        <v>0.09</v>
      </c>
      <c r="M44" s="21" t="n">
        <v>0.09</v>
      </c>
      <c r="N44" s="21" t="n">
        <v>0.09</v>
      </c>
      <c r="O44" s="21" t="n">
        <v>0.09</v>
      </c>
      <c r="P44" s="21" t="n">
        <v>0.09</v>
      </c>
      <c r="Q44" s="21" t="n">
        <v>0.09</v>
      </c>
      <c r="R44" s="21" t="n">
        <v>0.09</v>
      </c>
    </row>
    <row r="45" customFormat="false" ht="15" hidden="false" customHeight="false" outlineLevel="0" collapsed="false">
      <c r="A45" s="6" t="s">
        <v>113</v>
      </c>
      <c r="B45" s="2" t="s">
        <v>114</v>
      </c>
      <c r="C45" s="22" t="n">
        <v>4</v>
      </c>
      <c r="D45" s="23" t="n">
        <v>4</v>
      </c>
      <c r="E45" s="23" t="n">
        <v>4</v>
      </c>
      <c r="F45" s="23" t="n">
        <v>4</v>
      </c>
      <c r="G45" s="23" t="n">
        <v>4</v>
      </c>
      <c r="H45" s="23" t="n">
        <v>4</v>
      </c>
      <c r="I45" s="23" t="n">
        <v>4</v>
      </c>
      <c r="J45" s="23" t="n">
        <v>4</v>
      </c>
      <c r="K45" s="23" t="n">
        <v>4</v>
      </c>
      <c r="L45" s="23" t="n">
        <v>4</v>
      </c>
      <c r="M45" s="23" t="n">
        <v>4</v>
      </c>
      <c r="N45" s="23" t="n">
        <v>4</v>
      </c>
      <c r="O45" s="23" t="n">
        <v>4</v>
      </c>
      <c r="P45" s="23" t="n">
        <v>4</v>
      </c>
      <c r="Q45" s="23" t="n">
        <v>4</v>
      </c>
      <c r="R45" s="23" t="n">
        <v>4</v>
      </c>
    </row>
    <row r="47" customFormat="false" ht="15" hidden="false" customHeight="false" outlineLevel="0" collapsed="false">
      <c r="A47" s="16" t="s">
        <v>121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customFormat="false" ht="15" hidden="false" customHeight="false" outlineLevel="0" collapsed="false">
      <c r="A48" s="6" t="s">
        <v>110</v>
      </c>
      <c r="B48" s="2" t="s">
        <v>85</v>
      </c>
      <c r="C48" s="18" t="n">
        <v>100</v>
      </c>
      <c r="D48" s="19" t="n">
        <v>100</v>
      </c>
      <c r="E48" s="19" t="n">
        <v>100</v>
      </c>
      <c r="F48" s="19" t="n">
        <v>100</v>
      </c>
      <c r="G48" s="19" t="n">
        <v>100</v>
      </c>
      <c r="H48" s="19" t="n">
        <v>100</v>
      </c>
      <c r="I48" s="19" t="n">
        <v>100</v>
      </c>
      <c r="J48" s="19" t="n">
        <v>100</v>
      </c>
      <c r="K48" s="19" t="n">
        <v>100</v>
      </c>
      <c r="L48" s="19" t="n">
        <v>100</v>
      </c>
      <c r="M48" s="19" t="n">
        <v>100</v>
      </c>
      <c r="N48" s="19" t="n">
        <v>100</v>
      </c>
      <c r="O48" s="19" t="n">
        <v>100</v>
      </c>
      <c r="P48" s="19" t="n">
        <v>100</v>
      </c>
      <c r="Q48" s="19" t="n">
        <v>100</v>
      </c>
      <c r="R48" s="19" t="n">
        <v>100</v>
      </c>
    </row>
    <row r="49" customFormat="false" ht="15" hidden="false" customHeight="false" outlineLevel="0" collapsed="false">
      <c r="A49" s="6" t="s">
        <v>111</v>
      </c>
      <c r="B49" s="2" t="s">
        <v>83</v>
      </c>
      <c r="C49" s="20" t="n">
        <v>0.32145</v>
      </c>
      <c r="D49" s="21" t="n">
        <v>0.32145</v>
      </c>
      <c r="E49" s="21" t="n">
        <v>0.32145</v>
      </c>
      <c r="F49" s="21" t="n">
        <v>0.32145</v>
      </c>
      <c r="G49" s="21" t="n">
        <v>0.32145</v>
      </c>
      <c r="H49" s="21" t="n">
        <v>0.32145</v>
      </c>
      <c r="I49" s="21" t="n">
        <v>0.32145</v>
      </c>
      <c r="J49" s="21" t="n">
        <v>0.32145</v>
      </c>
      <c r="K49" s="21" t="n">
        <v>0.32145</v>
      </c>
      <c r="L49" s="21" t="n">
        <v>0.32145</v>
      </c>
      <c r="M49" s="21" t="n">
        <v>0.32145</v>
      </c>
      <c r="N49" s="21" t="n">
        <v>0.32145</v>
      </c>
      <c r="O49" s="21" t="n">
        <v>0.32145</v>
      </c>
      <c r="P49" s="21" t="n">
        <v>0.32145</v>
      </c>
      <c r="Q49" s="21" t="n">
        <v>0.32145</v>
      </c>
      <c r="R49" s="21" t="n">
        <v>0.32145</v>
      </c>
    </row>
    <row r="50" customFormat="false" ht="15" hidden="false" customHeight="false" outlineLevel="0" collapsed="false">
      <c r="A50" s="6" t="s">
        <v>112</v>
      </c>
      <c r="B50" s="2" t="s">
        <v>83</v>
      </c>
      <c r="C50" s="20" t="n">
        <v>0.08</v>
      </c>
      <c r="D50" s="21" t="n">
        <v>0.08</v>
      </c>
      <c r="E50" s="21" t="n">
        <v>0.08</v>
      </c>
      <c r="F50" s="21" t="n">
        <v>0.08</v>
      </c>
      <c r="G50" s="21" t="n">
        <v>0.08</v>
      </c>
      <c r="H50" s="21" t="n">
        <v>0.08</v>
      </c>
      <c r="I50" s="21" t="n">
        <v>0.08</v>
      </c>
      <c r="J50" s="21" t="n">
        <v>0.08</v>
      </c>
      <c r="K50" s="21" t="n">
        <v>0.08</v>
      </c>
      <c r="L50" s="21" t="n">
        <v>0.08</v>
      </c>
      <c r="M50" s="21" t="n">
        <v>0.08</v>
      </c>
      <c r="N50" s="21" t="n">
        <v>0.08</v>
      </c>
      <c r="O50" s="21" t="n">
        <v>0.08</v>
      </c>
      <c r="P50" s="21" t="n">
        <v>0.08</v>
      </c>
      <c r="Q50" s="21" t="n">
        <v>0.08</v>
      </c>
      <c r="R50" s="21" t="n">
        <v>0.08</v>
      </c>
    </row>
    <row r="51" customFormat="false" ht="15" hidden="false" customHeight="false" outlineLevel="0" collapsed="false">
      <c r="A51" s="6" t="s">
        <v>113</v>
      </c>
      <c r="B51" s="2" t="s">
        <v>114</v>
      </c>
      <c r="C51" s="22" t="n">
        <v>2</v>
      </c>
      <c r="D51" s="23" t="n">
        <v>2</v>
      </c>
      <c r="E51" s="23" t="n">
        <v>2</v>
      </c>
      <c r="F51" s="23" t="n">
        <v>2</v>
      </c>
      <c r="G51" s="23" t="n">
        <v>2</v>
      </c>
      <c r="H51" s="23" t="n">
        <v>2</v>
      </c>
      <c r="I51" s="23" t="n">
        <v>2</v>
      </c>
      <c r="J51" s="23" t="n">
        <v>2</v>
      </c>
      <c r="K51" s="23" t="n">
        <v>2</v>
      </c>
      <c r="L51" s="23" t="n">
        <v>2</v>
      </c>
      <c r="M51" s="23" t="n">
        <v>2</v>
      </c>
      <c r="N51" s="23" t="n">
        <v>2</v>
      </c>
      <c r="O51" s="23" t="n">
        <v>2</v>
      </c>
      <c r="P51" s="23" t="n">
        <v>2</v>
      </c>
      <c r="Q51" s="23" t="n">
        <v>2</v>
      </c>
      <c r="R51" s="23" t="n">
        <v>2</v>
      </c>
    </row>
    <row r="53" customFormat="false" ht="15" hidden="false" customHeight="false" outlineLevel="0" collapsed="false">
      <c r="A53" s="16" t="s">
        <v>122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customFormat="false" ht="15" hidden="false" customHeight="false" outlineLevel="0" collapsed="false">
      <c r="A54" s="6" t="s">
        <v>110</v>
      </c>
      <c r="B54" s="2" t="s">
        <v>85</v>
      </c>
      <c r="C54" s="18" t="n">
        <v>100</v>
      </c>
      <c r="D54" s="19" t="n">
        <v>100</v>
      </c>
      <c r="E54" s="19" t="n">
        <v>100</v>
      </c>
      <c r="F54" s="19" t="n">
        <v>100</v>
      </c>
      <c r="G54" s="19" t="n">
        <v>100</v>
      </c>
      <c r="H54" s="19" t="n">
        <v>100</v>
      </c>
      <c r="I54" s="19" t="n">
        <v>100</v>
      </c>
      <c r="J54" s="19" t="n">
        <v>100</v>
      </c>
      <c r="K54" s="19" t="n">
        <v>100</v>
      </c>
      <c r="L54" s="19" t="n">
        <v>100</v>
      </c>
      <c r="M54" s="19" t="n">
        <v>100</v>
      </c>
      <c r="N54" s="19" t="n">
        <v>100</v>
      </c>
      <c r="O54" s="19" t="n">
        <v>100</v>
      </c>
      <c r="P54" s="19" t="n">
        <v>100</v>
      </c>
      <c r="Q54" s="19" t="n">
        <v>100</v>
      </c>
      <c r="R54" s="19" t="n">
        <v>100</v>
      </c>
    </row>
    <row r="55" customFormat="false" ht="15" hidden="false" customHeight="false" outlineLevel="0" collapsed="false">
      <c r="A55" s="6" t="s">
        <v>111</v>
      </c>
      <c r="B55" s="2" t="s">
        <v>83</v>
      </c>
      <c r="C55" s="20" t="n">
        <v>0.14836</v>
      </c>
      <c r="D55" s="21" t="n">
        <v>0.14836</v>
      </c>
      <c r="E55" s="21" t="n">
        <v>0.14836</v>
      </c>
      <c r="F55" s="21" t="n">
        <v>0.14836</v>
      </c>
      <c r="G55" s="21" t="n">
        <v>0.14836</v>
      </c>
      <c r="H55" s="21" t="n">
        <v>0.14836</v>
      </c>
      <c r="I55" s="21" t="n">
        <v>0.14836</v>
      </c>
      <c r="J55" s="21" t="n">
        <v>0.14836</v>
      </c>
      <c r="K55" s="21" t="n">
        <v>0.14836</v>
      </c>
      <c r="L55" s="21" t="n">
        <v>0.14836</v>
      </c>
      <c r="M55" s="21" t="n">
        <v>0.14836</v>
      </c>
      <c r="N55" s="21" t="n">
        <v>0.14836</v>
      </c>
      <c r="O55" s="21" t="n">
        <v>0.14836</v>
      </c>
      <c r="P55" s="21" t="n">
        <v>0.14836</v>
      </c>
      <c r="Q55" s="21" t="n">
        <v>0.14836</v>
      </c>
      <c r="R55" s="21" t="n">
        <v>0.14836</v>
      </c>
    </row>
    <row r="56" customFormat="false" ht="15" hidden="false" customHeight="false" outlineLevel="0" collapsed="false">
      <c r="A56" s="6" t="s">
        <v>112</v>
      </c>
      <c r="B56" s="2" t="s">
        <v>83</v>
      </c>
      <c r="C56" s="20" t="n">
        <v>0.16</v>
      </c>
      <c r="D56" s="21" t="n">
        <v>0.16</v>
      </c>
      <c r="E56" s="21" t="n">
        <v>0.16</v>
      </c>
      <c r="F56" s="21" t="n">
        <v>0.16</v>
      </c>
      <c r="G56" s="21" t="n">
        <v>0.16</v>
      </c>
      <c r="H56" s="21" t="n">
        <v>0.16</v>
      </c>
      <c r="I56" s="21" t="n">
        <v>0.16</v>
      </c>
      <c r="J56" s="21" t="n">
        <v>0.16</v>
      </c>
      <c r="K56" s="21" t="n">
        <v>0.16</v>
      </c>
      <c r="L56" s="21" t="n">
        <v>0.16</v>
      </c>
      <c r="M56" s="21" t="n">
        <v>0.16</v>
      </c>
      <c r="N56" s="21" t="n">
        <v>0.16</v>
      </c>
      <c r="O56" s="21" t="n">
        <v>0.16</v>
      </c>
      <c r="P56" s="21" t="n">
        <v>0.16</v>
      </c>
      <c r="Q56" s="21" t="n">
        <v>0.16</v>
      </c>
      <c r="R56" s="21" t="n">
        <v>0.16</v>
      </c>
    </row>
    <row r="57" customFormat="false" ht="15" hidden="false" customHeight="false" outlineLevel="0" collapsed="false">
      <c r="A57" s="6" t="s">
        <v>113</v>
      </c>
      <c r="B57" s="2" t="s">
        <v>114</v>
      </c>
      <c r="C57" s="22" t="n">
        <v>10</v>
      </c>
      <c r="D57" s="23" t="n">
        <v>10</v>
      </c>
      <c r="E57" s="23" t="n">
        <v>10</v>
      </c>
      <c r="F57" s="23" t="n">
        <v>10</v>
      </c>
      <c r="G57" s="23" t="n">
        <v>10</v>
      </c>
      <c r="H57" s="23" t="n">
        <v>10</v>
      </c>
      <c r="I57" s="23" t="n">
        <v>10</v>
      </c>
      <c r="J57" s="23" t="n">
        <v>10</v>
      </c>
      <c r="K57" s="23" t="n">
        <v>10</v>
      </c>
      <c r="L57" s="23" t="n">
        <v>10</v>
      </c>
      <c r="M57" s="23" t="n">
        <v>10</v>
      </c>
      <c r="N57" s="23" t="n">
        <v>10</v>
      </c>
      <c r="O57" s="23" t="n">
        <v>10</v>
      </c>
      <c r="P57" s="23" t="n">
        <v>10</v>
      </c>
      <c r="Q57" s="23" t="n">
        <v>10</v>
      </c>
      <c r="R57" s="23" t="n">
        <v>10</v>
      </c>
    </row>
    <row r="59" customFormat="false" ht="15" hidden="false" customHeight="false" outlineLevel="0" collapsed="false">
      <c r="A59" s="16" t="s">
        <v>123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customFormat="false" ht="15" hidden="false" customHeight="false" outlineLevel="0" collapsed="false">
      <c r="A60" s="6" t="s">
        <v>110</v>
      </c>
      <c r="B60" s="2" t="s">
        <v>85</v>
      </c>
      <c r="C60" s="18" t="n">
        <v>100</v>
      </c>
      <c r="D60" s="19" t="n">
        <v>100</v>
      </c>
      <c r="E60" s="19" t="n">
        <v>100</v>
      </c>
      <c r="F60" s="19" t="n">
        <v>100</v>
      </c>
      <c r="G60" s="19" t="n">
        <v>100</v>
      </c>
      <c r="H60" s="19" t="n">
        <v>100</v>
      </c>
      <c r="I60" s="19" t="n">
        <v>100</v>
      </c>
      <c r="J60" s="19" t="n">
        <v>100</v>
      </c>
      <c r="K60" s="19" t="n">
        <v>100</v>
      </c>
      <c r="L60" s="19" t="n">
        <v>100</v>
      </c>
      <c r="M60" s="19" t="n">
        <v>100</v>
      </c>
      <c r="N60" s="19" t="n">
        <v>100</v>
      </c>
      <c r="O60" s="19" t="n">
        <v>100</v>
      </c>
      <c r="P60" s="19" t="n">
        <v>100</v>
      </c>
      <c r="Q60" s="19" t="n">
        <v>100</v>
      </c>
      <c r="R60" s="19" t="n">
        <v>100</v>
      </c>
    </row>
    <row r="61" customFormat="false" ht="15" hidden="false" customHeight="false" outlineLevel="0" collapsed="false">
      <c r="A61" s="6" t="s">
        <v>111</v>
      </c>
      <c r="B61" s="2" t="s">
        <v>83</v>
      </c>
      <c r="C61" s="20" t="n">
        <v>0.20779</v>
      </c>
      <c r="D61" s="21" t="n">
        <v>0.20779</v>
      </c>
      <c r="E61" s="21" t="n">
        <v>0.20779</v>
      </c>
      <c r="F61" s="21" t="n">
        <v>0.20779</v>
      </c>
      <c r="G61" s="21" t="n">
        <v>0.20779</v>
      </c>
      <c r="H61" s="21" t="n">
        <v>0.20779</v>
      </c>
      <c r="I61" s="21" t="n">
        <v>0.20779</v>
      </c>
      <c r="J61" s="21" t="n">
        <v>0.20779</v>
      </c>
      <c r="K61" s="21" t="n">
        <v>0.20779</v>
      </c>
      <c r="L61" s="21" t="n">
        <v>0.20779</v>
      </c>
      <c r="M61" s="21" t="n">
        <v>0.20779</v>
      </c>
      <c r="N61" s="21" t="n">
        <v>0.20779</v>
      </c>
      <c r="O61" s="21" t="n">
        <v>0.20779</v>
      </c>
      <c r="P61" s="21" t="n">
        <v>0.20779</v>
      </c>
      <c r="Q61" s="21" t="n">
        <v>0.20779</v>
      </c>
      <c r="R61" s="21" t="n">
        <v>0.20779</v>
      </c>
    </row>
    <row r="62" customFormat="false" ht="15" hidden="false" customHeight="false" outlineLevel="0" collapsed="false">
      <c r="A62" s="6" t="s">
        <v>112</v>
      </c>
      <c r="B62" s="2" t="s">
        <v>83</v>
      </c>
      <c r="C62" s="20" t="n">
        <v>0.11</v>
      </c>
      <c r="D62" s="21" t="n">
        <v>0.11</v>
      </c>
      <c r="E62" s="21" t="n">
        <v>0.11</v>
      </c>
      <c r="F62" s="21" t="n">
        <v>0.11</v>
      </c>
      <c r="G62" s="21" t="n">
        <v>0.11</v>
      </c>
      <c r="H62" s="21" t="n">
        <v>0.11</v>
      </c>
      <c r="I62" s="21" t="n">
        <v>0.11</v>
      </c>
      <c r="J62" s="21" t="n">
        <v>0.11</v>
      </c>
      <c r="K62" s="21" t="n">
        <v>0.11</v>
      </c>
      <c r="L62" s="21" t="n">
        <v>0.11</v>
      </c>
      <c r="M62" s="21" t="n">
        <v>0.11</v>
      </c>
      <c r="N62" s="21" t="n">
        <v>0.11</v>
      </c>
      <c r="O62" s="21" t="n">
        <v>0.11</v>
      </c>
      <c r="P62" s="21" t="n">
        <v>0.11</v>
      </c>
      <c r="Q62" s="21" t="n">
        <v>0.11</v>
      </c>
      <c r="R62" s="21" t="n">
        <v>0.11</v>
      </c>
    </row>
    <row r="63" customFormat="false" ht="15" hidden="false" customHeight="false" outlineLevel="0" collapsed="false">
      <c r="A63" s="6" t="s">
        <v>113</v>
      </c>
      <c r="B63" s="2" t="s">
        <v>114</v>
      </c>
      <c r="C63" s="22" t="n">
        <v>9</v>
      </c>
      <c r="D63" s="23" t="n">
        <v>9</v>
      </c>
      <c r="E63" s="23" t="n">
        <v>9</v>
      </c>
      <c r="F63" s="23" t="n">
        <v>9</v>
      </c>
      <c r="G63" s="23" t="n">
        <v>9</v>
      </c>
      <c r="H63" s="23" t="n">
        <v>9</v>
      </c>
      <c r="I63" s="23" t="n">
        <v>9</v>
      </c>
      <c r="J63" s="23" t="n">
        <v>9</v>
      </c>
      <c r="K63" s="23" t="n">
        <v>9</v>
      </c>
      <c r="L63" s="23" t="n">
        <v>9</v>
      </c>
      <c r="M63" s="23" t="n">
        <v>9</v>
      </c>
      <c r="N63" s="23" t="n">
        <v>9</v>
      </c>
      <c r="O63" s="23" t="n">
        <v>9</v>
      </c>
      <c r="P63" s="23" t="n">
        <v>9</v>
      </c>
      <c r="Q63" s="23" t="n">
        <v>9</v>
      </c>
      <c r="R63" s="23" t="n">
        <v>9</v>
      </c>
    </row>
    <row r="65" customFormat="false" ht="15" hidden="false" customHeight="false" outlineLevel="0" collapsed="false">
      <c r="A65" s="16" t="s">
        <v>124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customFormat="false" ht="15" hidden="false" customHeight="false" outlineLevel="0" collapsed="false">
      <c r="A66" s="6" t="s">
        <v>110</v>
      </c>
      <c r="B66" s="2" t="s">
        <v>85</v>
      </c>
      <c r="C66" s="18" t="n">
        <v>100</v>
      </c>
      <c r="D66" s="19" t="n">
        <v>100</v>
      </c>
      <c r="E66" s="19" t="n">
        <v>100</v>
      </c>
      <c r="F66" s="19" t="n">
        <v>100</v>
      </c>
      <c r="G66" s="19" t="n">
        <v>100</v>
      </c>
      <c r="H66" s="19" t="n">
        <v>100</v>
      </c>
      <c r="I66" s="19" t="n">
        <v>100</v>
      </c>
      <c r="J66" s="19" t="n">
        <v>100</v>
      </c>
      <c r="K66" s="19" t="n">
        <v>100</v>
      </c>
      <c r="L66" s="19" t="n">
        <v>100</v>
      </c>
      <c r="M66" s="19" t="n">
        <v>100</v>
      </c>
      <c r="N66" s="19" t="n">
        <v>100</v>
      </c>
      <c r="O66" s="19" t="n">
        <v>100</v>
      </c>
      <c r="P66" s="19" t="n">
        <v>100</v>
      </c>
      <c r="Q66" s="19" t="n">
        <v>100</v>
      </c>
      <c r="R66" s="19" t="n">
        <v>100</v>
      </c>
    </row>
    <row r="67" customFormat="false" ht="15" hidden="false" customHeight="false" outlineLevel="0" collapsed="false">
      <c r="A67" s="6" t="s">
        <v>111</v>
      </c>
      <c r="B67" s="2" t="s">
        <v>83</v>
      </c>
      <c r="C67" s="20" t="n">
        <v>0.08967</v>
      </c>
      <c r="D67" s="21" t="n">
        <v>0.08967</v>
      </c>
      <c r="E67" s="21" t="n">
        <v>0.08967</v>
      </c>
      <c r="F67" s="21" t="n">
        <v>0.08967</v>
      </c>
      <c r="G67" s="21" t="n">
        <v>0.08967</v>
      </c>
      <c r="H67" s="21" t="n">
        <v>0.08967</v>
      </c>
      <c r="I67" s="21" t="n">
        <v>0.08967</v>
      </c>
      <c r="J67" s="21" t="n">
        <v>0.08967</v>
      </c>
      <c r="K67" s="21" t="n">
        <v>0.08967</v>
      </c>
      <c r="L67" s="21" t="n">
        <v>0.08967</v>
      </c>
      <c r="M67" s="21" t="n">
        <v>0.08967</v>
      </c>
      <c r="N67" s="21" t="n">
        <v>0.08967</v>
      </c>
      <c r="O67" s="21" t="n">
        <v>0.08967</v>
      </c>
      <c r="P67" s="21" t="n">
        <v>0.08967</v>
      </c>
      <c r="Q67" s="21" t="n">
        <v>0.08967</v>
      </c>
      <c r="R67" s="21" t="n">
        <v>0.08967</v>
      </c>
    </row>
    <row r="68" customFormat="false" ht="15" hidden="false" customHeight="false" outlineLevel="0" collapsed="false">
      <c r="A68" s="6" t="s">
        <v>112</v>
      </c>
      <c r="B68" s="2" t="s">
        <v>83</v>
      </c>
      <c r="C68" s="20" t="n">
        <v>0.18</v>
      </c>
      <c r="D68" s="21" t="n">
        <v>0.18</v>
      </c>
      <c r="E68" s="21" t="n">
        <v>0.18</v>
      </c>
      <c r="F68" s="21" t="n">
        <v>0.18</v>
      </c>
      <c r="G68" s="21" t="n">
        <v>0.18</v>
      </c>
      <c r="H68" s="21" t="n">
        <v>0.18</v>
      </c>
      <c r="I68" s="21" t="n">
        <v>0.18</v>
      </c>
      <c r="J68" s="21" t="n">
        <v>0.18</v>
      </c>
      <c r="K68" s="21" t="n">
        <v>0.18</v>
      </c>
      <c r="L68" s="21" t="n">
        <v>0.18</v>
      </c>
      <c r="M68" s="21" t="n">
        <v>0.18</v>
      </c>
      <c r="N68" s="21" t="n">
        <v>0.18</v>
      </c>
      <c r="O68" s="21" t="n">
        <v>0.18</v>
      </c>
      <c r="P68" s="21" t="n">
        <v>0.18</v>
      </c>
      <c r="Q68" s="21" t="n">
        <v>0.18</v>
      </c>
      <c r="R68" s="21" t="n">
        <v>0.18</v>
      </c>
    </row>
    <row r="69" customFormat="false" ht="15" hidden="false" customHeight="false" outlineLevel="0" collapsed="false">
      <c r="A69" s="6" t="s">
        <v>113</v>
      </c>
      <c r="B69" s="2" t="s">
        <v>114</v>
      </c>
      <c r="C69" s="22" t="n">
        <v>4</v>
      </c>
      <c r="D69" s="23" t="n">
        <v>4</v>
      </c>
      <c r="E69" s="23" t="n">
        <v>4</v>
      </c>
      <c r="F69" s="23" t="n">
        <v>4</v>
      </c>
      <c r="G69" s="23" t="n">
        <v>4</v>
      </c>
      <c r="H69" s="23" t="n">
        <v>4</v>
      </c>
      <c r="I69" s="23" t="n">
        <v>4</v>
      </c>
      <c r="J69" s="23" t="n">
        <v>4</v>
      </c>
      <c r="K69" s="23" t="n">
        <v>4</v>
      </c>
      <c r="L69" s="23" t="n">
        <v>4</v>
      </c>
      <c r="M69" s="23" t="n">
        <v>4</v>
      </c>
      <c r="N69" s="23" t="n">
        <v>4</v>
      </c>
      <c r="O69" s="23" t="n">
        <v>4</v>
      </c>
      <c r="P69" s="23" t="n">
        <v>4</v>
      </c>
      <c r="Q69" s="23" t="n">
        <v>4</v>
      </c>
      <c r="R69" s="23" t="n">
        <v>4</v>
      </c>
    </row>
    <row r="71" customFormat="false" ht="15" hidden="false" customHeight="false" outlineLevel="0" collapsed="false">
      <c r="A71" s="16" t="s">
        <v>125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customFormat="false" ht="15" hidden="false" customHeight="false" outlineLevel="0" collapsed="false">
      <c r="A72" s="6" t="s">
        <v>110</v>
      </c>
      <c r="B72" s="2" t="s">
        <v>85</v>
      </c>
      <c r="C72" s="18" t="n">
        <v>100</v>
      </c>
      <c r="D72" s="19" t="n">
        <v>100</v>
      </c>
      <c r="E72" s="19" t="n">
        <v>100</v>
      </c>
      <c r="F72" s="19" t="n">
        <v>100</v>
      </c>
      <c r="G72" s="19" t="n">
        <v>100</v>
      </c>
      <c r="H72" s="19" t="n">
        <v>100</v>
      </c>
      <c r="I72" s="19" t="n">
        <v>100</v>
      </c>
      <c r="J72" s="19" t="n">
        <v>100</v>
      </c>
      <c r="K72" s="19" t="n">
        <v>100</v>
      </c>
      <c r="L72" s="19" t="n">
        <v>100</v>
      </c>
      <c r="M72" s="19" t="n">
        <v>100</v>
      </c>
      <c r="N72" s="19" t="n">
        <v>100</v>
      </c>
      <c r="O72" s="19" t="n">
        <v>100</v>
      </c>
      <c r="P72" s="19" t="n">
        <v>100</v>
      </c>
      <c r="Q72" s="19" t="n">
        <v>100</v>
      </c>
      <c r="R72" s="19" t="n">
        <v>100</v>
      </c>
    </row>
    <row r="73" customFormat="false" ht="15" hidden="false" customHeight="false" outlineLevel="0" collapsed="false">
      <c r="A73" s="6" t="s">
        <v>111</v>
      </c>
      <c r="B73" s="2" t="s">
        <v>83</v>
      </c>
      <c r="C73" s="20" t="n">
        <v>0.04725</v>
      </c>
      <c r="D73" s="21" t="n">
        <v>0.04725</v>
      </c>
      <c r="E73" s="21" t="n">
        <v>0.04725</v>
      </c>
      <c r="F73" s="21" t="n">
        <v>0.04725</v>
      </c>
      <c r="G73" s="21" t="n">
        <v>0.04725</v>
      </c>
      <c r="H73" s="21" t="n">
        <v>0.04725</v>
      </c>
      <c r="I73" s="21" t="n">
        <v>0.04725</v>
      </c>
      <c r="J73" s="21" t="n">
        <v>0.04725</v>
      </c>
      <c r="K73" s="21" t="n">
        <v>0.04725</v>
      </c>
      <c r="L73" s="21" t="n">
        <v>0.04725</v>
      </c>
      <c r="M73" s="21" t="n">
        <v>0.04725</v>
      </c>
      <c r="N73" s="21" t="n">
        <v>0.04725</v>
      </c>
      <c r="O73" s="21" t="n">
        <v>0.04725</v>
      </c>
      <c r="P73" s="21" t="n">
        <v>0.04725</v>
      </c>
      <c r="Q73" s="21" t="n">
        <v>0.04725</v>
      </c>
      <c r="R73" s="21" t="n">
        <v>0.04725</v>
      </c>
    </row>
    <row r="74" customFormat="false" ht="15" hidden="false" customHeight="false" outlineLevel="0" collapsed="false">
      <c r="A74" s="6" t="s">
        <v>112</v>
      </c>
      <c r="B74" s="2" t="s">
        <v>83</v>
      </c>
      <c r="C74" s="20" t="n">
        <v>0.25</v>
      </c>
      <c r="D74" s="21" t="n">
        <v>0.25</v>
      </c>
      <c r="E74" s="21" t="n">
        <v>0.25</v>
      </c>
      <c r="F74" s="21" t="n">
        <v>0.25</v>
      </c>
      <c r="G74" s="21" t="n">
        <v>0.25</v>
      </c>
      <c r="H74" s="21" t="n">
        <v>0.25</v>
      </c>
      <c r="I74" s="21" t="n">
        <v>0.25</v>
      </c>
      <c r="J74" s="21" t="n">
        <v>0.25</v>
      </c>
      <c r="K74" s="21" t="n">
        <v>0.25</v>
      </c>
      <c r="L74" s="21" t="n">
        <v>0.25</v>
      </c>
      <c r="M74" s="21" t="n">
        <v>0.25</v>
      </c>
      <c r="N74" s="21" t="n">
        <v>0.25</v>
      </c>
      <c r="O74" s="21" t="n">
        <v>0.25</v>
      </c>
      <c r="P74" s="21" t="n">
        <v>0.25</v>
      </c>
      <c r="Q74" s="21" t="n">
        <v>0.25</v>
      </c>
      <c r="R74" s="21" t="n">
        <v>0.25</v>
      </c>
    </row>
    <row r="75" customFormat="false" ht="15" hidden="false" customHeight="false" outlineLevel="0" collapsed="false">
      <c r="A75" s="6" t="s">
        <v>113</v>
      </c>
      <c r="B75" s="2" t="s">
        <v>114</v>
      </c>
      <c r="C75" s="22" t="n">
        <v>14</v>
      </c>
      <c r="D75" s="23" t="n">
        <v>14</v>
      </c>
      <c r="E75" s="23" t="n">
        <v>14</v>
      </c>
      <c r="F75" s="23" t="n">
        <v>14</v>
      </c>
      <c r="G75" s="23" t="n">
        <v>14</v>
      </c>
      <c r="H75" s="23" t="n">
        <v>14</v>
      </c>
      <c r="I75" s="23" t="n">
        <v>14</v>
      </c>
      <c r="J75" s="23" t="n">
        <v>14</v>
      </c>
      <c r="K75" s="23" t="n">
        <v>14</v>
      </c>
      <c r="L75" s="23" t="n">
        <v>14</v>
      </c>
      <c r="M75" s="23" t="n">
        <v>14</v>
      </c>
      <c r="N75" s="23" t="n">
        <v>14</v>
      </c>
      <c r="O75" s="23" t="n">
        <v>14</v>
      </c>
      <c r="P75" s="23" t="n">
        <v>14</v>
      </c>
      <c r="Q75" s="23" t="n">
        <v>14</v>
      </c>
      <c r="R75" s="23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5" min="4" style="0" width="2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22" min="8" style="0" width="13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30" hidden="false" customHeight="true" outlineLevel="0" collapsed="false">
      <c r="A4" s="9" t="s">
        <v>128</v>
      </c>
      <c r="B4" s="10" t="s">
        <v>129</v>
      </c>
      <c r="C4" s="10" t="s">
        <v>130</v>
      </c>
      <c r="D4" s="10" t="s">
        <v>131</v>
      </c>
      <c r="E4" s="10" t="s">
        <v>132</v>
      </c>
      <c r="F4" s="10" t="s">
        <v>133</v>
      </c>
      <c r="G4" s="10" t="s">
        <v>134</v>
      </c>
      <c r="H4" s="10" t="s">
        <v>66</v>
      </c>
      <c r="I4" s="10" t="s">
        <v>67</v>
      </c>
      <c r="J4" s="10" t="s">
        <v>68</v>
      </c>
      <c r="K4" s="10" t="s">
        <v>69</v>
      </c>
      <c r="L4" s="10" t="s">
        <v>70</v>
      </c>
      <c r="M4" s="10" t="s">
        <v>71</v>
      </c>
      <c r="N4" s="10" t="s">
        <v>72</v>
      </c>
      <c r="O4" s="10" t="s">
        <v>73</v>
      </c>
      <c r="P4" s="10" t="s">
        <v>74</v>
      </c>
      <c r="Q4" s="10" t="s">
        <v>75</v>
      </c>
      <c r="R4" s="10" t="s">
        <v>76</v>
      </c>
      <c r="S4" s="10" t="s">
        <v>77</v>
      </c>
      <c r="T4" s="10" t="s">
        <v>78</v>
      </c>
      <c r="U4" s="10" t="s">
        <v>79</v>
      </c>
      <c r="V4" s="10" t="s">
        <v>80</v>
      </c>
    </row>
    <row r="5" customFormat="false" ht="15" hidden="false" customHeight="false" outlineLevel="0" collapsed="false">
      <c r="A5" s="6" t="s">
        <v>135</v>
      </c>
      <c r="B5" s="6" t="s">
        <v>136</v>
      </c>
      <c r="C5" s="6" t="s">
        <v>137</v>
      </c>
      <c r="D5" s="6" t="s">
        <v>138</v>
      </c>
      <c r="E5" s="6" t="s">
        <v>139</v>
      </c>
      <c r="F5" s="6" t="s">
        <v>25</v>
      </c>
      <c r="G5" s="24" t="n">
        <v>118491415.02</v>
      </c>
      <c r="H5" s="24" t="n">
        <f aca="false">$G5*Supuestos!D$6*(Drivers!D$6/100)*(Drivers!D$7/Drivers!$C$7)*(Drivers!D$8/Drivers!$C$8)*Supuestos!D$13</f>
        <v>122428884.741115</v>
      </c>
      <c r="I5" s="24" t="n">
        <f aca="false">$G5*Supuestos!E$6*(Drivers!E$6/100)*(Drivers!E$7/Drivers!$C$7)*(Drivers!E$8/Drivers!$C$8)*Supuestos!E$13</f>
        <v>124004702.069466</v>
      </c>
      <c r="J5" s="24" t="n">
        <f aca="false">$G5*Supuestos!F$6*(Drivers!F$6/100)*(Drivers!F$7/Drivers!$C$7)*(Drivers!F$8/Drivers!$C$8)*Supuestos!F$13</f>
        <v>123051105.910551</v>
      </c>
      <c r="K5" s="24" t="n">
        <f aca="false">$G5*Supuestos!G$6*(Drivers!G$6/100)*(Drivers!G$7/Drivers!$C$7)*(Drivers!G$8/Drivers!$C$8)*Supuestos!G$13</f>
        <v>124096406.02674</v>
      </c>
      <c r="L5" s="24" t="n">
        <f aca="false">$G5*Supuestos!H$6*(Drivers!H$6/100)*(Drivers!H$7/Drivers!$C$7)*(Drivers!H$8/Drivers!$C$8)*Supuestos!H$13</f>
        <v>127771469.384386</v>
      </c>
      <c r="M5" s="24" t="n">
        <f aca="false">$G5*Supuestos!I$6*(Drivers!I$6/100)*(Drivers!I$7/Drivers!$C$7)*(Drivers!I$8/Drivers!$C$8)*Supuestos!I$13</f>
        <v>138252681.568835</v>
      </c>
      <c r="N5" s="24" t="n">
        <f aca="false">$G5*Supuestos!J$6*(Drivers!J$6/100)*(Drivers!J$7/Drivers!$C$7)*(Drivers!J$8/Drivers!$C$8)*Supuestos!J$13</f>
        <v>138143958.586242</v>
      </c>
      <c r="O5" s="24" t="n">
        <f aca="false">$G5*Supuestos!K$6*(Drivers!K$6/100)*(Drivers!K$7/Drivers!$C$7)*(Drivers!K$8/Drivers!$C$8)*Supuestos!K$13</f>
        <v>139374944.355822</v>
      </c>
      <c r="P5" s="24" t="n">
        <f aca="false">$G5*Supuestos!L$6*(Drivers!L$6/100)*(Drivers!L$7/Drivers!$C$7)*(Drivers!L$8/Drivers!$C$8)*Supuestos!L$13</f>
        <v>140602837.615597</v>
      </c>
      <c r="Q5" s="24" t="n">
        <f aca="false">$G5*Supuestos!M$6*(Drivers!M$6/100)*(Drivers!M$7/Drivers!$C$7)*(Drivers!M$8/Drivers!$C$8)*Supuestos!M$13</f>
        <v>144721506.596256</v>
      </c>
      <c r="R5" s="24" t="n">
        <f aca="false">$G5*Supuestos!N$6*(Drivers!N$6/100)*(Drivers!N$7/Drivers!$C$7)*(Drivers!N$8/Drivers!$C$8)*Supuestos!N$13</f>
        <v>148945927.373801</v>
      </c>
      <c r="S5" s="24" t="n">
        <f aca="false">$G5*Supuestos!O$6*(Drivers!O$6/100)*(Drivers!O$7/Drivers!$C$7)*(Drivers!O$8/Drivers!$C$8)*Supuestos!O$13</f>
        <v>153278631.677011</v>
      </c>
      <c r="T5" s="24" t="n">
        <f aca="false">$G5*Supuestos!P$6*(Drivers!P$6/100)*(Drivers!P$7/Drivers!$C$7)*(Drivers!P$8/Drivers!$C$8)*Supuestos!P$13</f>
        <v>154659642.093787</v>
      </c>
      <c r="U5" s="24" t="n">
        <f aca="false">$G5*Supuestos!Q$6*(Drivers!Q$6/100)*(Drivers!Q$7/Drivers!$C$7)*(Drivers!Q$8/Drivers!$C$8)*Supuestos!Q$13</f>
        <v>156037797.320365</v>
      </c>
      <c r="V5" s="24" t="n">
        <f aca="false">$G5*Supuestos!R$6*(Drivers!R$6/100)*(Drivers!R$7/Drivers!$C$7)*(Drivers!R$8/Drivers!$C$8)*Supuestos!R$13</f>
        <v>154232440.005369</v>
      </c>
    </row>
    <row r="6" customFormat="false" ht="15" hidden="false" customHeight="false" outlineLevel="0" collapsed="false">
      <c r="A6" s="6" t="s">
        <v>135</v>
      </c>
      <c r="B6" s="6" t="s">
        <v>136</v>
      </c>
      <c r="C6" s="6" t="s">
        <v>140</v>
      </c>
      <c r="D6" s="6" t="s">
        <v>141</v>
      </c>
      <c r="E6" s="6" t="s">
        <v>142</v>
      </c>
      <c r="F6" s="6" t="s">
        <v>29</v>
      </c>
      <c r="G6" s="24" t="n">
        <v>-19388811.03</v>
      </c>
      <c r="H6" s="24" t="n">
        <f aca="false">$G6*Supuestos!D$10*(Drivers!D$9/Drivers!$C$9)</f>
        <v>-20552139.6918</v>
      </c>
      <c r="I6" s="24" t="n">
        <f aca="false">$G6*Supuestos!E$10*(Drivers!E$9/Drivers!$C$9)</f>
        <v>-20552139.6918</v>
      </c>
      <c r="J6" s="24" t="n">
        <f aca="false">$G6*Supuestos!F$10*(Drivers!F$9/Drivers!$C$9)</f>
        <v>-20552139.6918</v>
      </c>
      <c r="K6" s="24" t="n">
        <f aca="false">$G6*Supuestos!G$10*(Drivers!G$9/Drivers!$C$9)</f>
        <v>-21682507.374849</v>
      </c>
      <c r="L6" s="24" t="n">
        <f aca="false">$G6*Supuestos!H$10*(Drivers!H$9/Drivers!$C$9)</f>
        <v>-21682507.374849</v>
      </c>
      <c r="M6" s="24" t="n">
        <f aca="false">$G6*Supuestos!I$10*(Drivers!I$9/Drivers!$C$9)</f>
        <v>-21682507.374849</v>
      </c>
      <c r="N6" s="24" t="n">
        <f aca="false">$G6*Supuestos!J$10*(Drivers!J$9/Drivers!$C$9)</f>
        <v>-22875045.2804657</v>
      </c>
      <c r="O6" s="24" t="n">
        <f aca="false">$G6*Supuestos!K$10*(Drivers!K$9/Drivers!$C$9)</f>
        <v>-22875045.2804657</v>
      </c>
      <c r="P6" s="24" t="n">
        <f aca="false">$G6*Supuestos!L$10*(Drivers!L$9/Drivers!$C$9)</f>
        <v>-22875045.2804657</v>
      </c>
      <c r="Q6" s="24" t="n">
        <f aca="false">$G6*Supuestos!M$10*(Drivers!M$9/Drivers!$C$9)</f>
        <v>-24133172.7708913</v>
      </c>
      <c r="R6" s="24" t="n">
        <f aca="false">$G6*Supuestos!N$10*(Drivers!N$9/Drivers!$C$9)</f>
        <v>-24133172.7708913</v>
      </c>
      <c r="S6" s="24" t="n">
        <f aca="false">$G6*Supuestos!O$10*(Drivers!O$9/Drivers!$C$9)</f>
        <v>-24133172.7708913</v>
      </c>
      <c r="T6" s="24" t="n">
        <f aca="false">$G6*Supuestos!P$10*(Drivers!P$9/Drivers!$C$9)</f>
        <v>-25460497.2732903</v>
      </c>
      <c r="U6" s="24" t="n">
        <f aca="false">$G6*Supuestos!Q$10*(Drivers!Q$9/Drivers!$C$9)</f>
        <v>-25460497.2732903</v>
      </c>
      <c r="V6" s="24" t="n">
        <f aca="false">$G6*Supuestos!R$10*(Drivers!R$9/Drivers!$C$9)</f>
        <v>-25460497.2732903</v>
      </c>
    </row>
    <row r="7" customFormat="false" ht="15" hidden="false" customHeight="false" outlineLevel="0" collapsed="false">
      <c r="A7" s="6" t="s">
        <v>135</v>
      </c>
      <c r="B7" s="6" t="s">
        <v>136</v>
      </c>
      <c r="C7" s="6" t="s">
        <v>140</v>
      </c>
      <c r="D7" s="6" t="s">
        <v>141</v>
      </c>
      <c r="E7" s="6" t="s">
        <v>143</v>
      </c>
      <c r="F7" s="6" t="s">
        <v>29</v>
      </c>
      <c r="G7" s="24" t="n">
        <v>-4170292.04</v>
      </c>
      <c r="H7" s="24" t="n">
        <f aca="false">$G7*Supuestos!D$10*(Drivers!D$9/Drivers!$C$9)</f>
        <v>-4420509.5624</v>
      </c>
      <c r="I7" s="24" t="n">
        <f aca="false">$G7*Supuestos!E$10*(Drivers!E$9/Drivers!$C$9)</f>
        <v>-4420509.5624</v>
      </c>
      <c r="J7" s="24" t="n">
        <f aca="false">$G7*Supuestos!F$10*(Drivers!F$9/Drivers!$C$9)</f>
        <v>-4420509.5624</v>
      </c>
      <c r="K7" s="24" t="n">
        <f aca="false">$G7*Supuestos!G$10*(Drivers!G$9/Drivers!$C$9)</f>
        <v>-4663637.588332</v>
      </c>
      <c r="L7" s="24" t="n">
        <f aca="false">$G7*Supuestos!H$10*(Drivers!H$9/Drivers!$C$9)</f>
        <v>-4663637.588332</v>
      </c>
      <c r="M7" s="24" t="n">
        <f aca="false">$G7*Supuestos!I$10*(Drivers!I$9/Drivers!$C$9)</f>
        <v>-4663637.588332</v>
      </c>
      <c r="N7" s="24" t="n">
        <f aca="false">$G7*Supuestos!J$10*(Drivers!J$9/Drivers!$C$9)</f>
        <v>-4920137.65569026</v>
      </c>
      <c r="O7" s="24" t="n">
        <f aca="false">$G7*Supuestos!K$10*(Drivers!K$9/Drivers!$C$9)</f>
        <v>-4920137.65569026</v>
      </c>
      <c r="P7" s="24" t="n">
        <f aca="false">$G7*Supuestos!L$10*(Drivers!L$9/Drivers!$C$9)</f>
        <v>-4920137.65569026</v>
      </c>
      <c r="Q7" s="24" t="n">
        <f aca="false">$G7*Supuestos!M$10*(Drivers!M$9/Drivers!$C$9)</f>
        <v>-5190745.22675323</v>
      </c>
      <c r="R7" s="24" t="n">
        <f aca="false">$G7*Supuestos!N$10*(Drivers!N$9/Drivers!$C$9)</f>
        <v>-5190745.22675323</v>
      </c>
      <c r="S7" s="24" t="n">
        <f aca="false">$G7*Supuestos!O$10*(Drivers!O$9/Drivers!$C$9)</f>
        <v>-5190745.22675323</v>
      </c>
      <c r="T7" s="24" t="n">
        <f aca="false">$G7*Supuestos!P$10*(Drivers!P$9/Drivers!$C$9)</f>
        <v>-5476236.21422465</v>
      </c>
      <c r="U7" s="24" t="n">
        <f aca="false">$G7*Supuestos!Q$10*(Drivers!Q$9/Drivers!$C$9)</f>
        <v>-5476236.21422465</v>
      </c>
      <c r="V7" s="24" t="n">
        <f aca="false">$G7*Supuestos!R$10*(Drivers!R$9/Drivers!$C$9)</f>
        <v>-5476236.21422465</v>
      </c>
    </row>
    <row r="8" customFormat="false" ht="15" hidden="false" customHeight="false" outlineLevel="0" collapsed="false">
      <c r="A8" s="6" t="s">
        <v>135</v>
      </c>
      <c r="B8" s="6" t="s">
        <v>136</v>
      </c>
      <c r="C8" s="6" t="s">
        <v>140</v>
      </c>
      <c r="D8" s="6" t="s">
        <v>141</v>
      </c>
      <c r="E8" s="6" t="s">
        <v>144</v>
      </c>
      <c r="F8" s="6" t="s">
        <v>29</v>
      </c>
      <c r="G8" s="24" t="n">
        <v>-986520.95</v>
      </c>
      <c r="H8" s="24" t="n">
        <f aca="false">$G8*Supuestos!D$10*(Drivers!D$9/Drivers!$C$9)</f>
        <v>-1045712.207</v>
      </c>
      <c r="I8" s="24" t="n">
        <f aca="false">$G8*Supuestos!E$10*(Drivers!E$9/Drivers!$C$9)</f>
        <v>-1045712.207</v>
      </c>
      <c r="J8" s="24" t="n">
        <f aca="false">$G8*Supuestos!F$10*(Drivers!F$9/Drivers!$C$9)</f>
        <v>-1045712.207</v>
      </c>
      <c r="K8" s="24" t="n">
        <f aca="false">$G8*Supuestos!G$10*(Drivers!G$9/Drivers!$C$9)</f>
        <v>-1103226.378385</v>
      </c>
      <c r="L8" s="24" t="n">
        <f aca="false">$G8*Supuestos!H$10*(Drivers!H$9/Drivers!$C$9)</f>
        <v>-1103226.378385</v>
      </c>
      <c r="M8" s="24" t="n">
        <f aca="false">$G8*Supuestos!I$10*(Drivers!I$9/Drivers!$C$9)</f>
        <v>-1103226.378385</v>
      </c>
      <c r="N8" s="24" t="n">
        <f aca="false">$G8*Supuestos!J$10*(Drivers!J$9/Drivers!$C$9)</f>
        <v>-1163903.82919617</v>
      </c>
      <c r="O8" s="24" t="n">
        <f aca="false">$G8*Supuestos!K$10*(Drivers!K$9/Drivers!$C$9)</f>
        <v>-1163903.82919617</v>
      </c>
      <c r="P8" s="24" t="n">
        <f aca="false">$G8*Supuestos!L$10*(Drivers!L$9/Drivers!$C$9)</f>
        <v>-1163903.82919617</v>
      </c>
      <c r="Q8" s="24" t="n">
        <f aca="false">$G8*Supuestos!M$10*(Drivers!M$9/Drivers!$C$9)</f>
        <v>-1227918.53980196</v>
      </c>
      <c r="R8" s="24" t="n">
        <f aca="false">$G8*Supuestos!N$10*(Drivers!N$9/Drivers!$C$9)</f>
        <v>-1227918.53980196</v>
      </c>
      <c r="S8" s="24" t="n">
        <f aca="false">$G8*Supuestos!O$10*(Drivers!O$9/Drivers!$C$9)</f>
        <v>-1227918.53980196</v>
      </c>
      <c r="T8" s="24" t="n">
        <f aca="false">$G8*Supuestos!P$10*(Drivers!P$9/Drivers!$C$9)</f>
        <v>-1295454.05949107</v>
      </c>
      <c r="U8" s="24" t="n">
        <f aca="false">$G8*Supuestos!Q$10*(Drivers!Q$9/Drivers!$C$9)</f>
        <v>-1295454.05949107</v>
      </c>
      <c r="V8" s="24" t="n">
        <f aca="false">$G8*Supuestos!R$10*(Drivers!R$9/Drivers!$C$9)</f>
        <v>-1295454.05949107</v>
      </c>
    </row>
    <row r="9" customFormat="false" ht="15" hidden="false" customHeight="false" outlineLevel="0" collapsed="false">
      <c r="A9" s="6" t="s">
        <v>135</v>
      </c>
      <c r="B9" s="6" t="s">
        <v>136</v>
      </c>
      <c r="C9" s="6" t="s">
        <v>140</v>
      </c>
      <c r="D9" s="6" t="s">
        <v>141</v>
      </c>
      <c r="E9" s="6" t="s">
        <v>145</v>
      </c>
      <c r="F9" s="6" t="s">
        <v>29</v>
      </c>
      <c r="G9" s="24" t="n">
        <v>-672628.03</v>
      </c>
      <c r="H9" s="24" t="n">
        <f aca="false">$G9*Supuestos!D$10*(Drivers!D$9/Drivers!$C$9)</f>
        <v>-712985.7118</v>
      </c>
      <c r="I9" s="24" t="n">
        <f aca="false">$G9*Supuestos!E$10*(Drivers!E$9/Drivers!$C$9)</f>
        <v>-712985.7118</v>
      </c>
      <c r="J9" s="24" t="n">
        <f aca="false">$G9*Supuestos!F$10*(Drivers!F$9/Drivers!$C$9)</f>
        <v>-712985.7118</v>
      </c>
      <c r="K9" s="24" t="n">
        <f aca="false">$G9*Supuestos!G$10*(Drivers!G$9/Drivers!$C$9)</f>
        <v>-752199.925949</v>
      </c>
      <c r="L9" s="24" t="n">
        <f aca="false">$G9*Supuestos!H$10*(Drivers!H$9/Drivers!$C$9)</f>
        <v>-752199.925949</v>
      </c>
      <c r="M9" s="24" t="n">
        <f aca="false">$G9*Supuestos!I$10*(Drivers!I$9/Drivers!$C$9)</f>
        <v>-752199.925949</v>
      </c>
      <c r="N9" s="24" t="n">
        <f aca="false">$G9*Supuestos!J$10*(Drivers!J$9/Drivers!$C$9)</f>
        <v>-793570.921876195</v>
      </c>
      <c r="O9" s="24" t="n">
        <f aca="false">$G9*Supuestos!K$10*(Drivers!K$9/Drivers!$C$9)</f>
        <v>-793570.921876195</v>
      </c>
      <c r="P9" s="24" t="n">
        <f aca="false">$G9*Supuestos!L$10*(Drivers!L$9/Drivers!$C$9)</f>
        <v>-793570.921876195</v>
      </c>
      <c r="Q9" s="24" t="n">
        <f aca="false">$G9*Supuestos!M$10*(Drivers!M$9/Drivers!$C$9)</f>
        <v>-837217.322579386</v>
      </c>
      <c r="R9" s="24" t="n">
        <f aca="false">$G9*Supuestos!N$10*(Drivers!N$9/Drivers!$C$9)</f>
        <v>-837217.322579386</v>
      </c>
      <c r="S9" s="24" t="n">
        <f aca="false">$G9*Supuestos!O$10*(Drivers!O$9/Drivers!$C$9)</f>
        <v>-837217.322579386</v>
      </c>
      <c r="T9" s="24" t="n">
        <f aca="false">$G9*Supuestos!P$10*(Drivers!P$9/Drivers!$C$9)</f>
        <v>-883264.275321252</v>
      </c>
      <c r="U9" s="24" t="n">
        <f aca="false">$G9*Supuestos!Q$10*(Drivers!Q$9/Drivers!$C$9)</f>
        <v>-883264.275321252</v>
      </c>
      <c r="V9" s="24" t="n">
        <f aca="false">$G9*Supuestos!R$10*(Drivers!R$9/Drivers!$C$9)</f>
        <v>-883264.275321252</v>
      </c>
    </row>
    <row r="10" customFormat="false" ht="15" hidden="false" customHeight="false" outlineLevel="0" collapsed="false">
      <c r="A10" s="6" t="s">
        <v>135</v>
      </c>
      <c r="B10" s="6" t="s">
        <v>136</v>
      </c>
      <c r="C10" s="6" t="s">
        <v>140</v>
      </c>
      <c r="D10" s="6" t="s">
        <v>141</v>
      </c>
      <c r="E10" s="6" t="s">
        <v>146</v>
      </c>
      <c r="F10" s="6" t="s">
        <v>29</v>
      </c>
      <c r="G10" s="24" t="n">
        <v>-1277993.13</v>
      </c>
      <c r="H10" s="24" t="n">
        <f aca="false">$G10*Supuestos!D$10*(Drivers!D$9/Drivers!$C$9)</f>
        <v>-1354672.7178</v>
      </c>
      <c r="I10" s="24" t="n">
        <f aca="false">$G10*Supuestos!E$10*(Drivers!E$9/Drivers!$C$9)</f>
        <v>-1354672.7178</v>
      </c>
      <c r="J10" s="24" t="n">
        <f aca="false">$G10*Supuestos!F$10*(Drivers!F$9/Drivers!$C$9)</f>
        <v>-1354672.7178</v>
      </c>
      <c r="K10" s="24" t="n">
        <f aca="false">$G10*Supuestos!G$10*(Drivers!G$9/Drivers!$C$9)</f>
        <v>-1429179.717279</v>
      </c>
      <c r="L10" s="24" t="n">
        <f aca="false">$G10*Supuestos!H$10*(Drivers!H$9/Drivers!$C$9)</f>
        <v>-1429179.717279</v>
      </c>
      <c r="M10" s="24" t="n">
        <f aca="false">$G10*Supuestos!I$10*(Drivers!I$9/Drivers!$C$9)</f>
        <v>-1429179.717279</v>
      </c>
      <c r="N10" s="24" t="n">
        <f aca="false">$G10*Supuestos!J$10*(Drivers!J$9/Drivers!$C$9)</f>
        <v>-1507784.60172934</v>
      </c>
      <c r="O10" s="24" t="n">
        <f aca="false">$G10*Supuestos!K$10*(Drivers!K$9/Drivers!$C$9)</f>
        <v>-1507784.60172934</v>
      </c>
      <c r="P10" s="24" t="n">
        <f aca="false">$G10*Supuestos!L$10*(Drivers!L$9/Drivers!$C$9)</f>
        <v>-1507784.60172934</v>
      </c>
      <c r="Q10" s="24" t="n">
        <f aca="false">$G10*Supuestos!M$10*(Drivers!M$9/Drivers!$C$9)</f>
        <v>-1590712.75482446</v>
      </c>
      <c r="R10" s="24" t="n">
        <f aca="false">$G10*Supuestos!N$10*(Drivers!N$9/Drivers!$C$9)</f>
        <v>-1590712.75482446</v>
      </c>
      <c r="S10" s="24" t="n">
        <f aca="false">$G10*Supuestos!O$10*(Drivers!O$9/Drivers!$C$9)</f>
        <v>-1590712.75482446</v>
      </c>
      <c r="T10" s="24" t="n">
        <f aca="false">$G10*Supuestos!P$10*(Drivers!P$9/Drivers!$C$9)</f>
        <v>-1678201.9563398</v>
      </c>
      <c r="U10" s="24" t="n">
        <f aca="false">$G10*Supuestos!Q$10*(Drivers!Q$9/Drivers!$C$9)</f>
        <v>-1678201.9563398</v>
      </c>
      <c r="V10" s="24" t="n">
        <f aca="false">$G10*Supuestos!R$10*(Drivers!R$9/Drivers!$C$9)</f>
        <v>-1678201.9563398</v>
      </c>
    </row>
    <row r="11" customFormat="false" ht="15" hidden="false" customHeight="false" outlineLevel="0" collapsed="false">
      <c r="A11" s="6" t="s">
        <v>135</v>
      </c>
      <c r="B11" s="6" t="s">
        <v>136</v>
      </c>
      <c r="C11" s="6" t="s">
        <v>140</v>
      </c>
      <c r="D11" s="6" t="s">
        <v>141</v>
      </c>
      <c r="E11" s="6" t="s">
        <v>147</v>
      </c>
      <c r="F11" s="6" t="s">
        <v>29</v>
      </c>
      <c r="G11" s="24" t="n">
        <v>-1434939.42</v>
      </c>
      <c r="H11" s="24" t="n">
        <f aca="false">$G11*Supuestos!D$10*(Drivers!D$9/Drivers!$C$9)</f>
        <v>-1521035.7852</v>
      </c>
      <c r="I11" s="24" t="n">
        <f aca="false">$G11*Supuestos!E$10*(Drivers!E$9/Drivers!$C$9)</f>
        <v>-1521035.7852</v>
      </c>
      <c r="J11" s="24" t="n">
        <f aca="false">$G11*Supuestos!F$10*(Drivers!F$9/Drivers!$C$9)</f>
        <v>-1521035.7852</v>
      </c>
      <c r="K11" s="24" t="n">
        <f aca="false">$G11*Supuestos!G$10*(Drivers!G$9/Drivers!$C$9)</f>
        <v>-1604692.753386</v>
      </c>
      <c r="L11" s="24" t="n">
        <f aca="false">$G11*Supuestos!H$10*(Drivers!H$9/Drivers!$C$9)</f>
        <v>-1604692.753386</v>
      </c>
      <c r="M11" s="24" t="n">
        <f aca="false">$G11*Supuestos!I$10*(Drivers!I$9/Drivers!$C$9)</f>
        <v>-1604692.753386</v>
      </c>
      <c r="N11" s="24" t="n">
        <f aca="false">$G11*Supuestos!J$10*(Drivers!J$9/Drivers!$C$9)</f>
        <v>-1692950.85482223</v>
      </c>
      <c r="O11" s="24" t="n">
        <f aca="false">$G11*Supuestos!K$10*(Drivers!K$9/Drivers!$C$9)</f>
        <v>-1692950.85482223</v>
      </c>
      <c r="P11" s="24" t="n">
        <f aca="false">$G11*Supuestos!L$10*(Drivers!L$9/Drivers!$C$9)</f>
        <v>-1692950.85482223</v>
      </c>
      <c r="Q11" s="24" t="n">
        <f aca="false">$G11*Supuestos!M$10*(Drivers!M$9/Drivers!$C$9)</f>
        <v>-1786063.15183745</v>
      </c>
      <c r="R11" s="24" t="n">
        <f aca="false">$G11*Supuestos!N$10*(Drivers!N$9/Drivers!$C$9)</f>
        <v>-1786063.15183745</v>
      </c>
      <c r="S11" s="24" t="n">
        <f aca="false">$G11*Supuestos!O$10*(Drivers!O$9/Drivers!$C$9)</f>
        <v>-1786063.15183745</v>
      </c>
      <c r="T11" s="24" t="n">
        <f aca="false">$G11*Supuestos!P$10*(Drivers!P$9/Drivers!$C$9)</f>
        <v>-1884296.62518851</v>
      </c>
      <c r="U11" s="24" t="n">
        <f aca="false">$G11*Supuestos!Q$10*(Drivers!Q$9/Drivers!$C$9)</f>
        <v>-1884296.62518851</v>
      </c>
      <c r="V11" s="24" t="n">
        <f aca="false">$G11*Supuestos!R$10*(Drivers!R$9/Drivers!$C$9)</f>
        <v>-1884296.62518851</v>
      </c>
    </row>
    <row r="12" customFormat="false" ht="15" hidden="false" customHeight="false" outlineLevel="0" collapsed="false">
      <c r="A12" s="6" t="s">
        <v>135</v>
      </c>
      <c r="B12" s="6" t="s">
        <v>136</v>
      </c>
      <c r="C12" s="6" t="s">
        <v>140</v>
      </c>
      <c r="D12" s="6" t="s">
        <v>141</v>
      </c>
      <c r="E12" s="6" t="s">
        <v>148</v>
      </c>
      <c r="F12" s="6" t="s">
        <v>41</v>
      </c>
      <c r="G12" s="24" t="n">
        <v>-225265.47</v>
      </c>
      <c r="H12" s="24" t="n">
        <f aca="false">0</f>
        <v>0</v>
      </c>
      <c r="I12" s="24" t="n">
        <f aca="false">0</f>
        <v>0</v>
      </c>
      <c r="J12" s="24" t="n">
        <f aca="false">0</f>
        <v>0</v>
      </c>
      <c r="K12" s="24" t="n">
        <f aca="false">0</f>
        <v>0</v>
      </c>
      <c r="L12" s="24" t="n">
        <f aca="false">0</f>
        <v>0</v>
      </c>
      <c r="M12" s="24" t="n">
        <f aca="false">0</f>
        <v>0</v>
      </c>
      <c r="N12" s="24" t="n">
        <f aca="false">0</f>
        <v>0</v>
      </c>
      <c r="O12" s="24" t="n">
        <f aca="false">0</f>
        <v>0</v>
      </c>
      <c r="P12" s="24" t="n">
        <f aca="false">0</f>
        <v>0</v>
      </c>
      <c r="Q12" s="24" t="n">
        <f aca="false">0</f>
        <v>0</v>
      </c>
      <c r="R12" s="24" t="n">
        <f aca="false">0</f>
        <v>0</v>
      </c>
      <c r="S12" s="24" t="n">
        <f aca="false">0</f>
        <v>0</v>
      </c>
      <c r="T12" s="24" t="n">
        <f aca="false">0</f>
        <v>0</v>
      </c>
      <c r="U12" s="24" t="n">
        <f aca="false">0</f>
        <v>0</v>
      </c>
      <c r="V12" s="24" t="n">
        <f aca="false">0</f>
        <v>0</v>
      </c>
    </row>
    <row r="13" customFormat="false" ht="15" hidden="false" customHeight="false" outlineLevel="0" collapsed="false">
      <c r="A13" s="6" t="s">
        <v>135</v>
      </c>
      <c r="B13" s="6" t="s">
        <v>136</v>
      </c>
      <c r="C13" s="6" t="s">
        <v>140</v>
      </c>
      <c r="D13" s="6" t="s">
        <v>149</v>
      </c>
      <c r="E13" s="6" t="s">
        <v>150</v>
      </c>
      <c r="F13" s="6" t="s">
        <v>31</v>
      </c>
      <c r="G13" s="24" t="n">
        <v>-7098000</v>
      </c>
      <c r="H13" s="24" t="n">
        <f aca="false">$G13*Supuestos!D$8*(Drivers!D$9/Drivers!$C$9)</f>
        <v>-7269600</v>
      </c>
      <c r="I13" s="24" t="n">
        <f aca="false">$G13*Supuestos!E$8*(Drivers!E$9/Drivers!$C$9)</f>
        <v>-7446400</v>
      </c>
      <c r="J13" s="24" t="n">
        <f aca="false">$G13*Supuestos!F$8*(Drivers!F$9/Drivers!$C$9)</f>
        <v>-7618000</v>
      </c>
      <c r="K13" s="24" t="n">
        <f aca="false">$G13*Supuestos!G$8*(Drivers!G$9/Drivers!$C$9)</f>
        <v>-7742800</v>
      </c>
      <c r="L13" s="24" t="n">
        <f aca="false">$G13*Supuestos!H$8*(Drivers!H$9/Drivers!$C$9)</f>
        <v>-7862400</v>
      </c>
      <c r="M13" s="24" t="n">
        <f aca="false">$G13*Supuestos!I$8*(Drivers!I$9/Drivers!$C$9)</f>
        <v>-7987200</v>
      </c>
      <c r="N13" s="24" t="n">
        <f aca="false">$G13*Supuestos!J$8*(Drivers!J$9/Drivers!$C$9)</f>
        <v>-8112000</v>
      </c>
      <c r="O13" s="24" t="n">
        <f aca="false">$G13*Supuestos!K$8*(Drivers!K$9/Drivers!$C$9)</f>
        <v>-8236800</v>
      </c>
      <c r="P13" s="24" t="n">
        <f aca="false">$G13*Supuestos!L$8*(Drivers!L$9/Drivers!$C$9)</f>
        <v>-8361600</v>
      </c>
      <c r="Q13" s="24" t="n">
        <f aca="false">$G13*Supuestos!M$8*(Drivers!M$9/Drivers!$C$9)</f>
        <v>-8481200</v>
      </c>
      <c r="R13" s="24" t="n">
        <f aca="false">$G13*Supuestos!N$8*(Drivers!N$9/Drivers!$C$9)</f>
        <v>-8606000</v>
      </c>
      <c r="S13" s="24" t="n">
        <f aca="false">$G13*Supuestos!O$8*(Drivers!O$9/Drivers!$C$9)</f>
        <v>-8730800</v>
      </c>
      <c r="T13" s="24" t="n">
        <f aca="false">$G13*Supuestos!P$8*(Drivers!P$9/Drivers!$C$9)</f>
        <v>-8850400</v>
      </c>
      <c r="U13" s="24" t="n">
        <f aca="false">$G13*Supuestos!Q$8*(Drivers!Q$9/Drivers!$C$9)</f>
        <v>-8975200</v>
      </c>
      <c r="V13" s="24" t="n">
        <f aca="false">$G13*Supuestos!R$8*(Drivers!R$9/Drivers!$C$9)</f>
        <v>-9100000</v>
      </c>
    </row>
    <row r="14" customFormat="false" ht="15" hidden="false" customHeight="false" outlineLevel="0" collapsed="false">
      <c r="A14" s="6" t="s">
        <v>135</v>
      </c>
      <c r="B14" s="6" t="s">
        <v>136</v>
      </c>
      <c r="C14" s="6" t="s">
        <v>140</v>
      </c>
      <c r="D14" s="6" t="s">
        <v>151</v>
      </c>
      <c r="E14" s="6" t="s">
        <v>152</v>
      </c>
      <c r="F14" s="6" t="s">
        <v>31</v>
      </c>
      <c r="G14" s="24" t="n">
        <v>-1842750</v>
      </c>
      <c r="H14" s="24" t="n">
        <f aca="false">$G14*Supuestos!D$8*(Drivers!D$9/Drivers!$C$9)</f>
        <v>-1887300</v>
      </c>
      <c r="I14" s="24" t="n">
        <f aca="false">$G14*Supuestos!E$8*(Drivers!E$9/Drivers!$C$9)</f>
        <v>-1933200</v>
      </c>
      <c r="J14" s="24" t="n">
        <f aca="false">$G14*Supuestos!F$8*(Drivers!F$9/Drivers!$C$9)</f>
        <v>-1977750</v>
      </c>
      <c r="K14" s="24" t="n">
        <f aca="false">$G14*Supuestos!G$8*(Drivers!G$9/Drivers!$C$9)</f>
        <v>-2010150</v>
      </c>
      <c r="L14" s="24" t="n">
        <f aca="false">$G14*Supuestos!H$8*(Drivers!H$9/Drivers!$C$9)</f>
        <v>-2041200</v>
      </c>
      <c r="M14" s="24" t="n">
        <f aca="false">$G14*Supuestos!I$8*(Drivers!I$9/Drivers!$C$9)</f>
        <v>-2073600</v>
      </c>
      <c r="N14" s="24" t="n">
        <f aca="false">$G14*Supuestos!J$8*(Drivers!J$9/Drivers!$C$9)</f>
        <v>-2106000</v>
      </c>
      <c r="O14" s="24" t="n">
        <f aca="false">$G14*Supuestos!K$8*(Drivers!K$9/Drivers!$C$9)</f>
        <v>-2138400</v>
      </c>
      <c r="P14" s="24" t="n">
        <f aca="false">$G14*Supuestos!L$8*(Drivers!L$9/Drivers!$C$9)</f>
        <v>-2170800</v>
      </c>
      <c r="Q14" s="24" t="n">
        <f aca="false">$G14*Supuestos!M$8*(Drivers!M$9/Drivers!$C$9)</f>
        <v>-2201850</v>
      </c>
      <c r="R14" s="24" t="n">
        <f aca="false">$G14*Supuestos!N$8*(Drivers!N$9/Drivers!$C$9)</f>
        <v>-2234250</v>
      </c>
      <c r="S14" s="24" t="n">
        <f aca="false">$G14*Supuestos!O$8*(Drivers!O$9/Drivers!$C$9)</f>
        <v>-2266650</v>
      </c>
      <c r="T14" s="24" t="n">
        <f aca="false">$G14*Supuestos!P$8*(Drivers!P$9/Drivers!$C$9)</f>
        <v>-2297700</v>
      </c>
      <c r="U14" s="24" t="n">
        <f aca="false">$G14*Supuestos!Q$8*(Drivers!Q$9/Drivers!$C$9)</f>
        <v>-2330100</v>
      </c>
      <c r="V14" s="24" t="n">
        <f aca="false">$G14*Supuestos!R$8*(Drivers!R$9/Drivers!$C$9)</f>
        <v>-2362500</v>
      </c>
    </row>
    <row r="15" customFormat="false" ht="15" hidden="false" customHeight="false" outlineLevel="0" collapsed="false">
      <c r="A15" s="6" t="s">
        <v>135</v>
      </c>
      <c r="B15" s="6" t="s">
        <v>136</v>
      </c>
      <c r="C15" s="6" t="s">
        <v>140</v>
      </c>
      <c r="D15" s="6" t="s">
        <v>153</v>
      </c>
      <c r="E15" s="6" t="s">
        <v>154</v>
      </c>
      <c r="F15" s="6" t="s">
        <v>33</v>
      </c>
      <c r="G15" s="24" t="n">
        <v>-1202036.99</v>
      </c>
      <c r="H15" s="24" t="n">
        <f aca="false">$G15*Supuestos!D$6*(Drivers!D$9/Drivers!$C$9)</f>
        <v>-1229683.84077</v>
      </c>
      <c r="I15" s="24" t="n">
        <f aca="false">$G15*Supuestos!E$6*(Drivers!E$9/Drivers!$C$9)</f>
        <v>-1257966.56910771</v>
      </c>
      <c r="J15" s="24" t="n">
        <f aca="false">$G15*Supuestos!F$6*(Drivers!F$9/Drivers!$C$9)</f>
        <v>-1286899.80019719</v>
      </c>
      <c r="K15" s="24" t="n">
        <f aca="false">$G15*Supuestos!G$6*(Drivers!G$9/Drivers!$C$9)</f>
        <v>-1311350.89640093</v>
      </c>
      <c r="L15" s="24" t="n">
        <f aca="false">$G15*Supuestos!H$6*(Drivers!H$9/Drivers!$C$9)</f>
        <v>-1336266.56343255</v>
      </c>
      <c r="M15" s="24" t="n">
        <f aca="false">$G15*Supuestos!I$6*(Drivers!I$9/Drivers!$C$9)</f>
        <v>-1361655.62813777</v>
      </c>
      <c r="N15" s="24" t="n">
        <f aca="false">$G15*Supuestos!J$6*(Drivers!J$9/Drivers!$C$9)</f>
        <v>-1387527.08507239</v>
      </c>
      <c r="O15" s="24" t="n">
        <f aca="false">$G15*Supuestos!K$6*(Drivers!K$9/Drivers!$C$9)</f>
        <v>-1413890.09968876</v>
      </c>
      <c r="P15" s="24" t="n">
        <f aca="false">$G15*Supuestos!L$6*(Drivers!L$9/Drivers!$C$9)</f>
        <v>-1440754.01158285</v>
      </c>
      <c r="Q15" s="24" t="n">
        <f aca="false">$G15*Supuestos!M$6*(Drivers!M$9/Drivers!$C$9)</f>
        <v>-1468128.33780292</v>
      </c>
      <c r="R15" s="24" t="n">
        <f aca="false">$G15*Supuestos!N$6*(Drivers!N$9/Drivers!$C$9)</f>
        <v>-1496022.77622118</v>
      </c>
      <c r="S15" s="24" t="n">
        <f aca="false">$G15*Supuestos!O$6*(Drivers!O$9/Drivers!$C$9)</f>
        <v>-1524447.20896938</v>
      </c>
      <c r="T15" s="24" t="n">
        <f aca="false">$G15*Supuestos!P$6*(Drivers!P$9/Drivers!$C$9)</f>
        <v>-1553411.7059398</v>
      </c>
      <c r="U15" s="24" t="n">
        <f aca="false">$G15*Supuestos!Q$6*(Drivers!Q$9/Drivers!$C$9)</f>
        <v>-1582926.52835265</v>
      </c>
      <c r="V15" s="24" t="n">
        <f aca="false">$G15*Supuestos!R$6*(Drivers!R$9/Drivers!$C$9)</f>
        <v>-1613002.13239135</v>
      </c>
    </row>
    <row r="16" customFormat="false" ht="15" hidden="false" customHeight="false" outlineLevel="0" collapsed="false">
      <c r="A16" s="6" t="s">
        <v>135</v>
      </c>
      <c r="B16" s="6" t="s">
        <v>136</v>
      </c>
      <c r="C16" s="6" t="s">
        <v>140</v>
      </c>
      <c r="D16" s="6" t="s">
        <v>153</v>
      </c>
      <c r="E16" s="6" t="s">
        <v>155</v>
      </c>
      <c r="F16" s="6" t="s">
        <v>33</v>
      </c>
      <c r="G16" s="24" t="n">
        <v>-309095.1</v>
      </c>
      <c r="H16" s="24" t="n">
        <f aca="false">$G16*Supuestos!D$6*(Drivers!D$9/Drivers!$C$9)</f>
        <v>-316204.2873</v>
      </c>
      <c r="I16" s="24" t="n">
        <f aca="false">$G16*Supuestos!E$6*(Drivers!E$9/Drivers!$C$9)</f>
        <v>-323476.9859079</v>
      </c>
      <c r="J16" s="24" t="n">
        <f aca="false">$G16*Supuestos!F$6*(Drivers!F$9/Drivers!$C$9)</f>
        <v>-330916.956583782</v>
      </c>
      <c r="K16" s="24" t="n">
        <f aca="false">$G16*Supuestos!G$6*(Drivers!G$9/Drivers!$C$9)</f>
        <v>-337204.378758873</v>
      </c>
      <c r="L16" s="24" t="n">
        <f aca="false">$G16*Supuestos!H$6*(Drivers!H$9/Drivers!$C$9)</f>
        <v>-343611.261955292</v>
      </c>
      <c r="M16" s="24" t="n">
        <f aca="false">$G16*Supuestos!I$6*(Drivers!I$9/Drivers!$C$9)</f>
        <v>-350139.875932442</v>
      </c>
      <c r="N16" s="24" t="n">
        <f aca="false">$G16*Supuestos!J$6*(Drivers!J$9/Drivers!$C$9)</f>
        <v>-356792.533575159</v>
      </c>
      <c r="O16" s="24" t="n">
        <f aca="false">$G16*Supuestos!K$6*(Drivers!K$9/Drivers!$C$9)</f>
        <v>-363571.591713087</v>
      </c>
      <c r="P16" s="24" t="n">
        <f aca="false">$G16*Supuestos!L$6*(Drivers!L$9/Drivers!$C$9)</f>
        <v>-370479.451955635</v>
      </c>
      <c r="Q16" s="24" t="n">
        <f aca="false">$G16*Supuestos!M$6*(Drivers!M$9/Drivers!$C$9)</f>
        <v>-377518.561542792</v>
      </c>
      <c r="R16" s="24" t="n">
        <f aca="false">$G16*Supuestos!N$6*(Drivers!N$9/Drivers!$C$9)</f>
        <v>-384691.414212105</v>
      </c>
      <c r="S16" s="24" t="n">
        <f aca="false">$G16*Supuestos!O$6*(Drivers!O$9/Drivers!$C$9)</f>
        <v>-392000.551082135</v>
      </c>
      <c r="T16" s="24" t="n">
        <f aca="false">$G16*Supuestos!P$6*(Drivers!P$9/Drivers!$C$9)</f>
        <v>-399448.561552696</v>
      </c>
      <c r="U16" s="24" t="n">
        <f aca="false">$G16*Supuestos!Q$6*(Drivers!Q$9/Drivers!$C$9)</f>
        <v>-407038.084222197</v>
      </c>
      <c r="V16" s="24" t="n">
        <f aca="false">$G16*Supuestos!R$6*(Drivers!R$9/Drivers!$C$9)</f>
        <v>-414771.807822419</v>
      </c>
    </row>
    <row r="17" customFormat="false" ht="15" hidden="false" customHeight="false" outlineLevel="0" collapsed="false">
      <c r="A17" s="6" t="s">
        <v>135</v>
      </c>
      <c r="B17" s="6" t="s">
        <v>136</v>
      </c>
      <c r="C17" s="6" t="s">
        <v>140</v>
      </c>
      <c r="D17" s="6" t="s">
        <v>153</v>
      </c>
      <c r="E17" s="6" t="s">
        <v>156</v>
      </c>
      <c r="F17" s="6" t="s">
        <v>33</v>
      </c>
      <c r="G17" s="24" t="n">
        <v>-206063.51</v>
      </c>
      <c r="H17" s="24" t="n">
        <f aca="false">$G17*Supuestos!D$6*(Drivers!D$9/Drivers!$C$9)</f>
        <v>-210802.97073</v>
      </c>
      <c r="I17" s="24" t="n">
        <f aca="false">$G17*Supuestos!E$6*(Drivers!E$9/Drivers!$C$9)</f>
        <v>-215651.43905679</v>
      </c>
      <c r="J17" s="24" t="n">
        <f aca="false">$G17*Supuestos!F$6*(Drivers!F$9/Drivers!$C$9)</f>
        <v>-220611.422155096</v>
      </c>
      <c r="K17" s="24" t="n">
        <f aca="false">$G17*Supuestos!G$6*(Drivers!G$9/Drivers!$C$9)</f>
        <v>-224803.039176043</v>
      </c>
      <c r="L17" s="24" t="n">
        <f aca="false">$G17*Supuestos!H$6*(Drivers!H$9/Drivers!$C$9)</f>
        <v>-229074.296920388</v>
      </c>
      <c r="M17" s="24" t="n">
        <f aca="false">$G17*Supuestos!I$6*(Drivers!I$9/Drivers!$C$9)</f>
        <v>-233426.708561875</v>
      </c>
      <c r="N17" s="24" t="n">
        <f aca="false">$G17*Supuestos!J$6*(Drivers!J$9/Drivers!$C$9)</f>
        <v>-237861.816024551</v>
      </c>
      <c r="O17" s="24" t="n">
        <f aca="false">$G17*Supuestos!K$6*(Drivers!K$9/Drivers!$C$9)</f>
        <v>-242381.190529017</v>
      </c>
      <c r="P17" s="24" t="n">
        <f aca="false">$G17*Supuestos!L$6*(Drivers!L$9/Drivers!$C$9)</f>
        <v>-246986.433149068</v>
      </c>
      <c r="Q17" s="24" t="n">
        <f aca="false">$G17*Supuestos!M$6*(Drivers!M$9/Drivers!$C$9)</f>
        <v>-251679.175378901</v>
      </c>
      <c r="R17" s="24" t="n">
        <f aca="false">$G17*Supuestos!N$6*(Drivers!N$9/Drivers!$C$9)</f>
        <v>-256461.0797111</v>
      </c>
      <c r="S17" s="24" t="n">
        <f aca="false">$G17*Supuestos!O$6*(Drivers!O$9/Drivers!$C$9)</f>
        <v>-261333.840225611</v>
      </c>
      <c r="T17" s="24" t="n">
        <f aca="false">$G17*Supuestos!P$6*(Drivers!P$9/Drivers!$C$9)</f>
        <v>-266299.183189897</v>
      </c>
      <c r="U17" s="24" t="n">
        <f aca="false">$G17*Supuestos!Q$6*(Drivers!Q$9/Drivers!$C$9)</f>
        <v>-271358.867670505</v>
      </c>
      <c r="V17" s="24" t="n">
        <f aca="false">$G17*Supuestos!R$6*(Drivers!R$9/Drivers!$C$9)</f>
        <v>-276514.686156245</v>
      </c>
    </row>
    <row r="18" customFormat="false" ht="15" hidden="false" customHeight="false" outlineLevel="0" collapsed="false">
      <c r="A18" s="6" t="s">
        <v>135</v>
      </c>
      <c r="B18" s="6" t="s">
        <v>136</v>
      </c>
      <c r="C18" s="6" t="s">
        <v>140</v>
      </c>
      <c r="D18" s="6" t="s">
        <v>157</v>
      </c>
      <c r="E18" s="6" t="s">
        <v>158</v>
      </c>
      <c r="F18" s="6" t="s">
        <v>39</v>
      </c>
      <c r="G18" s="24" t="n">
        <v>-1994875.26</v>
      </c>
      <c r="H18" s="24" t="n">
        <f aca="false">$G18*Supuestos!D$12*(Drivers!D$6/100)</f>
        <v>-2040757.39098</v>
      </c>
      <c r="I18" s="24" t="n">
        <f aca="false">$G18*Supuestos!E$12*(Drivers!E$6/100)</f>
        <v>-2087694.81097254</v>
      </c>
      <c r="J18" s="24" t="n">
        <f aca="false">$G18*Supuestos!F$12*(Drivers!F$6/100)</f>
        <v>-2135711.79162491</v>
      </c>
      <c r="K18" s="24" t="n">
        <f aca="false">$G18*Supuestos!G$12*(Drivers!G$6/100)</f>
        <v>-2176290.31566578</v>
      </c>
      <c r="L18" s="24" t="n">
        <f aca="false">$G18*Supuestos!H$12*(Drivers!H$6/100)</f>
        <v>-2217639.83166343</v>
      </c>
      <c r="M18" s="24" t="n">
        <f aca="false">$G18*Supuestos!I$12*(Drivers!I$6/100)</f>
        <v>-2259774.98846504</v>
      </c>
      <c r="N18" s="24" t="n">
        <f aca="false">$G18*Supuestos!J$12*(Drivers!J$6/100)</f>
        <v>-2302710.71324587</v>
      </c>
      <c r="O18" s="24" t="n">
        <f aca="false">$G18*Supuestos!K$12*(Drivers!K$6/100)</f>
        <v>-2346462.21679754</v>
      </c>
      <c r="P18" s="24" t="n">
        <f aca="false">$G18*Supuestos!L$12*(Drivers!L$6/100)</f>
        <v>-2391044.9989167</v>
      </c>
      <c r="Q18" s="24" t="n">
        <f aca="false">$G18*Supuestos!M$12*(Drivers!M$6/100)</f>
        <v>-2436474.85389611</v>
      </c>
      <c r="R18" s="24" t="n">
        <f aca="false">$G18*Supuestos!N$12*(Drivers!N$6/100)</f>
        <v>-2482767.87612014</v>
      </c>
      <c r="S18" s="24" t="n">
        <f aca="false">$G18*Supuestos!O$12*(Drivers!O$6/100)</f>
        <v>-2529940.46576642</v>
      </c>
      <c r="T18" s="24" t="n">
        <f aca="false">$G18*Supuestos!P$12*(Drivers!P$6/100)</f>
        <v>-2578009.33461598</v>
      </c>
      <c r="U18" s="24" t="n">
        <f aca="false">$G18*Supuestos!Q$12*(Drivers!Q$6/100)</f>
        <v>-2626991.51197369</v>
      </c>
      <c r="V18" s="24" t="n">
        <f aca="false">$G18*Supuestos!R$12*(Drivers!R$6/100)</f>
        <v>-2676904.35070119</v>
      </c>
    </row>
    <row r="19" customFormat="false" ht="15" hidden="false" customHeight="false" outlineLevel="0" collapsed="false">
      <c r="A19" s="6" t="s">
        <v>135</v>
      </c>
      <c r="B19" s="6" t="s">
        <v>136</v>
      </c>
      <c r="C19" s="6" t="s">
        <v>140</v>
      </c>
      <c r="D19" s="6" t="s">
        <v>159</v>
      </c>
      <c r="E19" s="6" t="s">
        <v>160</v>
      </c>
      <c r="F19" s="6" t="s">
        <v>37</v>
      </c>
      <c r="G19" s="24" t="n">
        <v>-1226593.55</v>
      </c>
      <c r="H19" s="24" t="n">
        <f aca="false">$G19*Supuestos!D$6*(Drivers!D$6/100)</f>
        <v>-1254805.20165</v>
      </c>
      <c r="I19" s="24" t="n">
        <f aca="false">$G19*Supuestos!E$6*(Drivers!E$6/100)</f>
        <v>-1283665.72128795</v>
      </c>
      <c r="J19" s="24" t="n">
        <f aca="false">$G19*Supuestos!F$6*(Drivers!F$6/100)</f>
        <v>-1313190.03287757</v>
      </c>
      <c r="K19" s="24" t="n">
        <f aca="false">$G19*Supuestos!G$6*(Drivers!G$6/100)</f>
        <v>-1338140.64350225</v>
      </c>
      <c r="L19" s="24" t="n">
        <f aca="false">$G19*Supuestos!H$6*(Drivers!H$6/100)</f>
        <v>-1363565.31572879</v>
      </c>
      <c r="M19" s="24" t="n">
        <f aca="false">$G19*Supuestos!I$6*(Drivers!I$6/100)</f>
        <v>-1389473.05672764</v>
      </c>
      <c r="N19" s="24" t="n">
        <f aca="false">$G19*Supuestos!J$6*(Drivers!J$6/100)</f>
        <v>-1415873.04480546</v>
      </c>
      <c r="O19" s="24" t="n">
        <f aca="false">$G19*Supuestos!K$6*(Drivers!K$6/100)</f>
        <v>-1442774.63265676</v>
      </c>
      <c r="P19" s="24" t="n">
        <f aca="false">$G19*Supuestos!L$6*(Drivers!L$6/100)</f>
        <v>-1470187.35067724</v>
      </c>
      <c r="Q19" s="24" t="n">
        <f aca="false">$G19*Supuestos!M$6*(Drivers!M$6/100)</f>
        <v>-1498120.91034011</v>
      </c>
      <c r="R19" s="24" t="n">
        <f aca="false">$G19*Supuestos!N$6*(Drivers!N$6/100)</f>
        <v>-1526585.20763657</v>
      </c>
      <c r="S19" s="24" t="n">
        <f aca="false">$G19*Supuestos!O$6*(Drivers!O$6/100)</f>
        <v>-1555590.32658167</v>
      </c>
      <c r="T19" s="24" t="n">
        <f aca="false">$G19*Supuestos!P$6*(Drivers!P$6/100)</f>
        <v>-1585146.54278672</v>
      </c>
      <c r="U19" s="24" t="n">
        <f aca="false">$G19*Supuestos!Q$6*(Drivers!Q$6/100)</f>
        <v>-1615264.32709967</v>
      </c>
      <c r="V19" s="24" t="n">
        <f aca="false">$G19*Supuestos!R$6*(Drivers!R$6/100)</f>
        <v>-1645954.34931456</v>
      </c>
    </row>
    <row r="20" customFormat="false" ht="15" hidden="false" customHeight="false" outlineLevel="0" collapsed="false">
      <c r="A20" s="6" t="s">
        <v>135</v>
      </c>
      <c r="B20" s="6" t="s">
        <v>136</v>
      </c>
      <c r="C20" s="6" t="s">
        <v>140</v>
      </c>
      <c r="D20" s="6" t="s">
        <v>161</v>
      </c>
      <c r="E20" s="6" t="s">
        <v>162</v>
      </c>
      <c r="F20" s="6" t="s">
        <v>35</v>
      </c>
      <c r="G20" s="24" t="n">
        <v>-643879.8</v>
      </c>
      <c r="H20" s="24" t="n">
        <f aca="false">$G20*Supuestos!D$8*(Drivers!D$6/100)</f>
        <v>-659446.124835165</v>
      </c>
      <c r="I20" s="24" t="n">
        <f aca="false">$G20*Supuestos!E$8*(Drivers!E$6/100)</f>
        <v>-675484.156483517</v>
      </c>
      <c r="J20" s="24" t="n">
        <f aca="false">$G20*Supuestos!F$8*(Drivers!F$6/100)</f>
        <v>-691050.481318681</v>
      </c>
      <c r="K20" s="24" t="n">
        <f aca="false">$G20*Supuestos!G$8*(Drivers!G$6/100)</f>
        <v>-702371.444835165</v>
      </c>
      <c r="L20" s="24" t="n">
        <f aca="false">$G20*Supuestos!H$8*(Drivers!H$6/100)</f>
        <v>-713220.701538462</v>
      </c>
      <c r="M20" s="24" t="n">
        <f aca="false">$G20*Supuestos!I$8*(Drivers!I$6/100)</f>
        <v>-724541.665054945</v>
      </c>
      <c r="N20" s="24" t="n">
        <f aca="false">$G20*Supuestos!J$8*(Drivers!J$6/100)</f>
        <v>-735862.628571429</v>
      </c>
      <c r="O20" s="24" t="n">
        <f aca="false">$G20*Supuestos!K$8*(Drivers!K$6/100)</f>
        <v>-747183.592087912</v>
      </c>
      <c r="P20" s="24" t="n">
        <f aca="false">$G20*Supuestos!L$8*(Drivers!L$6/100)</f>
        <v>-758504.555604396</v>
      </c>
      <c r="Q20" s="24" t="n">
        <f aca="false">$G20*Supuestos!M$8*(Drivers!M$6/100)</f>
        <v>-769353.812307692</v>
      </c>
      <c r="R20" s="24" t="n">
        <f aca="false">$G20*Supuestos!N$8*(Drivers!N$6/100)</f>
        <v>-780674.775824176</v>
      </c>
      <c r="S20" s="24" t="n">
        <f aca="false">$G20*Supuestos!O$8*(Drivers!O$6/100)</f>
        <v>-791995.73934066</v>
      </c>
      <c r="T20" s="24" t="n">
        <f aca="false">$G20*Supuestos!P$8*(Drivers!P$6/100)</f>
        <v>-802844.996043956</v>
      </c>
      <c r="U20" s="24" t="n">
        <f aca="false">$G20*Supuestos!Q$8*(Drivers!Q$6/100)</f>
        <v>-814165.95956044</v>
      </c>
      <c r="V20" s="24" t="n">
        <f aca="false">$G20*Supuestos!R$8*(Drivers!R$6/100)</f>
        <v>-825486.923076923</v>
      </c>
    </row>
    <row r="21" customFormat="false" ht="15" hidden="false" customHeight="false" outlineLevel="0" collapsed="false">
      <c r="A21" s="6" t="s">
        <v>135</v>
      </c>
      <c r="B21" s="6" t="s">
        <v>136</v>
      </c>
      <c r="C21" s="6" t="s">
        <v>140</v>
      </c>
      <c r="D21" s="6" t="s">
        <v>163</v>
      </c>
      <c r="E21" s="6" t="s">
        <v>164</v>
      </c>
      <c r="F21" s="6" t="s">
        <v>37</v>
      </c>
      <c r="G21" s="24" t="n">
        <v>-247024.83</v>
      </c>
      <c r="H21" s="24" t="n">
        <f aca="false">$G21*Supuestos!D$6*(Drivers!D$6/100)</f>
        <v>-252706.40109</v>
      </c>
      <c r="I21" s="24" t="n">
        <f aca="false">$G21*Supuestos!E$6*(Drivers!E$6/100)</f>
        <v>-258518.64831507</v>
      </c>
      <c r="J21" s="24" t="n">
        <f aca="false">$G21*Supuestos!F$6*(Drivers!F$6/100)</f>
        <v>-264464.577226317</v>
      </c>
      <c r="K21" s="24" t="n">
        <f aca="false">$G21*Supuestos!G$6*(Drivers!G$6/100)</f>
        <v>-269489.404193617</v>
      </c>
      <c r="L21" s="24" t="n">
        <f aca="false">$G21*Supuestos!H$6*(Drivers!H$6/100)</f>
        <v>-274609.702873295</v>
      </c>
      <c r="M21" s="24" t="n">
        <f aca="false">$G21*Supuestos!I$6*(Drivers!I$6/100)</f>
        <v>-279827.287227888</v>
      </c>
      <c r="N21" s="24" t="n">
        <f aca="false">$G21*Supuestos!J$6*(Drivers!J$6/100)</f>
        <v>-285144.005685218</v>
      </c>
      <c r="O21" s="24" t="n">
        <f aca="false">$G21*Supuestos!K$6*(Drivers!K$6/100)</f>
        <v>-290561.741793237</v>
      </c>
      <c r="P21" s="24" t="n">
        <f aca="false">$G21*Supuestos!L$6*(Drivers!L$6/100)</f>
        <v>-296082.414887308</v>
      </c>
      <c r="Q21" s="24" t="n">
        <f aca="false">$G21*Supuestos!M$6*(Drivers!M$6/100)</f>
        <v>-301707.980770167</v>
      </c>
      <c r="R21" s="24" t="n">
        <f aca="false">$G21*Supuestos!N$6*(Drivers!N$6/100)</f>
        <v>-307440.4324048</v>
      </c>
      <c r="S21" s="24" t="n">
        <f aca="false">$G21*Supuestos!O$6*(Drivers!O$6/100)</f>
        <v>-313281.800620491</v>
      </c>
      <c r="T21" s="24" t="n">
        <f aca="false">$G21*Supuestos!P$6*(Drivers!P$6/100)</f>
        <v>-319234.154832281</v>
      </c>
      <c r="U21" s="24" t="n">
        <f aca="false">$G21*Supuestos!Q$6*(Drivers!Q$6/100)</f>
        <v>-325299.603774094</v>
      </c>
      <c r="V21" s="24" t="n">
        <f aca="false">$G21*Supuestos!R$6*(Drivers!R$6/100)</f>
        <v>-331480.296245802</v>
      </c>
    </row>
    <row r="22" customFormat="false" ht="15" hidden="false" customHeight="false" outlineLevel="0" collapsed="false">
      <c r="A22" s="6" t="s">
        <v>135</v>
      </c>
      <c r="B22" s="6" t="s">
        <v>136</v>
      </c>
      <c r="C22" s="6" t="s">
        <v>140</v>
      </c>
      <c r="D22" s="6" t="s">
        <v>165</v>
      </c>
      <c r="E22" s="6" t="s">
        <v>166</v>
      </c>
      <c r="F22" s="6" t="s">
        <v>35</v>
      </c>
      <c r="G22" s="24" t="n">
        <v>-552825</v>
      </c>
      <c r="H22" s="24" t="n">
        <f aca="false">$G22*Supuestos!D$8*(Drivers!D$6/100)</f>
        <v>-566190</v>
      </c>
      <c r="I22" s="24" t="n">
        <f aca="false">$G22*Supuestos!E$8*(Drivers!E$6/100)</f>
        <v>-579960</v>
      </c>
      <c r="J22" s="24" t="n">
        <f aca="false">$G22*Supuestos!F$8*(Drivers!F$6/100)</f>
        <v>-593325</v>
      </c>
      <c r="K22" s="24" t="n">
        <f aca="false">$G22*Supuestos!G$8*(Drivers!G$6/100)</f>
        <v>-603045</v>
      </c>
      <c r="L22" s="24" t="n">
        <f aca="false">$G22*Supuestos!H$8*(Drivers!H$6/100)</f>
        <v>-612360</v>
      </c>
      <c r="M22" s="24" t="n">
        <f aca="false">$G22*Supuestos!I$8*(Drivers!I$6/100)</f>
        <v>-622080</v>
      </c>
      <c r="N22" s="24" t="n">
        <f aca="false">$G22*Supuestos!J$8*(Drivers!J$6/100)</f>
        <v>-631800</v>
      </c>
      <c r="O22" s="24" t="n">
        <f aca="false">$G22*Supuestos!K$8*(Drivers!K$6/100)</f>
        <v>-641520</v>
      </c>
      <c r="P22" s="24" t="n">
        <f aca="false">$G22*Supuestos!L$8*(Drivers!L$6/100)</f>
        <v>-651240</v>
      </c>
      <c r="Q22" s="24" t="n">
        <f aca="false">$G22*Supuestos!M$8*(Drivers!M$6/100)</f>
        <v>-660555</v>
      </c>
      <c r="R22" s="24" t="n">
        <f aca="false">$G22*Supuestos!N$8*(Drivers!N$6/100)</f>
        <v>-670275</v>
      </c>
      <c r="S22" s="24" t="n">
        <f aca="false">$G22*Supuestos!O$8*(Drivers!O$6/100)</f>
        <v>-679995</v>
      </c>
      <c r="T22" s="24" t="n">
        <f aca="false">$G22*Supuestos!P$8*(Drivers!P$6/100)</f>
        <v>-689310</v>
      </c>
      <c r="U22" s="24" t="n">
        <f aca="false">$G22*Supuestos!Q$8*(Drivers!Q$6/100)</f>
        <v>-699030</v>
      </c>
      <c r="V22" s="24" t="n">
        <f aca="false">$G22*Supuestos!R$8*(Drivers!R$6/100)</f>
        <v>-708750</v>
      </c>
    </row>
    <row r="23" customFormat="false" ht="15" hidden="false" customHeight="false" outlineLevel="0" collapsed="false">
      <c r="A23" s="6" t="s">
        <v>135</v>
      </c>
      <c r="B23" s="6" t="s">
        <v>136</v>
      </c>
      <c r="C23" s="6" t="s">
        <v>167</v>
      </c>
      <c r="D23" s="6" t="s">
        <v>168</v>
      </c>
      <c r="E23" s="6" t="s">
        <v>169</v>
      </c>
      <c r="F23" s="6" t="s">
        <v>27</v>
      </c>
      <c r="G23" s="24" t="n">
        <v>-3554742.57</v>
      </c>
      <c r="H23" s="24" t="n">
        <f aca="false">$G23*Supuestos!D$6*(Drivers!D$6/100)*(Drivers!D$7/Drivers!$C$7)*(Drivers!D$8/Drivers!$C$8)*Supuestos!D$13</f>
        <v>-3672866.6656011</v>
      </c>
      <c r="I23" s="24" t="n">
        <f aca="false">$G23*Supuestos!E$6*(Drivers!E$6/100)*(Drivers!E$7/Drivers!$C$7)*(Drivers!E$8/Drivers!$C$8)*Supuestos!E$13</f>
        <v>-3720141.18703953</v>
      </c>
      <c r="J23" s="24" t="n">
        <f aca="false">$G23*Supuestos!F$6*(Drivers!F$6/100)*(Drivers!F$7/Drivers!$C$7)*(Drivers!F$8/Drivers!$C$8)*Supuestos!F$13</f>
        <v>-3691533.3013112</v>
      </c>
      <c r="K23" s="24" t="n">
        <f aca="false">$G23*Supuestos!G$6*(Drivers!G$6/100)*(Drivers!G$7/Drivers!$C$7)*(Drivers!G$8/Drivers!$C$8)*Supuestos!G$13</f>
        <v>-3722892.30585017</v>
      </c>
      <c r="L23" s="24" t="n">
        <f aca="false">$G23*Supuestos!H$6*(Drivers!H$6/100)*(Drivers!H$7/Drivers!$C$7)*(Drivers!H$8/Drivers!$C$8)*Supuestos!H$13</f>
        <v>-3833144.21028279</v>
      </c>
      <c r="M23" s="24" t="n">
        <f aca="false">$G23*Supuestos!I$6*(Drivers!I$6/100)*(Drivers!I$7/Drivers!$C$7)*(Drivers!I$8/Drivers!$C$8)*Supuestos!I$13</f>
        <v>-4147580.58637785</v>
      </c>
      <c r="N23" s="24" t="n">
        <f aca="false">$G23*Supuestos!J$6*(Drivers!J$6/100)*(Drivers!J$7/Drivers!$C$7)*(Drivers!J$8/Drivers!$C$8)*Supuestos!J$13</f>
        <v>-4144318.8967905</v>
      </c>
      <c r="O23" s="24" t="n">
        <f aca="false">$G23*Supuestos!K$6*(Drivers!K$6/100)*(Drivers!K$7/Drivers!$C$7)*(Drivers!K$8/Drivers!$C$8)*Supuestos!K$13</f>
        <v>-4181248.47111833</v>
      </c>
      <c r="P23" s="24" t="n">
        <f aca="false">$G23*Supuestos!L$6*(Drivers!L$6/100)*(Drivers!L$7/Drivers!$C$7)*(Drivers!L$8/Drivers!$C$8)*Supuestos!L$13</f>
        <v>-4218085.27014889</v>
      </c>
      <c r="Q23" s="24" t="n">
        <f aca="false">$G23*Supuestos!M$6*(Drivers!M$6/100)*(Drivers!M$7/Drivers!$C$7)*(Drivers!M$8/Drivers!$C$8)*Supuestos!M$13</f>
        <v>-4341645.3437189</v>
      </c>
      <c r="R23" s="24" t="n">
        <f aca="false">$G23*Supuestos!N$6*(Drivers!N$6/100)*(Drivers!N$7/Drivers!$C$7)*(Drivers!N$8/Drivers!$C$8)*Supuestos!N$13</f>
        <v>-4468377.97130206</v>
      </c>
      <c r="S23" s="24" t="n">
        <f aca="false">$G23*Supuestos!O$6*(Drivers!O$6/100)*(Drivers!O$7/Drivers!$C$7)*(Drivers!O$8/Drivers!$C$8)*Supuestos!O$13</f>
        <v>-4598359.10476429</v>
      </c>
      <c r="T23" s="24" t="n">
        <f aca="false">$G23*Supuestos!P$6*(Drivers!P$6/100)*(Drivers!P$7/Drivers!$C$7)*(Drivers!P$8/Drivers!$C$8)*Supuestos!P$13</f>
        <v>-4639789.41865918</v>
      </c>
      <c r="U23" s="24" t="n">
        <f aca="false">$G23*Supuestos!Q$6*(Drivers!Q$6/100)*(Drivers!Q$7/Drivers!$C$7)*(Drivers!Q$8/Drivers!$C$8)*Supuestos!Q$13</f>
        <v>-4681134.07684525</v>
      </c>
      <c r="V23" s="24" t="n">
        <f aca="false">$G23*Supuestos!R$6*(Drivers!R$6/100)*(Drivers!R$7/Drivers!$C$7)*(Drivers!R$8/Drivers!$C$8)*Supuestos!R$13</f>
        <v>-4626973.35557615</v>
      </c>
    </row>
    <row r="24" customFormat="false" ht="15" hidden="false" customHeight="false" outlineLevel="0" collapsed="false">
      <c r="A24" s="6" t="s">
        <v>170</v>
      </c>
      <c r="B24" s="6" t="s">
        <v>136</v>
      </c>
      <c r="C24" s="6" t="s">
        <v>137</v>
      </c>
      <c r="D24" s="6" t="s">
        <v>138</v>
      </c>
      <c r="E24" s="6" t="s">
        <v>139</v>
      </c>
      <c r="F24" s="6" t="s">
        <v>25</v>
      </c>
      <c r="G24" s="24" t="n">
        <v>69579411.38</v>
      </c>
      <c r="H24" s="24" t="n">
        <f aca="false">$G24*Supuestos!D$6*(Drivers!D$12/100)*(Drivers!D$13/Drivers!$C$13)*(Drivers!D$14/Drivers!$C$14)*Supuestos!D$13</f>
        <v>71891535.2201574</v>
      </c>
      <c r="I24" s="24" t="n">
        <f aca="false">$G24*Supuestos!E$6*(Drivers!E$12/100)*(Drivers!E$13/Drivers!$C$13)*(Drivers!E$14/Drivers!$C$14)*Supuestos!E$13</f>
        <v>72816871.8121</v>
      </c>
      <c r="J24" s="24" t="n">
        <f aca="false">$G24*Supuestos!F$6*(Drivers!F$12/100)*(Drivers!F$13/Drivers!$C$13)*(Drivers!F$14/Drivers!$C$14)*Supuestos!F$13</f>
        <v>72256910.0678649</v>
      </c>
      <c r="K24" s="24" t="n">
        <f aca="false">$G24*Supuestos!G$6*(Drivers!G$12/100)*(Drivers!G$13/Drivers!$C$13)*(Drivers!G$14/Drivers!$C$14)*Supuestos!G$13</f>
        <v>72870721.3451425</v>
      </c>
      <c r="L24" s="24" t="n">
        <f aca="false">$G24*Supuestos!H$6*(Drivers!H$12/100)*(Drivers!H$13/Drivers!$C$13)*(Drivers!H$14/Drivers!$C$14)*Supuestos!H$13</f>
        <v>75028757.3949783</v>
      </c>
      <c r="M24" s="24" t="n">
        <f aca="false">$G24*Supuestos!I$6*(Drivers!I$12/100)*(Drivers!I$13/Drivers!$C$13)*(Drivers!I$14/Drivers!$C$14)*Supuestos!I$13</f>
        <v>81183435.9783993</v>
      </c>
      <c r="N24" s="24" t="n">
        <f aca="false">$G24*Supuestos!J$6*(Drivers!J$12/100)*(Drivers!J$13/Drivers!$C$13)*(Drivers!J$14/Drivers!$C$14)*Supuestos!J$13</f>
        <v>81119592.693795</v>
      </c>
      <c r="O24" s="24" t="n">
        <f aca="false">$G24*Supuestos!K$6*(Drivers!K$12/100)*(Drivers!K$13/Drivers!$C$13)*(Drivers!K$14/Drivers!$C$14)*Supuestos!K$13</f>
        <v>81842440.5494822</v>
      </c>
      <c r="P24" s="24" t="n">
        <f aca="false">$G24*Supuestos!L$6*(Drivers!L$12/100)*(Drivers!L$13/Drivers!$C$13)*(Drivers!L$14/Drivers!$C$14)*Supuestos!L$13</f>
        <v>82563472.4507232</v>
      </c>
      <c r="Q24" s="24" t="n">
        <f aca="false">$G24*Supuestos!M$6*(Drivers!M$12/100)*(Drivers!M$13/Drivers!$C$13)*(Drivers!M$14/Drivers!$C$14)*Supuestos!M$13</f>
        <v>84981998.4114009</v>
      </c>
      <c r="R24" s="24" t="n">
        <f aca="false">$G24*Supuestos!N$6*(Drivers!N$12/100)*(Drivers!N$13/Drivers!$C$13)*(Drivers!N$14/Drivers!$C$14)*Supuestos!N$13</f>
        <v>87462622.9450297</v>
      </c>
      <c r="S24" s="24" t="n">
        <f aca="false">$G24*Supuestos!O$6*(Drivers!O$12/100)*(Drivers!O$13/Drivers!$C$13)*(Drivers!O$14/Drivers!$C$14)*Supuestos!O$13</f>
        <v>90006832.7095098</v>
      </c>
      <c r="T24" s="24" t="n">
        <f aca="false">$G24*Supuestos!P$6*(Drivers!P$12/100)*(Drivers!P$13/Drivers!$C$13)*(Drivers!P$14/Drivers!$C$14)*Supuestos!P$13</f>
        <v>90817776.6238239</v>
      </c>
      <c r="U24" s="24" t="n">
        <f aca="false">$G24*Supuestos!Q$6*(Drivers!Q$12/100)*(Drivers!Q$13/Drivers!$C$13)*(Drivers!Q$14/Drivers!$C$14)*Supuestos!Q$13</f>
        <v>91627043.9402739</v>
      </c>
      <c r="V24" s="24" t="n">
        <f aca="false">$G24*Supuestos!R$6*(Drivers!R$12/100)*(Drivers!R$13/Drivers!$C$13)*(Drivers!R$14/Drivers!$C$14)*Supuestos!R$13</f>
        <v>90566919.0418849</v>
      </c>
    </row>
    <row r="25" customFormat="false" ht="15" hidden="false" customHeight="false" outlineLevel="0" collapsed="false">
      <c r="A25" s="6" t="s">
        <v>170</v>
      </c>
      <c r="B25" s="6" t="s">
        <v>136</v>
      </c>
      <c r="C25" s="6" t="s">
        <v>140</v>
      </c>
      <c r="D25" s="6" t="s">
        <v>141</v>
      </c>
      <c r="E25" s="6" t="s">
        <v>142</v>
      </c>
      <c r="F25" s="6" t="s">
        <v>29</v>
      </c>
      <c r="G25" s="24" t="n">
        <v>-15908856.08</v>
      </c>
      <c r="H25" s="24" t="n">
        <f aca="false">$G25*Supuestos!D$10*(Drivers!D$15/Drivers!$C$15)</f>
        <v>-16863387.4448</v>
      </c>
      <c r="I25" s="24" t="n">
        <f aca="false">$G25*Supuestos!E$10*(Drivers!E$15/Drivers!$C$15)</f>
        <v>-16863387.4448</v>
      </c>
      <c r="J25" s="24" t="n">
        <f aca="false">$G25*Supuestos!F$10*(Drivers!F$15/Drivers!$C$15)</f>
        <v>-16863387.4448</v>
      </c>
      <c r="K25" s="24" t="n">
        <f aca="false">$G25*Supuestos!G$10*(Drivers!G$15/Drivers!$C$15)</f>
        <v>-17790873.754264</v>
      </c>
      <c r="L25" s="24" t="n">
        <f aca="false">$G25*Supuestos!H$10*(Drivers!H$15/Drivers!$C$15)</f>
        <v>-17790873.754264</v>
      </c>
      <c r="M25" s="24" t="n">
        <f aca="false">$G25*Supuestos!I$10*(Drivers!I$15/Drivers!$C$15)</f>
        <v>-17790873.754264</v>
      </c>
      <c r="N25" s="24" t="n">
        <f aca="false">$G25*Supuestos!J$10*(Drivers!J$15/Drivers!$C$15)</f>
        <v>-18769371.8107485</v>
      </c>
      <c r="O25" s="24" t="n">
        <f aca="false">$G25*Supuestos!K$10*(Drivers!K$15/Drivers!$C$15)</f>
        <v>-18769371.8107485</v>
      </c>
      <c r="P25" s="24" t="n">
        <f aca="false">$G25*Supuestos!L$10*(Drivers!L$15/Drivers!$C$15)</f>
        <v>-18769371.8107485</v>
      </c>
      <c r="Q25" s="24" t="n">
        <f aca="false">$G25*Supuestos!M$10*(Drivers!M$15/Drivers!$C$15)</f>
        <v>-19801687.2603397</v>
      </c>
      <c r="R25" s="24" t="n">
        <f aca="false">$G25*Supuestos!N$10*(Drivers!N$15/Drivers!$C$15)</f>
        <v>-19801687.2603397</v>
      </c>
      <c r="S25" s="24" t="n">
        <f aca="false">$G25*Supuestos!O$10*(Drivers!O$15/Drivers!$C$15)</f>
        <v>-19801687.2603397</v>
      </c>
      <c r="T25" s="24" t="n">
        <f aca="false">$G25*Supuestos!P$10*(Drivers!P$15/Drivers!$C$15)</f>
        <v>-20890780.0596584</v>
      </c>
      <c r="U25" s="24" t="n">
        <f aca="false">$G25*Supuestos!Q$10*(Drivers!Q$15/Drivers!$C$15)</f>
        <v>-20890780.0596584</v>
      </c>
      <c r="V25" s="24" t="n">
        <f aca="false">$G25*Supuestos!R$10*(Drivers!R$15/Drivers!$C$15)</f>
        <v>-20890780.0596584</v>
      </c>
    </row>
    <row r="26" customFormat="false" ht="15" hidden="false" customHeight="false" outlineLevel="0" collapsed="false">
      <c r="A26" s="6" t="s">
        <v>170</v>
      </c>
      <c r="B26" s="6" t="s">
        <v>136</v>
      </c>
      <c r="C26" s="6" t="s">
        <v>140</v>
      </c>
      <c r="D26" s="6" t="s">
        <v>141</v>
      </c>
      <c r="E26" s="6" t="s">
        <v>143</v>
      </c>
      <c r="F26" s="6" t="s">
        <v>29</v>
      </c>
      <c r="G26" s="24" t="n">
        <v>-5560389.61</v>
      </c>
      <c r="H26" s="24" t="n">
        <f aca="false">$G26*Supuestos!D$10*(Drivers!D$15/Drivers!$C$15)</f>
        <v>-5894012.9866</v>
      </c>
      <c r="I26" s="24" t="n">
        <f aca="false">$G26*Supuestos!E$10*(Drivers!E$15/Drivers!$C$15)</f>
        <v>-5894012.9866</v>
      </c>
      <c r="J26" s="24" t="n">
        <f aca="false">$G26*Supuestos!F$10*(Drivers!F$15/Drivers!$C$15)</f>
        <v>-5894012.9866</v>
      </c>
      <c r="K26" s="24" t="n">
        <f aca="false">$G26*Supuestos!G$10*(Drivers!G$15/Drivers!$C$15)</f>
        <v>-6218183.700863</v>
      </c>
      <c r="L26" s="24" t="n">
        <f aca="false">$G26*Supuestos!H$10*(Drivers!H$15/Drivers!$C$15)</f>
        <v>-6218183.700863</v>
      </c>
      <c r="M26" s="24" t="n">
        <f aca="false">$G26*Supuestos!I$10*(Drivers!I$15/Drivers!$C$15)</f>
        <v>-6218183.700863</v>
      </c>
      <c r="N26" s="24" t="n">
        <f aca="false">$G26*Supuestos!J$10*(Drivers!J$15/Drivers!$C$15)</f>
        <v>-6560183.80441047</v>
      </c>
      <c r="O26" s="24" t="n">
        <f aca="false">$G26*Supuestos!K$10*(Drivers!K$15/Drivers!$C$15)</f>
        <v>-6560183.80441047</v>
      </c>
      <c r="P26" s="24" t="n">
        <f aca="false">$G26*Supuestos!L$10*(Drivers!L$15/Drivers!$C$15)</f>
        <v>-6560183.80441047</v>
      </c>
      <c r="Q26" s="24" t="n">
        <f aca="false">$G26*Supuestos!M$10*(Drivers!M$15/Drivers!$C$15)</f>
        <v>-6920993.91365304</v>
      </c>
      <c r="R26" s="24" t="n">
        <f aca="false">$G26*Supuestos!N$10*(Drivers!N$15/Drivers!$C$15)</f>
        <v>-6920993.91365304</v>
      </c>
      <c r="S26" s="24" t="n">
        <f aca="false">$G26*Supuestos!O$10*(Drivers!O$15/Drivers!$C$15)</f>
        <v>-6920993.91365304</v>
      </c>
      <c r="T26" s="24" t="n">
        <f aca="false">$G26*Supuestos!P$10*(Drivers!P$15/Drivers!$C$15)</f>
        <v>-7301648.57890396</v>
      </c>
      <c r="U26" s="24" t="n">
        <f aca="false">$G26*Supuestos!Q$10*(Drivers!Q$15/Drivers!$C$15)</f>
        <v>-7301648.57890396</v>
      </c>
      <c r="V26" s="24" t="n">
        <f aca="false">$G26*Supuestos!R$10*(Drivers!R$15/Drivers!$C$15)</f>
        <v>-7301648.57890396</v>
      </c>
    </row>
    <row r="27" customFormat="false" ht="15" hidden="false" customHeight="false" outlineLevel="0" collapsed="false">
      <c r="A27" s="6" t="s">
        <v>170</v>
      </c>
      <c r="B27" s="6" t="s">
        <v>136</v>
      </c>
      <c r="C27" s="6" t="s">
        <v>140</v>
      </c>
      <c r="D27" s="6" t="s">
        <v>141</v>
      </c>
      <c r="E27" s="6" t="s">
        <v>144</v>
      </c>
      <c r="F27" s="6" t="s">
        <v>29</v>
      </c>
      <c r="G27" s="24" t="n">
        <v>-1315361.05</v>
      </c>
      <c r="H27" s="24" t="n">
        <f aca="false">$G27*Supuestos!D$10*(Drivers!D$15/Drivers!$C$15)</f>
        <v>-1394282.713</v>
      </c>
      <c r="I27" s="24" t="n">
        <f aca="false">$G27*Supuestos!E$10*(Drivers!E$15/Drivers!$C$15)</f>
        <v>-1394282.713</v>
      </c>
      <c r="J27" s="24" t="n">
        <f aca="false">$G27*Supuestos!F$10*(Drivers!F$15/Drivers!$C$15)</f>
        <v>-1394282.713</v>
      </c>
      <c r="K27" s="24" t="n">
        <f aca="false">$G27*Supuestos!G$10*(Drivers!G$15/Drivers!$C$15)</f>
        <v>-1470968.262215</v>
      </c>
      <c r="L27" s="24" t="n">
        <f aca="false">$G27*Supuestos!H$10*(Drivers!H$15/Drivers!$C$15)</f>
        <v>-1470968.262215</v>
      </c>
      <c r="M27" s="24" t="n">
        <f aca="false">$G27*Supuestos!I$10*(Drivers!I$15/Drivers!$C$15)</f>
        <v>-1470968.262215</v>
      </c>
      <c r="N27" s="24" t="n">
        <f aca="false">$G27*Supuestos!J$10*(Drivers!J$15/Drivers!$C$15)</f>
        <v>-1551871.51663683</v>
      </c>
      <c r="O27" s="24" t="n">
        <f aca="false">$G27*Supuestos!K$10*(Drivers!K$15/Drivers!$C$15)</f>
        <v>-1551871.51663683</v>
      </c>
      <c r="P27" s="24" t="n">
        <f aca="false">$G27*Supuestos!L$10*(Drivers!L$15/Drivers!$C$15)</f>
        <v>-1551871.51663683</v>
      </c>
      <c r="Q27" s="24" t="n">
        <f aca="false">$G27*Supuestos!M$10*(Drivers!M$15/Drivers!$C$15)</f>
        <v>-1637224.45005185</v>
      </c>
      <c r="R27" s="24" t="n">
        <f aca="false">$G27*Supuestos!N$10*(Drivers!N$15/Drivers!$C$15)</f>
        <v>-1637224.45005185</v>
      </c>
      <c r="S27" s="24" t="n">
        <f aca="false">$G27*Supuestos!O$10*(Drivers!O$15/Drivers!$C$15)</f>
        <v>-1637224.45005185</v>
      </c>
      <c r="T27" s="24" t="n">
        <f aca="false">$G27*Supuestos!P$10*(Drivers!P$15/Drivers!$C$15)</f>
        <v>-1727271.7948047</v>
      </c>
      <c r="U27" s="24" t="n">
        <f aca="false">$G27*Supuestos!Q$10*(Drivers!Q$15/Drivers!$C$15)</f>
        <v>-1727271.7948047</v>
      </c>
      <c r="V27" s="24" t="n">
        <f aca="false">$G27*Supuestos!R$10*(Drivers!R$15/Drivers!$C$15)</f>
        <v>-1727271.7948047</v>
      </c>
    </row>
    <row r="28" customFormat="false" ht="15" hidden="false" customHeight="false" outlineLevel="0" collapsed="false">
      <c r="A28" s="6" t="s">
        <v>170</v>
      </c>
      <c r="B28" s="6" t="s">
        <v>136</v>
      </c>
      <c r="C28" s="6" t="s">
        <v>140</v>
      </c>
      <c r="D28" s="6" t="s">
        <v>141</v>
      </c>
      <c r="E28" s="6" t="s">
        <v>145</v>
      </c>
      <c r="F28" s="6" t="s">
        <v>29</v>
      </c>
      <c r="G28" s="24" t="n">
        <v>-896837.27</v>
      </c>
      <c r="H28" s="24" t="n">
        <f aca="false">$G28*Supuestos!D$10*(Drivers!D$15/Drivers!$C$15)</f>
        <v>-950647.5062</v>
      </c>
      <c r="I28" s="24" t="n">
        <f aca="false">$G28*Supuestos!E$10*(Drivers!E$15/Drivers!$C$15)</f>
        <v>-950647.5062</v>
      </c>
      <c r="J28" s="24" t="n">
        <f aca="false">$G28*Supuestos!F$10*(Drivers!F$15/Drivers!$C$15)</f>
        <v>-950647.5062</v>
      </c>
      <c r="K28" s="24" t="n">
        <f aca="false">$G28*Supuestos!G$10*(Drivers!G$15/Drivers!$C$15)</f>
        <v>-1002933.119041</v>
      </c>
      <c r="L28" s="24" t="n">
        <f aca="false">$G28*Supuestos!H$10*(Drivers!H$15/Drivers!$C$15)</f>
        <v>-1002933.119041</v>
      </c>
      <c r="M28" s="24" t="n">
        <f aca="false">$G28*Supuestos!I$10*(Drivers!I$15/Drivers!$C$15)</f>
        <v>-1002933.119041</v>
      </c>
      <c r="N28" s="24" t="n">
        <f aca="false">$G28*Supuestos!J$10*(Drivers!J$15/Drivers!$C$15)</f>
        <v>-1058094.44058826</v>
      </c>
      <c r="O28" s="24" t="n">
        <f aca="false">$G28*Supuestos!K$10*(Drivers!K$15/Drivers!$C$15)</f>
        <v>-1058094.44058826</v>
      </c>
      <c r="P28" s="24" t="n">
        <f aca="false">$G28*Supuestos!L$10*(Drivers!L$15/Drivers!$C$15)</f>
        <v>-1058094.44058826</v>
      </c>
      <c r="Q28" s="24" t="n">
        <f aca="false">$G28*Supuestos!M$10*(Drivers!M$15/Drivers!$C$15)</f>
        <v>-1116289.63482061</v>
      </c>
      <c r="R28" s="24" t="n">
        <f aca="false">$G28*Supuestos!N$10*(Drivers!N$15/Drivers!$C$15)</f>
        <v>-1116289.63482061</v>
      </c>
      <c r="S28" s="24" t="n">
        <f aca="false">$G28*Supuestos!O$10*(Drivers!O$15/Drivers!$C$15)</f>
        <v>-1116289.63482061</v>
      </c>
      <c r="T28" s="24" t="n">
        <f aca="false">$G28*Supuestos!P$10*(Drivers!P$15/Drivers!$C$15)</f>
        <v>-1177685.56473574</v>
      </c>
      <c r="U28" s="24" t="n">
        <f aca="false">$G28*Supuestos!Q$10*(Drivers!Q$15/Drivers!$C$15)</f>
        <v>-1177685.56473574</v>
      </c>
      <c r="V28" s="24" t="n">
        <f aca="false">$G28*Supuestos!R$10*(Drivers!R$15/Drivers!$C$15)</f>
        <v>-1177685.56473574</v>
      </c>
    </row>
    <row r="29" customFormat="false" ht="15" hidden="false" customHeight="false" outlineLevel="0" collapsed="false">
      <c r="A29" s="6" t="s">
        <v>170</v>
      </c>
      <c r="B29" s="6" t="s">
        <v>136</v>
      </c>
      <c r="C29" s="6" t="s">
        <v>140</v>
      </c>
      <c r="D29" s="6" t="s">
        <v>141</v>
      </c>
      <c r="E29" s="6" t="s">
        <v>146</v>
      </c>
      <c r="F29" s="6" t="s">
        <v>29</v>
      </c>
      <c r="G29" s="24" t="n">
        <v>-1703990.16</v>
      </c>
      <c r="H29" s="24" t="n">
        <f aca="false">$G29*Supuestos!D$10*(Drivers!D$15/Drivers!$C$15)</f>
        <v>-1806229.5696</v>
      </c>
      <c r="I29" s="24" t="n">
        <f aca="false">$G29*Supuestos!E$10*(Drivers!E$15/Drivers!$C$15)</f>
        <v>-1806229.5696</v>
      </c>
      <c r="J29" s="24" t="n">
        <f aca="false">$G29*Supuestos!F$10*(Drivers!F$15/Drivers!$C$15)</f>
        <v>-1806229.5696</v>
      </c>
      <c r="K29" s="24" t="n">
        <f aca="false">$G29*Supuestos!G$10*(Drivers!G$15/Drivers!$C$15)</f>
        <v>-1905572.195928</v>
      </c>
      <c r="L29" s="24" t="n">
        <f aca="false">$G29*Supuestos!H$10*(Drivers!H$15/Drivers!$C$15)</f>
        <v>-1905572.195928</v>
      </c>
      <c r="M29" s="24" t="n">
        <f aca="false">$G29*Supuestos!I$10*(Drivers!I$15/Drivers!$C$15)</f>
        <v>-1905572.195928</v>
      </c>
      <c r="N29" s="24" t="n">
        <f aca="false">$G29*Supuestos!J$10*(Drivers!J$15/Drivers!$C$15)</f>
        <v>-2010378.66670404</v>
      </c>
      <c r="O29" s="24" t="n">
        <f aca="false">$G29*Supuestos!K$10*(Drivers!K$15/Drivers!$C$15)</f>
        <v>-2010378.66670404</v>
      </c>
      <c r="P29" s="24" t="n">
        <f aca="false">$G29*Supuestos!L$10*(Drivers!L$15/Drivers!$C$15)</f>
        <v>-2010378.66670404</v>
      </c>
      <c r="Q29" s="24" t="n">
        <f aca="false">$G29*Supuestos!M$10*(Drivers!M$15/Drivers!$C$15)</f>
        <v>-2120949.49337276</v>
      </c>
      <c r="R29" s="24" t="n">
        <f aca="false">$G29*Supuestos!N$10*(Drivers!N$15/Drivers!$C$15)</f>
        <v>-2120949.49337276</v>
      </c>
      <c r="S29" s="24" t="n">
        <f aca="false">$G29*Supuestos!O$10*(Drivers!O$15/Drivers!$C$15)</f>
        <v>-2120949.49337276</v>
      </c>
      <c r="T29" s="24" t="n">
        <f aca="false">$G29*Supuestos!P$10*(Drivers!P$15/Drivers!$C$15)</f>
        <v>-2237601.71550826</v>
      </c>
      <c r="U29" s="24" t="n">
        <f aca="false">$G29*Supuestos!Q$10*(Drivers!Q$15/Drivers!$C$15)</f>
        <v>-2237601.71550826</v>
      </c>
      <c r="V29" s="24" t="n">
        <f aca="false">$G29*Supuestos!R$10*(Drivers!R$15/Drivers!$C$15)</f>
        <v>-2237601.71550826</v>
      </c>
    </row>
    <row r="30" customFormat="false" ht="15" hidden="false" customHeight="false" outlineLevel="0" collapsed="false">
      <c r="A30" s="6" t="s">
        <v>170</v>
      </c>
      <c r="B30" s="6" t="s">
        <v>136</v>
      </c>
      <c r="C30" s="6" t="s">
        <v>140</v>
      </c>
      <c r="D30" s="6" t="s">
        <v>141</v>
      </c>
      <c r="E30" s="6" t="s">
        <v>147</v>
      </c>
      <c r="F30" s="6" t="s">
        <v>29</v>
      </c>
      <c r="G30" s="24" t="n">
        <v>-1913252.22</v>
      </c>
      <c r="H30" s="24" t="n">
        <f aca="false">$G30*Supuestos!D$10*(Drivers!D$15/Drivers!$C$15)</f>
        <v>-2028047.3532</v>
      </c>
      <c r="I30" s="24" t="n">
        <f aca="false">$G30*Supuestos!E$10*(Drivers!E$15/Drivers!$C$15)</f>
        <v>-2028047.3532</v>
      </c>
      <c r="J30" s="24" t="n">
        <f aca="false">$G30*Supuestos!F$10*(Drivers!F$15/Drivers!$C$15)</f>
        <v>-2028047.3532</v>
      </c>
      <c r="K30" s="24" t="n">
        <f aca="false">$G30*Supuestos!G$10*(Drivers!G$15/Drivers!$C$15)</f>
        <v>-2139589.957626</v>
      </c>
      <c r="L30" s="24" t="n">
        <f aca="false">$G30*Supuestos!H$10*(Drivers!H$15/Drivers!$C$15)</f>
        <v>-2139589.957626</v>
      </c>
      <c r="M30" s="24" t="n">
        <f aca="false">$G30*Supuestos!I$10*(Drivers!I$15/Drivers!$C$15)</f>
        <v>-2139589.957626</v>
      </c>
      <c r="N30" s="24" t="n">
        <f aca="false">$G30*Supuestos!J$10*(Drivers!J$15/Drivers!$C$15)</f>
        <v>-2257267.40529543</v>
      </c>
      <c r="O30" s="24" t="n">
        <f aca="false">$G30*Supuestos!K$10*(Drivers!K$15/Drivers!$C$15)</f>
        <v>-2257267.40529543</v>
      </c>
      <c r="P30" s="24" t="n">
        <f aca="false">$G30*Supuestos!L$10*(Drivers!L$15/Drivers!$C$15)</f>
        <v>-2257267.40529543</v>
      </c>
      <c r="Q30" s="24" t="n">
        <f aca="false">$G30*Supuestos!M$10*(Drivers!M$15/Drivers!$C$15)</f>
        <v>-2381417.11258668</v>
      </c>
      <c r="R30" s="24" t="n">
        <f aca="false">$G30*Supuestos!N$10*(Drivers!N$15/Drivers!$C$15)</f>
        <v>-2381417.11258668</v>
      </c>
      <c r="S30" s="24" t="n">
        <f aca="false">$G30*Supuestos!O$10*(Drivers!O$15/Drivers!$C$15)</f>
        <v>-2381417.11258668</v>
      </c>
      <c r="T30" s="24" t="n">
        <f aca="false">$G30*Supuestos!P$10*(Drivers!P$15/Drivers!$C$15)</f>
        <v>-2512395.05377895</v>
      </c>
      <c r="U30" s="24" t="n">
        <f aca="false">$G30*Supuestos!Q$10*(Drivers!Q$15/Drivers!$C$15)</f>
        <v>-2512395.05377895</v>
      </c>
      <c r="V30" s="24" t="n">
        <f aca="false">$G30*Supuestos!R$10*(Drivers!R$15/Drivers!$C$15)</f>
        <v>-2512395.05377895</v>
      </c>
    </row>
    <row r="31" customFormat="false" ht="15" hidden="false" customHeight="false" outlineLevel="0" collapsed="false">
      <c r="A31" s="6" t="s">
        <v>170</v>
      </c>
      <c r="B31" s="6" t="s">
        <v>136</v>
      </c>
      <c r="C31" s="6" t="s">
        <v>140</v>
      </c>
      <c r="D31" s="6" t="s">
        <v>141</v>
      </c>
      <c r="E31" s="6" t="s">
        <v>148</v>
      </c>
      <c r="F31" s="6" t="s">
        <v>41</v>
      </c>
      <c r="G31" s="24" t="n">
        <v>-300353.85</v>
      </c>
      <c r="H31" s="24" t="n">
        <f aca="false">0</f>
        <v>0</v>
      </c>
      <c r="I31" s="24" t="n">
        <f aca="false">0</f>
        <v>0</v>
      </c>
      <c r="J31" s="24" t="n">
        <f aca="false">0</f>
        <v>0</v>
      </c>
      <c r="K31" s="24" t="n">
        <f aca="false">0</f>
        <v>0</v>
      </c>
      <c r="L31" s="24" t="n">
        <f aca="false">0</f>
        <v>0</v>
      </c>
      <c r="M31" s="24" t="n">
        <f aca="false">0</f>
        <v>0</v>
      </c>
      <c r="N31" s="24" t="n">
        <f aca="false">0</f>
        <v>0</v>
      </c>
      <c r="O31" s="24" t="n">
        <f aca="false">0</f>
        <v>0</v>
      </c>
      <c r="P31" s="24" t="n">
        <f aca="false">0</f>
        <v>0</v>
      </c>
      <c r="Q31" s="24" t="n">
        <f aca="false">0</f>
        <v>0</v>
      </c>
      <c r="R31" s="24" t="n">
        <f aca="false">0</f>
        <v>0</v>
      </c>
      <c r="S31" s="24" t="n">
        <f aca="false">0</f>
        <v>0</v>
      </c>
      <c r="T31" s="24" t="n">
        <f aca="false">0</f>
        <v>0</v>
      </c>
      <c r="U31" s="24" t="n">
        <f aca="false">0</f>
        <v>0</v>
      </c>
      <c r="V31" s="24" t="n">
        <f aca="false">0</f>
        <v>0</v>
      </c>
    </row>
    <row r="32" customFormat="false" ht="15" hidden="false" customHeight="false" outlineLevel="0" collapsed="false">
      <c r="A32" s="6" t="s">
        <v>170</v>
      </c>
      <c r="B32" s="6" t="s">
        <v>136</v>
      </c>
      <c r="C32" s="6" t="s">
        <v>140</v>
      </c>
      <c r="D32" s="6" t="s">
        <v>149</v>
      </c>
      <c r="E32" s="6" t="s">
        <v>150</v>
      </c>
      <c r="F32" s="6" t="s">
        <v>31</v>
      </c>
      <c r="G32" s="24" t="n">
        <v>-19519500</v>
      </c>
      <c r="H32" s="24" t="n">
        <f aca="false">$G32*Supuestos!D$8*(Drivers!D$15/Drivers!$C$15)</f>
        <v>-19991400</v>
      </c>
      <c r="I32" s="24" t="n">
        <f aca="false">$G32*Supuestos!E$8*(Drivers!E$15/Drivers!$C$15)</f>
        <v>-20477600</v>
      </c>
      <c r="J32" s="24" t="n">
        <f aca="false">$G32*Supuestos!F$8*(Drivers!F$15/Drivers!$C$15)</f>
        <v>-20949500</v>
      </c>
      <c r="K32" s="24" t="n">
        <f aca="false">$G32*Supuestos!G$8*(Drivers!G$15/Drivers!$C$15)</f>
        <v>-21292700</v>
      </c>
      <c r="L32" s="24" t="n">
        <f aca="false">$G32*Supuestos!H$8*(Drivers!H$15/Drivers!$C$15)</f>
        <v>-21621600</v>
      </c>
      <c r="M32" s="24" t="n">
        <f aca="false">$G32*Supuestos!I$8*(Drivers!I$15/Drivers!$C$15)</f>
        <v>-21964800</v>
      </c>
      <c r="N32" s="24" t="n">
        <f aca="false">$G32*Supuestos!J$8*(Drivers!J$15/Drivers!$C$15)</f>
        <v>-22308000</v>
      </c>
      <c r="O32" s="24" t="n">
        <f aca="false">$G32*Supuestos!K$8*(Drivers!K$15/Drivers!$C$15)</f>
        <v>-22651200</v>
      </c>
      <c r="P32" s="24" t="n">
        <f aca="false">$G32*Supuestos!L$8*(Drivers!L$15/Drivers!$C$15)</f>
        <v>-22994400</v>
      </c>
      <c r="Q32" s="24" t="n">
        <f aca="false">$G32*Supuestos!M$8*(Drivers!M$15/Drivers!$C$15)</f>
        <v>-23323300</v>
      </c>
      <c r="R32" s="24" t="n">
        <f aca="false">$G32*Supuestos!N$8*(Drivers!N$15/Drivers!$C$15)</f>
        <v>-23666500</v>
      </c>
      <c r="S32" s="24" t="n">
        <f aca="false">$G32*Supuestos!O$8*(Drivers!O$15/Drivers!$C$15)</f>
        <v>-24009700</v>
      </c>
      <c r="T32" s="24" t="n">
        <f aca="false">$G32*Supuestos!P$8*(Drivers!P$15/Drivers!$C$15)</f>
        <v>-24338600</v>
      </c>
      <c r="U32" s="24" t="n">
        <f aca="false">$G32*Supuestos!Q$8*(Drivers!Q$15/Drivers!$C$15)</f>
        <v>-24681800</v>
      </c>
      <c r="V32" s="24" t="n">
        <f aca="false">$G32*Supuestos!R$8*(Drivers!R$15/Drivers!$C$15)</f>
        <v>-25025000</v>
      </c>
    </row>
    <row r="33" customFormat="false" ht="15" hidden="false" customHeight="false" outlineLevel="0" collapsed="false">
      <c r="A33" s="6" t="s">
        <v>170</v>
      </c>
      <c r="B33" s="6" t="s">
        <v>136</v>
      </c>
      <c r="C33" s="6" t="s">
        <v>140</v>
      </c>
      <c r="D33" s="6" t="s">
        <v>151</v>
      </c>
      <c r="E33" s="6" t="s">
        <v>152</v>
      </c>
      <c r="F33" s="6" t="s">
        <v>31</v>
      </c>
      <c r="G33" s="24" t="n">
        <v>-2457000</v>
      </c>
      <c r="H33" s="24" t="n">
        <f aca="false">$G33*Supuestos!D$8*(Drivers!D$15/Drivers!$C$15)</f>
        <v>-2516400</v>
      </c>
      <c r="I33" s="24" t="n">
        <f aca="false">$G33*Supuestos!E$8*(Drivers!E$15/Drivers!$C$15)</f>
        <v>-2577600</v>
      </c>
      <c r="J33" s="24" t="n">
        <f aca="false">$G33*Supuestos!F$8*(Drivers!F$15/Drivers!$C$15)</f>
        <v>-2637000</v>
      </c>
      <c r="K33" s="24" t="n">
        <f aca="false">$G33*Supuestos!G$8*(Drivers!G$15/Drivers!$C$15)</f>
        <v>-2680200</v>
      </c>
      <c r="L33" s="24" t="n">
        <f aca="false">$G33*Supuestos!H$8*(Drivers!H$15/Drivers!$C$15)</f>
        <v>-2721600</v>
      </c>
      <c r="M33" s="24" t="n">
        <f aca="false">$G33*Supuestos!I$8*(Drivers!I$15/Drivers!$C$15)</f>
        <v>-2764800</v>
      </c>
      <c r="N33" s="24" t="n">
        <f aca="false">$G33*Supuestos!J$8*(Drivers!J$15/Drivers!$C$15)</f>
        <v>-2808000</v>
      </c>
      <c r="O33" s="24" t="n">
        <f aca="false">$G33*Supuestos!K$8*(Drivers!K$15/Drivers!$C$15)</f>
        <v>-2851200</v>
      </c>
      <c r="P33" s="24" t="n">
        <f aca="false">$G33*Supuestos!L$8*(Drivers!L$15/Drivers!$C$15)</f>
        <v>-2894400</v>
      </c>
      <c r="Q33" s="24" t="n">
        <f aca="false">$G33*Supuestos!M$8*(Drivers!M$15/Drivers!$C$15)</f>
        <v>-2935800</v>
      </c>
      <c r="R33" s="24" t="n">
        <f aca="false">$G33*Supuestos!N$8*(Drivers!N$15/Drivers!$C$15)</f>
        <v>-2979000</v>
      </c>
      <c r="S33" s="24" t="n">
        <f aca="false">$G33*Supuestos!O$8*(Drivers!O$15/Drivers!$C$15)</f>
        <v>-3022200</v>
      </c>
      <c r="T33" s="24" t="n">
        <f aca="false">$G33*Supuestos!P$8*(Drivers!P$15/Drivers!$C$15)</f>
        <v>-3063600</v>
      </c>
      <c r="U33" s="24" t="n">
        <f aca="false">$G33*Supuestos!Q$8*(Drivers!Q$15/Drivers!$C$15)</f>
        <v>-3106800</v>
      </c>
      <c r="V33" s="24" t="n">
        <f aca="false">$G33*Supuestos!R$8*(Drivers!R$15/Drivers!$C$15)</f>
        <v>-3150000</v>
      </c>
    </row>
    <row r="34" customFormat="false" ht="15" hidden="false" customHeight="false" outlineLevel="0" collapsed="false">
      <c r="A34" s="6" t="s">
        <v>170</v>
      </c>
      <c r="B34" s="6" t="s">
        <v>136</v>
      </c>
      <c r="C34" s="6" t="s">
        <v>140</v>
      </c>
      <c r="D34" s="6" t="s">
        <v>153</v>
      </c>
      <c r="E34" s="6" t="s">
        <v>154</v>
      </c>
      <c r="F34" s="6" t="s">
        <v>33</v>
      </c>
      <c r="G34" s="24" t="n">
        <v>-1688555.43</v>
      </c>
      <c r="H34" s="24" t="n">
        <f aca="false">$G34*Supuestos!D$6*(Drivers!D$15/Drivers!$C$15)</f>
        <v>-1727392.20489</v>
      </c>
      <c r="I34" s="24" t="n">
        <f aca="false">$G34*Supuestos!E$6*(Drivers!E$15/Drivers!$C$15)</f>
        <v>-1767122.22560247</v>
      </c>
      <c r="J34" s="24" t="n">
        <f aca="false">$G34*Supuestos!F$6*(Drivers!F$15/Drivers!$C$15)</f>
        <v>-1807766.03679133</v>
      </c>
      <c r="K34" s="24" t="n">
        <f aca="false">$G34*Supuestos!G$6*(Drivers!G$15/Drivers!$C$15)</f>
        <v>-1842113.59149036</v>
      </c>
      <c r="L34" s="24" t="n">
        <f aca="false">$G34*Supuestos!H$6*(Drivers!H$15/Drivers!$C$15)</f>
        <v>-1877113.74972868</v>
      </c>
      <c r="M34" s="24" t="n">
        <f aca="false">$G34*Supuestos!I$6*(Drivers!I$15/Drivers!$C$15)</f>
        <v>-1912778.91097352</v>
      </c>
      <c r="N34" s="24" t="n">
        <f aca="false">$G34*Supuestos!J$6*(Drivers!J$15/Drivers!$C$15)</f>
        <v>-1949121.71028202</v>
      </c>
      <c r="O34" s="24" t="n">
        <f aca="false">$G34*Supuestos!K$6*(Drivers!K$15/Drivers!$C$15)</f>
        <v>-1986155.02277738</v>
      </c>
      <c r="P34" s="24" t="n">
        <f aca="false">$G34*Supuestos!L$6*(Drivers!L$15/Drivers!$C$15)</f>
        <v>-2023891.96821015</v>
      </c>
      <c r="Q34" s="24" t="n">
        <f aca="false">$G34*Supuestos!M$6*(Drivers!M$15/Drivers!$C$15)</f>
        <v>-2062345.91560614</v>
      </c>
      <c r="R34" s="24" t="n">
        <f aca="false">$G34*Supuestos!N$6*(Drivers!N$15/Drivers!$C$15)</f>
        <v>-2101530.48800266</v>
      </c>
      <c r="S34" s="24" t="n">
        <f aca="false">$G34*Supuestos!O$6*(Drivers!O$15/Drivers!$C$15)</f>
        <v>-2141459.56727471</v>
      </c>
      <c r="T34" s="24" t="n">
        <f aca="false">$G34*Supuestos!P$6*(Drivers!P$15/Drivers!$C$15)</f>
        <v>-2182147.29905293</v>
      </c>
      <c r="U34" s="24" t="n">
        <f aca="false">$G34*Supuestos!Q$6*(Drivers!Q$15/Drivers!$C$15)</f>
        <v>-2223608.09773493</v>
      </c>
      <c r="V34" s="24" t="n">
        <f aca="false">$G34*Supuestos!R$6*(Drivers!R$15/Drivers!$C$15)</f>
        <v>-2265856.65159189</v>
      </c>
    </row>
    <row r="35" customFormat="false" ht="15" hidden="false" customHeight="false" outlineLevel="0" collapsed="false">
      <c r="A35" s="6" t="s">
        <v>170</v>
      </c>
      <c r="B35" s="6" t="s">
        <v>136</v>
      </c>
      <c r="C35" s="6" t="s">
        <v>140</v>
      </c>
      <c r="D35" s="6" t="s">
        <v>153</v>
      </c>
      <c r="E35" s="6" t="s">
        <v>155</v>
      </c>
      <c r="F35" s="6" t="s">
        <v>33</v>
      </c>
      <c r="G35" s="24" t="n">
        <v>-434200.01</v>
      </c>
      <c r="H35" s="24" t="n">
        <f aca="false">$G35*Supuestos!D$6*(Drivers!D$15/Drivers!$C$15)</f>
        <v>-444186.61023</v>
      </c>
      <c r="I35" s="24" t="n">
        <f aca="false">$G35*Supuestos!E$6*(Drivers!E$15/Drivers!$C$15)</f>
        <v>-454402.90226529</v>
      </c>
      <c r="J35" s="24" t="n">
        <f aca="false">$G35*Supuestos!F$6*(Drivers!F$15/Drivers!$C$15)</f>
        <v>-464854.169017392</v>
      </c>
      <c r="K35" s="24" t="n">
        <f aca="false">$G35*Supuestos!G$6*(Drivers!G$15/Drivers!$C$15)</f>
        <v>-473686.398228722</v>
      </c>
      <c r="L35" s="24" t="n">
        <f aca="false">$G35*Supuestos!H$6*(Drivers!H$15/Drivers!$C$15)</f>
        <v>-482686.439795068</v>
      </c>
      <c r="M35" s="24" t="n">
        <f aca="false">$G35*Supuestos!I$6*(Drivers!I$15/Drivers!$C$15)</f>
        <v>-491857.482151174</v>
      </c>
      <c r="N35" s="24" t="n">
        <f aca="false">$G35*Supuestos!J$6*(Drivers!J$15/Drivers!$C$15)</f>
        <v>-501202.774312046</v>
      </c>
      <c r="O35" s="24" t="n">
        <f aca="false">$G35*Supuestos!K$6*(Drivers!K$15/Drivers!$C$15)</f>
        <v>-510725.627023975</v>
      </c>
      <c r="P35" s="24" t="n">
        <f aca="false">$G35*Supuestos!L$6*(Drivers!L$15/Drivers!$C$15)</f>
        <v>-520429.41393743</v>
      </c>
      <c r="Q35" s="24" t="n">
        <f aca="false">$G35*Supuestos!M$6*(Drivers!M$15/Drivers!$C$15)</f>
        <v>-530317.572802241</v>
      </c>
      <c r="R35" s="24" t="n">
        <f aca="false">$G35*Supuestos!N$6*(Drivers!N$15/Drivers!$C$15)</f>
        <v>-540393.606685484</v>
      </c>
      <c r="S35" s="24" t="n">
        <f aca="false">$G35*Supuestos!O$6*(Drivers!O$15/Drivers!$C$15)</f>
        <v>-550661.085212508</v>
      </c>
      <c r="T35" s="24" t="n">
        <f aca="false">$G35*Supuestos!P$6*(Drivers!P$15/Drivers!$C$15)</f>
        <v>-561123.645831546</v>
      </c>
      <c r="U35" s="24" t="n">
        <f aca="false">$G35*Supuestos!Q$6*(Drivers!Q$15/Drivers!$C$15)</f>
        <v>-571784.995102345</v>
      </c>
      <c r="V35" s="24" t="n">
        <f aca="false">$G35*Supuestos!R$6*(Drivers!R$15/Drivers!$C$15)</f>
        <v>-582648.91000929</v>
      </c>
    </row>
    <row r="36" customFormat="false" ht="15" hidden="false" customHeight="false" outlineLevel="0" collapsed="false">
      <c r="A36" s="6" t="s">
        <v>170</v>
      </c>
      <c r="B36" s="6" t="s">
        <v>136</v>
      </c>
      <c r="C36" s="6" t="s">
        <v>140</v>
      </c>
      <c r="D36" s="6" t="s">
        <v>153</v>
      </c>
      <c r="E36" s="6" t="s">
        <v>156</v>
      </c>
      <c r="F36" s="6" t="s">
        <v>33</v>
      </c>
      <c r="G36" s="24" t="n">
        <v>-289466.9</v>
      </c>
      <c r="H36" s="24" t="n">
        <f aca="false">$G36*Supuestos!D$6*(Drivers!D$15/Drivers!$C$15)</f>
        <v>-296124.6387</v>
      </c>
      <c r="I36" s="24" t="n">
        <f aca="false">$G36*Supuestos!E$6*(Drivers!E$15/Drivers!$C$15)</f>
        <v>-302935.5053901</v>
      </c>
      <c r="J36" s="24" t="n">
        <f aca="false">$G36*Supuestos!F$6*(Drivers!F$15/Drivers!$C$15)</f>
        <v>-309903.022014072</v>
      </c>
      <c r="K36" s="24" t="n">
        <f aca="false">$G36*Supuestos!G$6*(Drivers!G$15/Drivers!$C$15)</f>
        <v>-315791.17943234</v>
      </c>
      <c r="L36" s="24" t="n">
        <f aca="false">$G36*Supuestos!H$6*(Drivers!H$15/Drivers!$C$15)</f>
        <v>-321791.211841554</v>
      </c>
      <c r="M36" s="24" t="n">
        <f aca="false">$G36*Supuestos!I$6*(Drivers!I$15/Drivers!$C$15)</f>
        <v>-327905.244866543</v>
      </c>
      <c r="N36" s="24" t="n">
        <f aca="false">$G36*Supuestos!J$6*(Drivers!J$15/Drivers!$C$15)</f>
        <v>-334135.444519008</v>
      </c>
      <c r="O36" s="24" t="n">
        <f aca="false">$G36*Supuestos!K$6*(Drivers!K$15/Drivers!$C$15)</f>
        <v>-340484.017964869</v>
      </c>
      <c r="P36" s="24" t="n">
        <f aca="false">$G36*Supuestos!L$6*(Drivers!L$15/Drivers!$C$15)</f>
        <v>-346953.214306201</v>
      </c>
      <c r="Q36" s="24" t="n">
        <f aca="false">$G36*Supuestos!M$6*(Drivers!M$15/Drivers!$C$15)</f>
        <v>-353545.325378019</v>
      </c>
      <c r="R36" s="24" t="n">
        <f aca="false">$G36*Supuestos!N$6*(Drivers!N$15/Drivers!$C$15)</f>
        <v>-360262.686560201</v>
      </c>
      <c r="S36" s="24" t="n">
        <f aca="false">$G36*Supuestos!O$6*(Drivers!O$15/Drivers!$C$15)</f>
        <v>-367107.677604845</v>
      </c>
      <c r="T36" s="24" t="n">
        <f aca="false">$G36*Supuestos!P$6*(Drivers!P$15/Drivers!$C$15)</f>
        <v>-374082.723479337</v>
      </c>
      <c r="U36" s="24" t="n">
        <f aca="false">$G36*Supuestos!Q$6*(Drivers!Q$15/Drivers!$C$15)</f>
        <v>-381190.295225445</v>
      </c>
      <c r="V36" s="24" t="n">
        <f aca="false">$G36*Supuestos!R$6*(Drivers!R$15/Drivers!$C$15)</f>
        <v>-388432.910834728</v>
      </c>
    </row>
    <row r="37" customFormat="false" ht="15" hidden="false" customHeight="false" outlineLevel="0" collapsed="false">
      <c r="A37" s="6" t="s">
        <v>170</v>
      </c>
      <c r="B37" s="6" t="s">
        <v>136</v>
      </c>
      <c r="C37" s="6" t="s">
        <v>140</v>
      </c>
      <c r="D37" s="6" t="s">
        <v>157</v>
      </c>
      <c r="E37" s="6" t="s">
        <v>158</v>
      </c>
      <c r="F37" s="6" t="s">
        <v>39</v>
      </c>
      <c r="G37" s="24" t="n">
        <v>-1226157.83</v>
      </c>
      <c r="H37" s="24" t="n">
        <f aca="false">$G37*Supuestos!D$12*(Drivers!D$12/100)</f>
        <v>-1254359.46009</v>
      </c>
      <c r="I37" s="24" t="n">
        <f aca="false">$G37*Supuestos!E$12*(Drivers!E$12/100)</f>
        <v>-1283209.72767207</v>
      </c>
      <c r="J37" s="24" t="n">
        <f aca="false">$G37*Supuestos!F$12*(Drivers!F$12/100)</f>
        <v>-1312723.55140853</v>
      </c>
      <c r="K37" s="24" t="n">
        <f aca="false">$G37*Supuestos!G$12*(Drivers!G$12/100)</f>
        <v>-1337665.29888529</v>
      </c>
      <c r="L37" s="24" t="n">
        <f aca="false">$G37*Supuestos!H$12*(Drivers!H$12/100)</f>
        <v>-1363080.93956411</v>
      </c>
      <c r="M37" s="24" t="n">
        <f aca="false">$G37*Supuestos!I$12*(Drivers!I$12/100)</f>
        <v>-1388979.47741583</v>
      </c>
      <c r="N37" s="24" t="n">
        <f aca="false">$G37*Supuestos!J$12*(Drivers!J$12/100)</f>
        <v>-1415370.08748673</v>
      </c>
      <c r="O37" s="24" t="n">
        <f aca="false">$G37*Supuestos!K$12*(Drivers!K$12/100)</f>
        <v>-1442262.11914898</v>
      </c>
      <c r="P37" s="24" t="n">
        <f aca="false">$G37*Supuestos!L$12*(Drivers!L$12/100)</f>
        <v>-1469665.09941281</v>
      </c>
      <c r="Q37" s="24" t="n">
        <f aca="false">$G37*Supuestos!M$12*(Drivers!M$12/100)</f>
        <v>-1497588.73630165</v>
      </c>
      <c r="R37" s="24" t="n">
        <f aca="false">$G37*Supuestos!N$12*(Drivers!N$12/100)</f>
        <v>-1526042.92229138</v>
      </c>
      <c r="S37" s="24" t="n">
        <f aca="false">$G37*Supuestos!O$12*(Drivers!O$12/100)</f>
        <v>-1555037.73781492</v>
      </c>
      <c r="T37" s="24" t="n">
        <f aca="false">$G37*Supuestos!P$12*(Drivers!P$12/100)</f>
        <v>-1584583.4548334</v>
      </c>
      <c r="U37" s="24" t="n">
        <f aca="false">$G37*Supuestos!Q$12*(Drivers!Q$12/100)</f>
        <v>-1614690.54047523</v>
      </c>
      <c r="V37" s="24" t="n">
        <f aca="false">$G37*Supuestos!R$12*(Drivers!R$12/100)</f>
        <v>-1645369.66074426</v>
      </c>
    </row>
    <row r="38" customFormat="false" ht="15" hidden="false" customHeight="false" outlineLevel="0" collapsed="false">
      <c r="A38" s="6" t="s">
        <v>170</v>
      </c>
      <c r="B38" s="6" t="s">
        <v>136</v>
      </c>
      <c r="C38" s="6" t="s">
        <v>140</v>
      </c>
      <c r="D38" s="6" t="s">
        <v>159</v>
      </c>
      <c r="E38" s="6" t="s">
        <v>160</v>
      </c>
      <c r="F38" s="6" t="s">
        <v>37</v>
      </c>
      <c r="G38" s="24" t="n">
        <v>-605134.96</v>
      </c>
      <c r="H38" s="24" t="n">
        <f aca="false">$G38*Supuestos!D$6*(Drivers!D$12/100)</f>
        <v>-619053.06408</v>
      </c>
      <c r="I38" s="24" t="n">
        <f aca="false">$G38*Supuestos!E$6*(Drivers!E$12/100)</f>
        <v>-633291.28455384</v>
      </c>
      <c r="J38" s="24" t="n">
        <f aca="false">$G38*Supuestos!F$6*(Drivers!F$12/100)</f>
        <v>-647856.984098578</v>
      </c>
      <c r="K38" s="24" t="n">
        <f aca="false">$G38*Supuestos!G$6*(Drivers!G$12/100)</f>
        <v>-660166.266796451</v>
      </c>
      <c r="L38" s="24" t="n">
        <f aca="false">$G38*Supuestos!H$6*(Drivers!H$12/100)</f>
        <v>-672709.425865584</v>
      </c>
      <c r="M38" s="24" t="n">
        <f aca="false">$G38*Supuestos!I$6*(Drivers!I$12/100)</f>
        <v>-685490.904957029</v>
      </c>
      <c r="N38" s="24" t="n">
        <f aca="false">$G38*Supuestos!J$6*(Drivers!J$12/100)</f>
        <v>-698515.232151213</v>
      </c>
      <c r="O38" s="24" t="n">
        <f aca="false">$G38*Supuestos!K$6*(Drivers!K$12/100)</f>
        <v>-711787.021562086</v>
      </c>
      <c r="P38" s="24" t="n">
        <f aca="false">$G38*Supuestos!L$6*(Drivers!L$12/100)</f>
        <v>-725310.974971765</v>
      </c>
      <c r="Q38" s="24" t="n">
        <f aca="false">$G38*Supuestos!M$6*(Drivers!M$12/100)</f>
        <v>-739091.883496229</v>
      </c>
      <c r="R38" s="24" t="n">
        <f aca="false">$G38*Supuestos!N$6*(Drivers!N$12/100)</f>
        <v>-753134.629282657</v>
      </c>
      <c r="S38" s="24" t="n">
        <f aca="false">$G38*Supuestos!O$6*(Drivers!O$12/100)</f>
        <v>-767444.187239028</v>
      </c>
      <c r="T38" s="24" t="n">
        <f aca="false">$G38*Supuestos!P$6*(Drivers!P$12/100)</f>
        <v>-782025.626796569</v>
      </c>
      <c r="U38" s="24" t="n">
        <f aca="false">$G38*Supuestos!Q$6*(Drivers!Q$12/100)</f>
        <v>-796884.113705704</v>
      </c>
      <c r="V38" s="24" t="n">
        <f aca="false">$G38*Supuestos!R$6*(Drivers!R$12/100)</f>
        <v>-812024.911866112</v>
      </c>
    </row>
    <row r="39" customFormat="false" ht="15" hidden="false" customHeight="false" outlineLevel="0" collapsed="false">
      <c r="A39" s="6" t="s">
        <v>170</v>
      </c>
      <c r="B39" s="6" t="s">
        <v>136</v>
      </c>
      <c r="C39" s="6" t="s">
        <v>140</v>
      </c>
      <c r="D39" s="6" t="s">
        <v>161</v>
      </c>
      <c r="E39" s="6" t="s">
        <v>162</v>
      </c>
      <c r="F39" s="6" t="s">
        <v>35</v>
      </c>
      <c r="G39" s="24" t="n">
        <v>-313881.53</v>
      </c>
      <c r="H39" s="24" t="n">
        <f aca="false">$G39*Supuestos!D$8*(Drivers!D$12/100)</f>
        <v>-321469.874681319</v>
      </c>
      <c r="I39" s="24" t="n">
        <f aca="false">$G39*Supuestos!E$8*(Drivers!E$12/100)</f>
        <v>-329288.169201465</v>
      </c>
      <c r="J39" s="24" t="n">
        <f aca="false">$G39*Supuestos!F$8*(Drivers!F$12/100)</f>
        <v>-336876.513882784</v>
      </c>
      <c r="K39" s="24" t="n">
        <f aca="false">$G39*Supuestos!G$8*(Drivers!G$12/100)</f>
        <v>-342395.310014652</v>
      </c>
      <c r="L39" s="24" t="n">
        <f aca="false">$G39*Supuestos!H$8*(Drivers!H$12/100)</f>
        <v>-347684.156307692</v>
      </c>
      <c r="M39" s="24" t="n">
        <f aca="false">$G39*Supuestos!I$8*(Drivers!I$12/100)</f>
        <v>-353202.952439561</v>
      </c>
      <c r="N39" s="24" t="n">
        <f aca="false">$G39*Supuestos!J$8*(Drivers!J$12/100)</f>
        <v>-358721.748571429</v>
      </c>
      <c r="O39" s="24" t="n">
        <f aca="false">$G39*Supuestos!K$8*(Drivers!K$12/100)</f>
        <v>-364240.544703297</v>
      </c>
      <c r="P39" s="24" t="n">
        <f aca="false">$G39*Supuestos!L$8*(Drivers!L$12/100)</f>
        <v>-369759.340835165</v>
      </c>
      <c r="Q39" s="24" t="n">
        <f aca="false">$G39*Supuestos!M$8*(Drivers!M$12/100)</f>
        <v>-375048.187128205</v>
      </c>
      <c r="R39" s="24" t="n">
        <f aca="false">$G39*Supuestos!N$8*(Drivers!N$12/100)</f>
        <v>-380566.983260073</v>
      </c>
      <c r="S39" s="24" t="n">
        <f aca="false">$G39*Supuestos!O$8*(Drivers!O$12/100)</f>
        <v>-386085.779391941</v>
      </c>
      <c r="T39" s="24" t="n">
        <f aca="false">$G39*Supuestos!P$8*(Drivers!P$12/100)</f>
        <v>-391374.625684982</v>
      </c>
      <c r="U39" s="24" t="n">
        <f aca="false">$G39*Supuestos!Q$8*(Drivers!Q$12/100)</f>
        <v>-396893.42181685</v>
      </c>
      <c r="V39" s="24" t="n">
        <f aca="false">$G39*Supuestos!R$8*(Drivers!R$12/100)</f>
        <v>-402412.217948718</v>
      </c>
    </row>
    <row r="40" customFormat="false" ht="15" hidden="false" customHeight="false" outlineLevel="0" collapsed="false">
      <c r="A40" s="6" t="s">
        <v>170</v>
      </c>
      <c r="B40" s="6" t="s">
        <v>136</v>
      </c>
      <c r="C40" s="6" t="s">
        <v>140</v>
      </c>
      <c r="D40" s="6" t="s">
        <v>163</v>
      </c>
      <c r="E40" s="6" t="s">
        <v>164</v>
      </c>
      <c r="F40" s="6" t="s">
        <v>37</v>
      </c>
      <c r="G40" s="24" t="n">
        <v>-536485</v>
      </c>
      <c r="H40" s="24" t="n">
        <f aca="false">$G40*Supuestos!D$6*(Drivers!D$12/100)</f>
        <v>-548824.155</v>
      </c>
      <c r="I40" s="24" t="n">
        <f aca="false">$G40*Supuestos!E$6*(Drivers!E$12/100)</f>
        <v>-561447.110565</v>
      </c>
      <c r="J40" s="24" t="n">
        <f aca="false">$G40*Supuestos!F$6*(Drivers!F$12/100)</f>
        <v>-574360.394107995</v>
      </c>
      <c r="K40" s="24" t="n">
        <f aca="false">$G40*Supuestos!G$6*(Drivers!G$12/100)</f>
        <v>-585273.241596047</v>
      </c>
      <c r="L40" s="24" t="n">
        <f aca="false">$G40*Supuestos!H$6*(Drivers!H$12/100)</f>
        <v>-596393.433186372</v>
      </c>
      <c r="M40" s="24" t="n">
        <f aca="false">$G40*Supuestos!I$6*(Drivers!I$12/100)</f>
        <v>-607724.908416912</v>
      </c>
      <c r="N40" s="24" t="n">
        <f aca="false">$G40*Supuestos!J$6*(Drivers!J$12/100)</f>
        <v>-619271.681676834</v>
      </c>
      <c r="O40" s="24" t="n">
        <f aca="false">$G40*Supuestos!K$6*(Drivers!K$12/100)</f>
        <v>-631037.843628693</v>
      </c>
      <c r="P40" s="24" t="n">
        <f aca="false">$G40*Supuestos!L$6*(Drivers!L$12/100)</f>
        <v>-643027.562657639</v>
      </c>
      <c r="Q40" s="24" t="n">
        <f aca="false">$G40*Supuestos!M$6*(Drivers!M$12/100)</f>
        <v>-655245.086348134</v>
      </c>
      <c r="R40" s="24" t="n">
        <f aca="false">$G40*Supuestos!N$6*(Drivers!N$12/100)</f>
        <v>-667694.742988748</v>
      </c>
      <c r="S40" s="24" t="n">
        <f aca="false">$G40*Supuestos!O$6*(Drivers!O$12/100)</f>
        <v>-680380.943105534</v>
      </c>
      <c r="T40" s="24" t="n">
        <f aca="false">$G40*Supuestos!P$6*(Drivers!P$12/100)</f>
        <v>-693308.181024539</v>
      </c>
      <c r="U40" s="24" t="n">
        <f aca="false">$G40*Supuestos!Q$6*(Drivers!Q$12/100)</f>
        <v>-706481.036464006</v>
      </c>
      <c r="V40" s="24" t="n">
        <f aca="false">$G40*Supuestos!R$6*(Drivers!R$12/100)</f>
        <v>-719904.176156822</v>
      </c>
    </row>
    <row r="41" customFormat="false" ht="15" hidden="false" customHeight="false" outlineLevel="0" collapsed="false">
      <c r="A41" s="6" t="s">
        <v>170</v>
      </c>
      <c r="B41" s="6" t="s">
        <v>136</v>
      </c>
      <c r="C41" s="6" t="s">
        <v>140</v>
      </c>
      <c r="D41" s="6" t="s">
        <v>165</v>
      </c>
      <c r="E41" s="6" t="s">
        <v>166</v>
      </c>
      <c r="F41" s="6" t="s">
        <v>35</v>
      </c>
      <c r="G41" s="24" t="n">
        <v>-476385</v>
      </c>
      <c r="H41" s="24" t="n">
        <f aca="false">$G41*Supuestos!D$8*(Drivers!D$12/100)</f>
        <v>-487902</v>
      </c>
      <c r="I41" s="24" t="n">
        <f aca="false">$G41*Supuestos!E$8*(Drivers!E$12/100)</f>
        <v>-499768</v>
      </c>
      <c r="J41" s="24" t="n">
        <f aca="false">$G41*Supuestos!F$8*(Drivers!F$12/100)</f>
        <v>-511285</v>
      </c>
      <c r="K41" s="24" t="n">
        <f aca="false">$G41*Supuestos!G$8*(Drivers!G$12/100)</f>
        <v>-519661</v>
      </c>
      <c r="L41" s="24" t="n">
        <f aca="false">$G41*Supuestos!H$8*(Drivers!H$12/100)</f>
        <v>-527688</v>
      </c>
      <c r="M41" s="24" t="n">
        <f aca="false">$G41*Supuestos!I$8*(Drivers!I$12/100)</f>
        <v>-536064</v>
      </c>
      <c r="N41" s="24" t="n">
        <f aca="false">$G41*Supuestos!J$8*(Drivers!J$12/100)</f>
        <v>-544440</v>
      </c>
      <c r="O41" s="24" t="n">
        <f aca="false">$G41*Supuestos!K$8*(Drivers!K$12/100)</f>
        <v>-552816</v>
      </c>
      <c r="P41" s="24" t="n">
        <f aca="false">$G41*Supuestos!L$8*(Drivers!L$12/100)</f>
        <v>-561192</v>
      </c>
      <c r="Q41" s="24" t="n">
        <f aca="false">$G41*Supuestos!M$8*(Drivers!M$12/100)</f>
        <v>-569219</v>
      </c>
      <c r="R41" s="24" t="n">
        <f aca="false">$G41*Supuestos!N$8*(Drivers!N$12/100)</f>
        <v>-577595</v>
      </c>
      <c r="S41" s="24" t="n">
        <f aca="false">$G41*Supuestos!O$8*(Drivers!O$12/100)</f>
        <v>-585971</v>
      </c>
      <c r="T41" s="24" t="n">
        <f aca="false">$G41*Supuestos!P$8*(Drivers!P$12/100)</f>
        <v>-593998</v>
      </c>
      <c r="U41" s="24" t="n">
        <f aca="false">$G41*Supuestos!Q$8*(Drivers!Q$12/100)</f>
        <v>-602374</v>
      </c>
      <c r="V41" s="24" t="n">
        <f aca="false">$G41*Supuestos!R$8*(Drivers!R$12/100)</f>
        <v>-610750</v>
      </c>
    </row>
    <row r="42" customFormat="false" ht="15" hidden="false" customHeight="false" outlineLevel="0" collapsed="false">
      <c r="A42" s="6" t="s">
        <v>170</v>
      </c>
      <c r="B42" s="6" t="s">
        <v>136</v>
      </c>
      <c r="C42" s="6" t="s">
        <v>167</v>
      </c>
      <c r="D42" s="6" t="s">
        <v>168</v>
      </c>
      <c r="E42" s="6" t="s">
        <v>169</v>
      </c>
      <c r="F42" s="6" t="s">
        <v>27</v>
      </c>
      <c r="G42" s="24" t="n">
        <v>-2087382.17</v>
      </c>
      <c r="H42" s="24" t="n">
        <f aca="false">$G42*Supuestos!D$6*(Drivers!D$12/100)*(Drivers!D$13/Drivers!$C$13)*(Drivers!D$14/Drivers!$C$14)*Supuestos!D$13</f>
        <v>-2156745.8795091</v>
      </c>
      <c r="I42" s="24" t="n">
        <f aca="false">$G42*Supuestos!E$6*(Drivers!E$12/100)*(Drivers!E$13/Drivers!$C$13)*(Drivers!E$14/Drivers!$C$14)*Supuestos!E$13</f>
        <v>-2184505.97498793</v>
      </c>
      <c r="J42" s="24" t="n">
        <f aca="false">$G42*Supuestos!F$6*(Drivers!F$12/100)*(Drivers!F$13/Drivers!$C$13)*(Drivers!F$14/Drivers!$C$14)*Supuestos!F$13</f>
        <v>-2167707.12404027</v>
      </c>
      <c r="K42" s="24" t="n">
        <f aca="false">$G42*Supuestos!G$6*(Drivers!G$12/100)*(Drivers!G$13/Drivers!$C$13)*(Drivers!G$14/Drivers!$C$14)*Supuestos!G$13</f>
        <v>-2186121.46084655</v>
      </c>
      <c r="L42" s="24" t="n">
        <f aca="false">$G42*Supuestos!H$6*(Drivers!H$12/100)*(Drivers!H$13/Drivers!$C$13)*(Drivers!H$14/Drivers!$C$14)*Supuestos!H$13</f>
        <v>-2250862.53702558</v>
      </c>
      <c r="M42" s="24" t="n">
        <f aca="false">$G42*Supuestos!I$6*(Drivers!I$12/100)*(Drivers!I$13/Drivers!$C$13)*(Drivers!I$14/Drivers!$C$14)*Supuestos!I$13</f>
        <v>-2435502.87936695</v>
      </c>
      <c r="N42" s="24" t="n">
        <f aca="false">$G42*Supuestos!J$6*(Drivers!J$12/100)*(Drivers!J$13/Drivers!$C$13)*(Drivers!J$14/Drivers!$C$14)*Supuestos!J$13</f>
        <v>-2433587.58098608</v>
      </c>
      <c r="O42" s="24" t="n">
        <f aca="false">$G42*Supuestos!K$6*(Drivers!K$12/100)*(Drivers!K$13/Drivers!$C$13)*(Drivers!K$14/Drivers!$C$14)*Supuestos!K$13</f>
        <v>-2455273.01487606</v>
      </c>
      <c r="P42" s="24" t="n">
        <f aca="false">$G42*Supuestos!L$6*(Drivers!L$12/100)*(Drivers!L$13/Drivers!$C$13)*(Drivers!L$14/Drivers!$C$14)*Supuestos!L$13</f>
        <v>-2476903.97013712</v>
      </c>
      <c r="Q42" s="24" t="n">
        <f aca="false">$G42*Supuestos!M$6*(Drivers!M$12/100)*(Drivers!M$13/Drivers!$C$13)*(Drivers!M$14/Drivers!$C$14)*Supuestos!M$13</f>
        <v>-2549459.74299972</v>
      </c>
      <c r="R42" s="24" t="n">
        <f aca="false">$G42*Supuestos!N$6*(Drivers!N$12/100)*(Drivers!N$13/Drivers!$C$13)*(Drivers!N$14/Drivers!$C$14)*Supuestos!N$13</f>
        <v>-2623878.47289788</v>
      </c>
      <c r="S42" s="24" t="n">
        <f aca="false">$G42*Supuestos!O$6*(Drivers!O$12/100)*(Drivers!O$13/Drivers!$C$13)*(Drivers!O$14/Drivers!$C$14)*Supuestos!O$13</f>
        <v>-2700204.75956495</v>
      </c>
      <c r="T42" s="24" t="n">
        <f aca="false">$G42*Supuestos!P$6*(Drivers!P$12/100)*(Drivers!P$13/Drivers!$C$13)*(Drivers!P$14/Drivers!$C$14)*Supuestos!P$13</f>
        <v>-2724533.07499672</v>
      </c>
      <c r="U42" s="24" t="n">
        <f aca="false">$G42*Supuestos!Q$6*(Drivers!Q$12/100)*(Drivers!Q$13/Drivers!$C$13)*(Drivers!Q$14/Drivers!$C$14)*Supuestos!Q$13</f>
        <v>-2748811.09249669</v>
      </c>
      <c r="V42" s="24" t="n">
        <f aca="false">$G42*Supuestos!R$6*(Drivers!R$12/100)*(Drivers!R$13/Drivers!$C$13)*(Drivers!R$14/Drivers!$C$14)*Supuestos!R$13</f>
        <v>-2717007.3481565</v>
      </c>
    </row>
    <row r="43" customFormat="false" ht="15" hidden="false" customHeight="false" outlineLevel="0" collapsed="false">
      <c r="A43" s="6" t="s">
        <v>171</v>
      </c>
      <c r="B43" s="6" t="s">
        <v>136</v>
      </c>
      <c r="C43" s="6" t="s">
        <v>137</v>
      </c>
      <c r="D43" s="6" t="s">
        <v>138</v>
      </c>
      <c r="E43" s="6" t="s">
        <v>139</v>
      </c>
      <c r="F43" s="6" t="s">
        <v>25</v>
      </c>
      <c r="G43" s="24" t="n">
        <v>46147491.83</v>
      </c>
      <c r="H43" s="24" t="n">
        <f aca="false">$G43*Supuestos!D$6*(Drivers!D$18/100)*(Drivers!D$19/Drivers!$C$19)*(Drivers!D$20/Drivers!$C$20)*Supuestos!D$13</f>
        <v>47680972.9835109</v>
      </c>
      <c r="I43" s="24" t="n">
        <f aca="false">$G43*Supuestos!E$6*(Drivers!E$18/100)*(Drivers!E$19/Drivers!$C$19)*(Drivers!E$20/Drivers!$C$20)*Supuestos!E$13</f>
        <v>48294688.4773581</v>
      </c>
      <c r="J43" s="24" t="n">
        <f aca="false">$G43*Supuestos!F$6*(Drivers!F$18/100)*(Drivers!F$19/Drivers!$C$19)*(Drivers!F$20/Drivers!$C$20)*Supuestos!F$13</f>
        <v>47923302.3229672</v>
      </c>
      <c r="K43" s="24" t="n">
        <f aca="false">$G43*Supuestos!G$6*(Drivers!G$18/100)*(Drivers!G$19/Drivers!$C$19)*(Drivers!G$20/Drivers!$C$20)*Supuestos!G$13</f>
        <v>48330403.3653808</v>
      </c>
      <c r="L43" s="24" t="n">
        <f aca="false">$G43*Supuestos!H$6*(Drivers!H$18/100)*(Drivers!H$19/Drivers!$C$19)*(Drivers!H$20/Drivers!$C$20)*Supuestos!H$13</f>
        <v>49761688.1233785</v>
      </c>
      <c r="M43" s="24" t="n">
        <f aca="false">$G43*Supuestos!I$6*(Drivers!I$18/100)*(Drivers!I$19/Drivers!$C$19)*(Drivers!I$20/Drivers!$C$20)*Supuestos!I$13</f>
        <v>53843685.5707777</v>
      </c>
      <c r="N43" s="24" t="n">
        <f aca="false">$G43*Supuestos!J$6*(Drivers!J$18/100)*(Drivers!J$19/Drivers!$C$19)*(Drivers!J$20/Drivers!$C$20)*Supuestos!J$13</f>
        <v>53801342.4782414</v>
      </c>
      <c r="O43" s="24" t="n">
        <f aca="false">$G43*Supuestos!K$6*(Drivers!K$18/100)*(Drivers!K$19/Drivers!$C$19)*(Drivers!K$20/Drivers!$C$20)*Supuestos!K$13</f>
        <v>54280760.3815129</v>
      </c>
      <c r="P43" s="24" t="n">
        <f aca="false">$G43*Supuestos!L$6*(Drivers!L$18/100)*(Drivers!L$19/Drivers!$C$19)*(Drivers!L$20/Drivers!$C$20)*Supuestos!L$13</f>
        <v>54758973.880474</v>
      </c>
      <c r="Q43" s="24" t="n">
        <f aca="false">$G43*Supuestos!M$6*(Drivers!M$18/100)*(Drivers!M$19/Drivers!$C$19)*(Drivers!M$20/Drivers!$C$20)*Supuestos!M$13</f>
        <v>56363024.6305081</v>
      </c>
      <c r="R43" s="24" t="n">
        <f aca="false">$G43*Supuestos!N$6*(Drivers!N$18/100)*(Drivers!N$19/Drivers!$C$19)*(Drivers!N$20/Drivers!$C$20)*Supuestos!N$13</f>
        <v>58008261.3194726</v>
      </c>
      <c r="S43" s="24" t="n">
        <f aca="false">$G43*Supuestos!O$6*(Drivers!O$18/100)*(Drivers!O$19/Drivers!$C$19)*(Drivers!O$20/Drivers!$C$20)*Supuestos!O$13</f>
        <v>59695669.9507262</v>
      </c>
      <c r="T43" s="24" t="n">
        <f aca="false">$G43*Supuestos!P$6*(Drivers!P$18/100)*(Drivers!P$19/Drivers!$C$19)*(Drivers!P$20/Drivers!$C$20)*Supuestos!P$13</f>
        <v>60233516.2319489</v>
      </c>
      <c r="U43" s="24" t="n">
        <f aca="false">$G43*Supuestos!Q$6*(Drivers!Q$18/100)*(Drivers!Q$19/Drivers!$C$19)*(Drivers!Q$20/Drivers!$C$20)*Supuestos!Q$13</f>
        <v>60770250.5350059</v>
      </c>
      <c r="V43" s="24" t="n">
        <f aca="false">$G43*Supuestos!R$6*(Drivers!R$18/100)*(Drivers!R$19/Drivers!$C$19)*(Drivers!R$20/Drivers!$C$20)*Supuestos!R$13</f>
        <v>60067138.7363159</v>
      </c>
    </row>
    <row r="44" customFormat="false" ht="15" hidden="false" customHeight="false" outlineLevel="0" collapsed="false">
      <c r="A44" s="6" t="s">
        <v>171</v>
      </c>
      <c r="B44" s="6" t="s">
        <v>136</v>
      </c>
      <c r="C44" s="6" t="s">
        <v>140</v>
      </c>
      <c r="D44" s="6" t="s">
        <v>141</v>
      </c>
      <c r="E44" s="6" t="s">
        <v>142</v>
      </c>
      <c r="F44" s="6" t="s">
        <v>29</v>
      </c>
      <c r="G44" s="24" t="n">
        <v>-7946511.4</v>
      </c>
      <c r="H44" s="24" t="n">
        <f aca="false">$G44*Supuestos!D$10*(Drivers!D$21/Drivers!$C$21)</f>
        <v>-8423302.084</v>
      </c>
      <c r="I44" s="24" t="n">
        <f aca="false">$G44*Supuestos!E$10*(Drivers!E$21/Drivers!$C$21)</f>
        <v>-8423302.084</v>
      </c>
      <c r="J44" s="24" t="n">
        <f aca="false">$G44*Supuestos!F$10*(Drivers!F$21/Drivers!$C$21)</f>
        <v>-8423302.084</v>
      </c>
      <c r="K44" s="24" t="n">
        <f aca="false">$G44*Supuestos!G$10*(Drivers!G$21/Drivers!$C$21)</f>
        <v>-8886583.69862</v>
      </c>
      <c r="L44" s="24" t="n">
        <f aca="false">$G44*Supuestos!H$10*(Drivers!H$21/Drivers!$C$21)</f>
        <v>-8886583.69862</v>
      </c>
      <c r="M44" s="24" t="n">
        <f aca="false">$G44*Supuestos!I$10*(Drivers!I$21/Drivers!$C$21)</f>
        <v>-8886583.69862</v>
      </c>
      <c r="N44" s="24" t="n">
        <f aca="false">$G44*Supuestos!J$10*(Drivers!J$21/Drivers!$C$21)</f>
        <v>-9375345.8020441</v>
      </c>
      <c r="O44" s="24" t="n">
        <f aca="false">$G44*Supuestos!K$10*(Drivers!K$21/Drivers!$C$21)</f>
        <v>-9375345.8020441</v>
      </c>
      <c r="P44" s="24" t="n">
        <f aca="false">$G44*Supuestos!L$10*(Drivers!L$21/Drivers!$C$21)</f>
        <v>-9375345.8020441</v>
      </c>
      <c r="Q44" s="24" t="n">
        <f aca="false">$G44*Supuestos!M$10*(Drivers!M$21/Drivers!$C$21)</f>
        <v>-9890989.82115653</v>
      </c>
      <c r="R44" s="24" t="n">
        <f aca="false">$G44*Supuestos!N$10*(Drivers!N$21/Drivers!$C$21)</f>
        <v>-9890989.82115653</v>
      </c>
      <c r="S44" s="24" t="n">
        <f aca="false">$G44*Supuestos!O$10*(Drivers!O$21/Drivers!$C$21)</f>
        <v>-9890989.82115653</v>
      </c>
      <c r="T44" s="24" t="n">
        <f aca="false">$G44*Supuestos!P$10*(Drivers!P$21/Drivers!$C$21)</f>
        <v>-10434994.2613201</v>
      </c>
      <c r="U44" s="24" t="n">
        <f aca="false">$G44*Supuestos!Q$10*(Drivers!Q$21/Drivers!$C$21)</f>
        <v>-10434994.2613201</v>
      </c>
      <c r="V44" s="24" t="n">
        <f aca="false">$G44*Supuestos!R$10*(Drivers!R$21/Drivers!$C$21)</f>
        <v>-10434994.2613201</v>
      </c>
    </row>
    <row r="45" customFormat="false" ht="15" hidden="false" customHeight="false" outlineLevel="0" collapsed="false">
      <c r="A45" s="6" t="s">
        <v>171</v>
      </c>
      <c r="B45" s="6" t="s">
        <v>136</v>
      </c>
      <c r="C45" s="6" t="s">
        <v>140</v>
      </c>
      <c r="D45" s="6" t="s">
        <v>141</v>
      </c>
      <c r="E45" s="6" t="s">
        <v>143</v>
      </c>
      <c r="F45" s="6" t="s">
        <v>29</v>
      </c>
      <c r="G45" s="24" t="n">
        <v>-3058214.59</v>
      </c>
      <c r="H45" s="24" t="n">
        <f aca="false">$G45*Supuestos!D$10*(Drivers!D$21/Drivers!$C$21)</f>
        <v>-3241707.4654</v>
      </c>
      <c r="I45" s="24" t="n">
        <f aca="false">$G45*Supuestos!E$10*(Drivers!E$21/Drivers!$C$21)</f>
        <v>-3241707.4654</v>
      </c>
      <c r="J45" s="24" t="n">
        <f aca="false">$G45*Supuestos!F$10*(Drivers!F$21/Drivers!$C$21)</f>
        <v>-3241707.4654</v>
      </c>
      <c r="K45" s="24" t="n">
        <f aca="false">$G45*Supuestos!G$10*(Drivers!G$21/Drivers!$C$21)</f>
        <v>-3420001.375997</v>
      </c>
      <c r="L45" s="24" t="n">
        <f aca="false">$G45*Supuestos!H$10*(Drivers!H$21/Drivers!$C$21)</f>
        <v>-3420001.375997</v>
      </c>
      <c r="M45" s="24" t="n">
        <f aca="false">$G45*Supuestos!I$10*(Drivers!I$21/Drivers!$C$21)</f>
        <v>-3420001.375997</v>
      </c>
      <c r="N45" s="24" t="n">
        <f aca="false">$G45*Supuestos!J$10*(Drivers!J$21/Drivers!$C$21)</f>
        <v>-3608101.45167684</v>
      </c>
      <c r="O45" s="24" t="n">
        <f aca="false">$G45*Supuestos!K$10*(Drivers!K$21/Drivers!$C$21)</f>
        <v>-3608101.45167684</v>
      </c>
      <c r="P45" s="24" t="n">
        <f aca="false">$G45*Supuestos!L$10*(Drivers!L$21/Drivers!$C$21)</f>
        <v>-3608101.45167684</v>
      </c>
      <c r="Q45" s="24" t="n">
        <f aca="false">$G45*Supuestos!M$10*(Drivers!M$21/Drivers!$C$21)</f>
        <v>-3806547.03151906</v>
      </c>
      <c r="R45" s="24" t="n">
        <f aca="false">$G45*Supuestos!N$10*(Drivers!N$21/Drivers!$C$21)</f>
        <v>-3806547.03151906</v>
      </c>
      <c r="S45" s="24" t="n">
        <f aca="false">$G45*Supuestos!O$10*(Drivers!O$21/Drivers!$C$21)</f>
        <v>-3806547.03151906</v>
      </c>
      <c r="T45" s="24" t="n">
        <f aca="false">$G45*Supuestos!P$10*(Drivers!P$21/Drivers!$C$21)</f>
        <v>-4015907.11825261</v>
      </c>
      <c r="U45" s="24" t="n">
        <f aca="false">$G45*Supuestos!Q$10*(Drivers!Q$21/Drivers!$C$21)</f>
        <v>-4015907.11825261</v>
      </c>
      <c r="V45" s="24" t="n">
        <f aca="false">$G45*Supuestos!R$10*(Drivers!R$21/Drivers!$C$21)</f>
        <v>-4015907.11825261</v>
      </c>
    </row>
    <row r="46" customFormat="false" ht="15" hidden="false" customHeight="false" outlineLevel="0" collapsed="false">
      <c r="A46" s="6" t="s">
        <v>171</v>
      </c>
      <c r="B46" s="6" t="s">
        <v>136</v>
      </c>
      <c r="C46" s="6" t="s">
        <v>140</v>
      </c>
      <c r="D46" s="6" t="s">
        <v>141</v>
      </c>
      <c r="E46" s="6" t="s">
        <v>144</v>
      </c>
      <c r="F46" s="6" t="s">
        <v>29</v>
      </c>
      <c r="G46" s="24" t="n">
        <v>-723448.34</v>
      </c>
      <c r="H46" s="24" t="n">
        <f aca="false">$G46*Supuestos!D$10*(Drivers!D$21/Drivers!$C$21)</f>
        <v>-766855.2404</v>
      </c>
      <c r="I46" s="24" t="n">
        <f aca="false">$G46*Supuestos!E$10*(Drivers!E$21/Drivers!$C$21)</f>
        <v>-766855.2404</v>
      </c>
      <c r="J46" s="24" t="n">
        <f aca="false">$G46*Supuestos!F$10*(Drivers!F$21/Drivers!$C$21)</f>
        <v>-766855.2404</v>
      </c>
      <c r="K46" s="24" t="n">
        <f aca="false">$G46*Supuestos!G$10*(Drivers!G$21/Drivers!$C$21)</f>
        <v>-809032.278622</v>
      </c>
      <c r="L46" s="24" t="n">
        <f aca="false">$G46*Supuestos!H$10*(Drivers!H$21/Drivers!$C$21)</f>
        <v>-809032.278622</v>
      </c>
      <c r="M46" s="24" t="n">
        <f aca="false">$G46*Supuestos!I$10*(Drivers!I$21/Drivers!$C$21)</f>
        <v>-809032.278622</v>
      </c>
      <c r="N46" s="24" t="n">
        <f aca="false">$G46*Supuestos!J$10*(Drivers!J$21/Drivers!$C$21)</f>
        <v>-853529.05394621</v>
      </c>
      <c r="O46" s="24" t="n">
        <f aca="false">$G46*Supuestos!K$10*(Drivers!K$21/Drivers!$C$21)</f>
        <v>-853529.05394621</v>
      </c>
      <c r="P46" s="24" t="n">
        <f aca="false">$G46*Supuestos!L$10*(Drivers!L$21/Drivers!$C$21)</f>
        <v>-853529.05394621</v>
      </c>
      <c r="Q46" s="24" t="n">
        <f aca="false">$G46*Supuestos!M$10*(Drivers!M$21/Drivers!$C$21)</f>
        <v>-900473.151913252</v>
      </c>
      <c r="R46" s="24" t="n">
        <f aca="false">$G46*Supuestos!N$10*(Drivers!N$21/Drivers!$C$21)</f>
        <v>-900473.151913252</v>
      </c>
      <c r="S46" s="24" t="n">
        <f aca="false">$G46*Supuestos!O$10*(Drivers!O$21/Drivers!$C$21)</f>
        <v>-900473.151913252</v>
      </c>
      <c r="T46" s="24" t="n">
        <f aca="false">$G46*Supuestos!P$10*(Drivers!P$21/Drivers!$C$21)</f>
        <v>-949999.17526848</v>
      </c>
      <c r="U46" s="24" t="n">
        <f aca="false">$G46*Supuestos!Q$10*(Drivers!Q$21/Drivers!$C$21)</f>
        <v>-949999.17526848</v>
      </c>
      <c r="V46" s="24" t="n">
        <f aca="false">$G46*Supuestos!R$10*(Drivers!R$21/Drivers!$C$21)</f>
        <v>-949999.17526848</v>
      </c>
    </row>
    <row r="47" customFormat="false" ht="15" hidden="false" customHeight="false" outlineLevel="0" collapsed="false">
      <c r="A47" s="6" t="s">
        <v>171</v>
      </c>
      <c r="B47" s="6" t="s">
        <v>136</v>
      </c>
      <c r="C47" s="6" t="s">
        <v>140</v>
      </c>
      <c r="D47" s="6" t="s">
        <v>141</v>
      </c>
      <c r="E47" s="6" t="s">
        <v>145</v>
      </c>
      <c r="F47" s="6" t="s">
        <v>29</v>
      </c>
      <c r="G47" s="24" t="n">
        <v>-493260.31</v>
      </c>
      <c r="H47" s="24" t="n">
        <f aca="false">$G47*Supuestos!D$10*(Drivers!D$21/Drivers!$C$21)</f>
        <v>-522855.9286</v>
      </c>
      <c r="I47" s="24" t="n">
        <f aca="false">$G47*Supuestos!E$10*(Drivers!E$21/Drivers!$C$21)</f>
        <v>-522855.9286</v>
      </c>
      <c r="J47" s="24" t="n">
        <f aca="false">$G47*Supuestos!F$10*(Drivers!F$21/Drivers!$C$21)</f>
        <v>-522855.9286</v>
      </c>
      <c r="K47" s="24" t="n">
        <f aca="false">$G47*Supuestos!G$10*(Drivers!G$21/Drivers!$C$21)</f>
        <v>-551613.004673</v>
      </c>
      <c r="L47" s="24" t="n">
        <f aca="false">$G47*Supuestos!H$10*(Drivers!H$21/Drivers!$C$21)</f>
        <v>-551613.004673</v>
      </c>
      <c r="M47" s="24" t="n">
        <f aca="false">$G47*Supuestos!I$10*(Drivers!I$21/Drivers!$C$21)</f>
        <v>-551613.004673</v>
      </c>
      <c r="N47" s="24" t="n">
        <f aca="false">$G47*Supuestos!J$10*(Drivers!J$21/Drivers!$C$21)</f>
        <v>-581951.719930015</v>
      </c>
      <c r="O47" s="24" t="n">
        <f aca="false">$G47*Supuestos!K$10*(Drivers!K$21/Drivers!$C$21)</f>
        <v>-581951.719930015</v>
      </c>
      <c r="P47" s="24" t="n">
        <f aca="false">$G47*Supuestos!L$10*(Drivers!L$21/Drivers!$C$21)</f>
        <v>-581951.719930015</v>
      </c>
      <c r="Q47" s="24" t="n">
        <f aca="false">$G47*Supuestos!M$10*(Drivers!M$21/Drivers!$C$21)</f>
        <v>-613959.064526166</v>
      </c>
      <c r="R47" s="24" t="n">
        <f aca="false">$G47*Supuestos!N$10*(Drivers!N$21/Drivers!$C$21)</f>
        <v>-613959.064526166</v>
      </c>
      <c r="S47" s="24" t="n">
        <f aca="false">$G47*Supuestos!O$10*(Drivers!O$21/Drivers!$C$21)</f>
        <v>-613959.064526166</v>
      </c>
      <c r="T47" s="24" t="n">
        <f aca="false">$G47*Supuestos!P$10*(Drivers!P$21/Drivers!$C$21)</f>
        <v>-647726.813075105</v>
      </c>
      <c r="U47" s="24" t="n">
        <f aca="false">$G47*Supuestos!Q$10*(Drivers!Q$21/Drivers!$C$21)</f>
        <v>-647726.813075105</v>
      </c>
      <c r="V47" s="24" t="n">
        <f aca="false">$G47*Supuestos!R$10*(Drivers!R$21/Drivers!$C$21)</f>
        <v>-647726.813075105</v>
      </c>
    </row>
    <row r="48" customFormat="false" ht="15" hidden="false" customHeight="false" outlineLevel="0" collapsed="false">
      <c r="A48" s="6" t="s">
        <v>171</v>
      </c>
      <c r="B48" s="6" t="s">
        <v>136</v>
      </c>
      <c r="C48" s="6" t="s">
        <v>140</v>
      </c>
      <c r="D48" s="6" t="s">
        <v>141</v>
      </c>
      <c r="E48" s="6" t="s">
        <v>146</v>
      </c>
      <c r="F48" s="6" t="s">
        <v>29</v>
      </c>
      <c r="G48" s="24" t="n">
        <v>-937194.75</v>
      </c>
      <c r="H48" s="24" t="n">
        <f aca="false">$G48*Supuestos!D$10*(Drivers!D$21/Drivers!$C$21)</f>
        <v>-993426.435</v>
      </c>
      <c r="I48" s="24" t="n">
        <f aca="false">$G48*Supuestos!E$10*(Drivers!E$21/Drivers!$C$21)</f>
        <v>-993426.435</v>
      </c>
      <c r="J48" s="24" t="n">
        <f aca="false">$G48*Supuestos!F$10*(Drivers!F$21/Drivers!$C$21)</f>
        <v>-993426.435</v>
      </c>
      <c r="K48" s="24" t="n">
        <f aca="false">$G48*Supuestos!G$10*(Drivers!G$21/Drivers!$C$21)</f>
        <v>-1048064.888925</v>
      </c>
      <c r="L48" s="24" t="n">
        <f aca="false">$G48*Supuestos!H$10*(Drivers!H$21/Drivers!$C$21)</f>
        <v>-1048064.888925</v>
      </c>
      <c r="M48" s="24" t="n">
        <f aca="false">$G48*Supuestos!I$10*(Drivers!I$21/Drivers!$C$21)</f>
        <v>-1048064.888925</v>
      </c>
      <c r="N48" s="24" t="n">
        <f aca="false">$G48*Supuestos!J$10*(Drivers!J$21/Drivers!$C$21)</f>
        <v>-1105708.45781588</v>
      </c>
      <c r="O48" s="24" t="n">
        <f aca="false">$G48*Supuestos!K$10*(Drivers!K$21/Drivers!$C$21)</f>
        <v>-1105708.45781588</v>
      </c>
      <c r="P48" s="24" t="n">
        <f aca="false">$G48*Supuestos!L$10*(Drivers!L$21/Drivers!$C$21)</f>
        <v>-1105708.45781588</v>
      </c>
      <c r="Q48" s="24" t="n">
        <f aca="false">$G48*Supuestos!M$10*(Drivers!M$21/Drivers!$C$21)</f>
        <v>-1166522.42299575</v>
      </c>
      <c r="R48" s="24" t="n">
        <f aca="false">$G48*Supuestos!N$10*(Drivers!N$21/Drivers!$C$21)</f>
        <v>-1166522.42299575</v>
      </c>
      <c r="S48" s="24" t="n">
        <f aca="false">$G48*Supuestos!O$10*(Drivers!O$21/Drivers!$C$21)</f>
        <v>-1166522.42299575</v>
      </c>
      <c r="T48" s="24" t="n">
        <f aca="false">$G48*Supuestos!P$10*(Drivers!P$21/Drivers!$C$21)</f>
        <v>-1230681.15626051</v>
      </c>
      <c r="U48" s="24" t="n">
        <f aca="false">$G48*Supuestos!Q$10*(Drivers!Q$21/Drivers!$C$21)</f>
        <v>-1230681.15626051</v>
      </c>
      <c r="V48" s="24" t="n">
        <f aca="false">$G48*Supuestos!R$10*(Drivers!R$21/Drivers!$C$21)</f>
        <v>-1230681.15626051</v>
      </c>
    </row>
    <row r="49" customFormat="false" ht="15" hidden="false" customHeight="false" outlineLevel="0" collapsed="false">
      <c r="A49" s="6" t="s">
        <v>171</v>
      </c>
      <c r="B49" s="6" t="s">
        <v>136</v>
      </c>
      <c r="C49" s="6" t="s">
        <v>140</v>
      </c>
      <c r="D49" s="6" t="s">
        <v>141</v>
      </c>
      <c r="E49" s="6" t="s">
        <v>147</v>
      </c>
      <c r="F49" s="6" t="s">
        <v>29</v>
      </c>
      <c r="G49" s="24" t="n">
        <v>-1052288.77</v>
      </c>
      <c r="H49" s="24" t="n">
        <f aca="false">$G49*Supuestos!D$10*(Drivers!D$21/Drivers!$C$21)</f>
        <v>-1115426.0962</v>
      </c>
      <c r="I49" s="24" t="n">
        <f aca="false">$G49*Supuestos!E$10*(Drivers!E$21/Drivers!$C$21)</f>
        <v>-1115426.0962</v>
      </c>
      <c r="J49" s="24" t="n">
        <f aca="false">$G49*Supuestos!F$10*(Drivers!F$21/Drivers!$C$21)</f>
        <v>-1115426.0962</v>
      </c>
      <c r="K49" s="24" t="n">
        <f aca="false">$G49*Supuestos!G$10*(Drivers!G$21/Drivers!$C$21)</f>
        <v>-1176774.531491</v>
      </c>
      <c r="L49" s="24" t="n">
        <f aca="false">$G49*Supuestos!H$10*(Drivers!H$21/Drivers!$C$21)</f>
        <v>-1176774.531491</v>
      </c>
      <c r="M49" s="24" t="n">
        <f aca="false">$G49*Supuestos!I$10*(Drivers!I$21/Drivers!$C$21)</f>
        <v>-1176774.531491</v>
      </c>
      <c r="N49" s="24" t="n">
        <f aca="false">$G49*Supuestos!J$10*(Drivers!J$21/Drivers!$C$21)</f>
        <v>-1241497.13072301</v>
      </c>
      <c r="O49" s="24" t="n">
        <f aca="false">$G49*Supuestos!K$10*(Drivers!K$21/Drivers!$C$21)</f>
        <v>-1241497.13072301</v>
      </c>
      <c r="P49" s="24" t="n">
        <f aca="false">$G49*Supuestos!L$10*(Drivers!L$21/Drivers!$C$21)</f>
        <v>-1241497.13072301</v>
      </c>
      <c r="Q49" s="24" t="n">
        <f aca="false">$G49*Supuestos!M$10*(Drivers!M$21/Drivers!$C$21)</f>
        <v>-1309779.47291277</v>
      </c>
      <c r="R49" s="24" t="n">
        <f aca="false">$G49*Supuestos!N$10*(Drivers!N$21/Drivers!$C$21)</f>
        <v>-1309779.47291277</v>
      </c>
      <c r="S49" s="24" t="n">
        <f aca="false">$G49*Supuestos!O$10*(Drivers!O$21/Drivers!$C$21)</f>
        <v>-1309779.47291277</v>
      </c>
      <c r="T49" s="24" t="n">
        <f aca="false">$G49*Supuestos!P$10*(Drivers!P$21/Drivers!$C$21)</f>
        <v>-1381817.34392297</v>
      </c>
      <c r="U49" s="24" t="n">
        <f aca="false">$G49*Supuestos!Q$10*(Drivers!Q$21/Drivers!$C$21)</f>
        <v>-1381817.34392297</v>
      </c>
      <c r="V49" s="24" t="n">
        <f aca="false">$G49*Supuestos!R$10*(Drivers!R$21/Drivers!$C$21)</f>
        <v>-1381817.34392297</v>
      </c>
    </row>
    <row r="50" customFormat="false" ht="15" hidden="false" customHeight="false" outlineLevel="0" collapsed="false">
      <c r="A50" s="6" t="s">
        <v>171</v>
      </c>
      <c r="B50" s="6" t="s">
        <v>136</v>
      </c>
      <c r="C50" s="6" t="s">
        <v>140</v>
      </c>
      <c r="D50" s="6" t="s">
        <v>141</v>
      </c>
      <c r="E50" s="6" t="s">
        <v>148</v>
      </c>
      <c r="F50" s="6" t="s">
        <v>41</v>
      </c>
      <c r="G50" s="24" t="n">
        <v>-6407595.33</v>
      </c>
      <c r="H50" s="24" t="n">
        <f aca="false">0</f>
        <v>0</v>
      </c>
      <c r="I50" s="24" t="n">
        <f aca="false">0</f>
        <v>0</v>
      </c>
      <c r="J50" s="24" t="n">
        <f aca="false">0</f>
        <v>0</v>
      </c>
      <c r="K50" s="24" t="n">
        <f aca="false">0</f>
        <v>0</v>
      </c>
      <c r="L50" s="24" t="n">
        <f aca="false">0</f>
        <v>0</v>
      </c>
      <c r="M50" s="24" t="n">
        <f aca="false">0</f>
        <v>0</v>
      </c>
      <c r="N50" s="24" t="n">
        <f aca="false">0</f>
        <v>0</v>
      </c>
      <c r="O50" s="24" t="n">
        <f aca="false">0</f>
        <v>0</v>
      </c>
      <c r="P50" s="24" t="n">
        <f aca="false">0</f>
        <v>0</v>
      </c>
      <c r="Q50" s="24" t="n">
        <f aca="false">0</f>
        <v>0</v>
      </c>
      <c r="R50" s="24" t="n">
        <f aca="false">0</f>
        <v>0</v>
      </c>
      <c r="S50" s="24" t="n">
        <f aca="false">0</f>
        <v>0</v>
      </c>
      <c r="T50" s="24" t="n">
        <f aca="false">0</f>
        <v>0</v>
      </c>
      <c r="U50" s="24" t="n">
        <f aca="false">0</f>
        <v>0</v>
      </c>
      <c r="V50" s="24" t="n">
        <f aca="false">0</f>
        <v>0</v>
      </c>
    </row>
    <row r="51" customFormat="false" ht="15" hidden="false" customHeight="false" outlineLevel="0" collapsed="false">
      <c r="A51" s="6" t="s">
        <v>171</v>
      </c>
      <c r="B51" s="6" t="s">
        <v>136</v>
      </c>
      <c r="C51" s="6" t="s">
        <v>140</v>
      </c>
      <c r="D51" s="6" t="s">
        <v>149</v>
      </c>
      <c r="E51" s="6" t="s">
        <v>150</v>
      </c>
      <c r="F51" s="6" t="s">
        <v>31</v>
      </c>
      <c r="G51" s="24" t="n">
        <v>-11534250</v>
      </c>
      <c r="H51" s="24" t="n">
        <f aca="false">$G51*Supuestos!D$8*(Drivers!D$21/Drivers!$C$21)</f>
        <v>-11813100</v>
      </c>
      <c r="I51" s="24" t="n">
        <f aca="false">$G51*Supuestos!E$8*(Drivers!E$21/Drivers!$C$21)</f>
        <v>-12100400</v>
      </c>
      <c r="J51" s="24" t="n">
        <f aca="false">$G51*Supuestos!F$8*(Drivers!F$21/Drivers!$C$21)</f>
        <v>-12379250</v>
      </c>
      <c r="K51" s="24" t="n">
        <f aca="false">$G51*Supuestos!G$8*(Drivers!G$21/Drivers!$C$21)</f>
        <v>-12582050</v>
      </c>
      <c r="L51" s="24" t="n">
        <f aca="false">$G51*Supuestos!H$8*(Drivers!H$21/Drivers!$C$21)</f>
        <v>-12776400</v>
      </c>
      <c r="M51" s="24" t="n">
        <f aca="false">$G51*Supuestos!I$8*(Drivers!I$21/Drivers!$C$21)</f>
        <v>-12979200</v>
      </c>
      <c r="N51" s="24" t="n">
        <f aca="false">$G51*Supuestos!J$8*(Drivers!J$21/Drivers!$C$21)</f>
        <v>-13182000</v>
      </c>
      <c r="O51" s="24" t="n">
        <f aca="false">$G51*Supuestos!K$8*(Drivers!K$21/Drivers!$C$21)</f>
        <v>-13384800</v>
      </c>
      <c r="P51" s="24" t="n">
        <f aca="false">$G51*Supuestos!L$8*(Drivers!L$21/Drivers!$C$21)</f>
        <v>-13587600</v>
      </c>
      <c r="Q51" s="24" t="n">
        <f aca="false">$G51*Supuestos!M$8*(Drivers!M$21/Drivers!$C$21)</f>
        <v>-13781950</v>
      </c>
      <c r="R51" s="24" t="n">
        <f aca="false">$G51*Supuestos!N$8*(Drivers!N$21/Drivers!$C$21)</f>
        <v>-13984750</v>
      </c>
      <c r="S51" s="24" t="n">
        <f aca="false">$G51*Supuestos!O$8*(Drivers!O$21/Drivers!$C$21)</f>
        <v>-14187550</v>
      </c>
      <c r="T51" s="24" t="n">
        <f aca="false">$G51*Supuestos!P$8*(Drivers!P$21/Drivers!$C$21)</f>
        <v>-14381900</v>
      </c>
      <c r="U51" s="24" t="n">
        <f aca="false">$G51*Supuestos!Q$8*(Drivers!Q$21/Drivers!$C$21)</f>
        <v>-14584700</v>
      </c>
      <c r="V51" s="24" t="n">
        <f aca="false">$G51*Supuestos!R$8*(Drivers!R$21/Drivers!$C$21)</f>
        <v>-14787500</v>
      </c>
    </row>
    <row r="52" customFormat="false" ht="15" hidden="false" customHeight="false" outlineLevel="0" collapsed="false">
      <c r="A52" s="6" t="s">
        <v>171</v>
      </c>
      <c r="B52" s="6" t="s">
        <v>136</v>
      </c>
      <c r="C52" s="6" t="s">
        <v>140</v>
      </c>
      <c r="D52" s="6" t="s">
        <v>151</v>
      </c>
      <c r="E52" s="6" t="s">
        <v>152</v>
      </c>
      <c r="F52" s="6" t="s">
        <v>31</v>
      </c>
      <c r="G52" s="24" t="n">
        <v>-1351350</v>
      </c>
      <c r="H52" s="24" t="n">
        <f aca="false">$G52*Supuestos!D$8*(Drivers!D$21/Drivers!$C$21)</f>
        <v>-1384020</v>
      </c>
      <c r="I52" s="24" t="n">
        <f aca="false">$G52*Supuestos!E$8*(Drivers!E$21/Drivers!$C$21)</f>
        <v>-1417680</v>
      </c>
      <c r="J52" s="24" t="n">
        <f aca="false">$G52*Supuestos!F$8*(Drivers!F$21/Drivers!$C$21)</f>
        <v>-1450350</v>
      </c>
      <c r="K52" s="24" t="n">
        <f aca="false">$G52*Supuestos!G$8*(Drivers!G$21/Drivers!$C$21)</f>
        <v>-1474110</v>
      </c>
      <c r="L52" s="24" t="n">
        <f aca="false">$G52*Supuestos!H$8*(Drivers!H$21/Drivers!$C$21)</f>
        <v>-1496880</v>
      </c>
      <c r="M52" s="24" t="n">
        <f aca="false">$G52*Supuestos!I$8*(Drivers!I$21/Drivers!$C$21)</f>
        <v>-1520640</v>
      </c>
      <c r="N52" s="24" t="n">
        <f aca="false">$G52*Supuestos!J$8*(Drivers!J$21/Drivers!$C$21)</f>
        <v>-1544400</v>
      </c>
      <c r="O52" s="24" t="n">
        <f aca="false">$G52*Supuestos!K$8*(Drivers!K$21/Drivers!$C$21)</f>
        <v>-1568160</v>
      </c>
      <c r="P52" s="24" t="n">
        <f aca="false">$G52*Supuestos!L$8*(Drivers!L$21/Drivers!$C$21)</f>
        <v>-1591920</v>
      </c>
      <c r="Q52" s="24" t="n">
        <f aca="false">$G52*Supuestos!M$8*(Drivers!M$21/Drivers!$C$21)</f>
        <v>-1614690</v>
      </c>
      <c r="R52" s="24" t="n">
        <f aca="false">$G52*Supuestos!N$8*(Drivers!N$21/Drivers!$C$21)</f>
        <v>-1638450</v>
      </c>
      <c r="S52" s="24" t="n">
        <f aca="false">$G52*Supuestos!O$8*(Drivers!O$21/Drivers!$C$21)</f>
        <v>-1662210</v>
      </c>
      <c r="T52" s="24" t="n">
        <f aca="false">$G52*Supuestos!P$8*(Drivers!P$21/Drivers!$C$21)</f>
        <v>-1684980</v>
      </c>
      <c r="U52" s="24" t="n">
        <f aca="false">$G52*Supuestos!Q$8*(Drivers!Q$21/Drivers!$C$21)</f>
        <v>-1708740</v>
      </c>
      <c r="V52" s="24" t="n">
        <f aca="false">$G52*Supuestos!R$8*(Drivers!R$21/Drivers!$C$21)</f>
        <v>-1732500</v>
      </c>
    </row>
    <row r="53" customFormat="false" ht="15" hidden="false" customHeight="false" outlineLevel="0" collapsed="false">
      <c r="A53" s="6" t="s">
        <v>171</v>
      </c>
      <c r="B53" s="6" t="s">
        <v>136</v>
      </c>
      <c r="C53" s="6" t="s">
        <v>140</v>
      </c>
      <c r="D53" s="6" t="s">
        <v>153</v>
      </c>
      <c r="E53" s="6" t="s">
        <v>154</v>
      </c>
      <c r="F53" s="6" t="s">
        <v>33</v>
      </c>
      <c r="G53" s="24" t="n">
        <v>-778501.05</v>
      </c>
      <c r="H53" s="24" t="n">
        <f aca="false">$G53*Supuestos!D$6*(Drivers!D$21/Drivers!$C$21)</f>
        <v>-796406.57415</v>
      </c>
      <c r="I53" s="24" t="n">
        <f aca="false">$G53*Supuestos!E$6*(Drivers!E$21/Drivers!$C$21)</f>
        <v>-814723.92535545</v>
      </c>
      <c r="J53" s="24" t="n">
        <f aca="false">$G53*Supuestos!F$6*(Drivers!F$21/Drivers!$C$21)</f>
        <v>-833462.575638625</v>
      </c>
      <c r="K53" s="24" t="n">
        <f aca="false">$G53*Supuestos!G$6*(Drivers!G$21/Drivers!$C$21)</f>
        <v>-849298.364575759</v>
      </c>
      <c r="L53" s="24" t="n">
        <f aca="false">$G53*Supuestos!H$6*(Drivers!H$21/Drivers!$C$21)</f>
        <v>-865435.033502698</v>
      </c>
      <c r="M53" s="24" t="n">
        <f aca="false">$G53*Supuestos!I$6*(Drivers!I$21/Drivers!$C$21)</f>
        <v>-881878.299139249</v>
      </c>
      <c r="N53" s="24" t="n">
        <f aca="false">$G53*Supuestos!J$6*(Drivers!J$21/Drivers!$C$21)</f>
        <v>-898633.986822895</v>
      </c>
      <c r="O53" s="24" t="n">
        <f aca="false">$G53*Supuestos!K$6*(Drivers!K$21/Drivers!$C$21)</f>
        <v>-915708.03257253</v>
      </c>
      <c r="P53" s="24" t="n">
        <f aca="false">$G53*Supuestos!L$6*(Drivers!L$21/Drivers!$C$21)</f>
        <v>-933106.485191408</v>
      </c>
      <c r="Q53" s="24" t="n">
        <f aca="false">$G53*Supuestos!M$6*(Drivers!M$21/Drivers!$C$21)</f>
        <v>-950835.508410045</v>
      </c>
      <c r="R53" s="24" t="n">
        <f aca="false">$G53*Supuestos!N$6*(Drivers!N$21/Drivers!$C$21)</f>
        <v>-968901.383069835</v>
      </c>
      <c r="S53" s="24" t="n">
        <f aca="false">$G53*Supuestos!O$6*(Drivers!O$21/Drivers!$C$21)</f>
        <v>-987310.509348162</v>
      </c>
      <c r="T53" s="24" t="n">
        <f aca="false">$G53*Supuestos!P$6*(Drivers!P$21/Drivers!$C$21)</f>
        <v>-1006069.40902578</v>
      </c>
      <c r="U53" s="24" t="n">
        <f aca="false">$G53*Supuestos!Q$6*(Drivers!Q$21/Drivers!$C$21)</f>
        <v>-1025184.72779727</v>
      </c>
      <c r="V53" s="24" t="n">
        <f aca="false">$G53*Supuestos!R$6*(Drivers!R$21/Drivers!$C$21)</f>
        <v>-1044663.23762541</v>
      </c>
    </row>
    <row r="54" customFormat="false" ht="15" hidden="false" customHeight="false" outlineLevel="0" collapsed="false">
      <c r="A54" s="6" t="s">
        <v>171</v>
      </c>
      <c r="B54" s="6" t="s">
        <v>136</v>
      </c>
      <c r="C54" s="6" t="s">
        <v>140</v>
      </c>
      <c r="D54" s="6" t="s">
        <v>153</v>
      </c>
      <c r="E54" s="6" t="s">
        <v>155</v>
      </c>
      <c r="F54" s="6" t="s">
        <v>33</v>
      </c>
      <c r="G54" s="24" t="n">
        <v>-200185.9</v>
      </c>
      <c r="H54" s="24" t="n">
        <f aca="false">$G54*Supuestos!D$6*(Drivers!D$21/Drivers!$C$21)</f>
        <v>-204790.1757</v>
      </c>
      <c r="I54" s="24" t="n">
        <f aca="false">$G54*Supuestos!E$6*(Drivers!E$21/Drivers!$C$21)</f>
        <v>-209500.3497411</v>
      </c>
      <c r="J54" s="24" t="n">
        <f aca="false">$G54*Supuestos!F$6*(Drivers!F$21/Drivers!$C$21)</f>
        <v>-214318.857785145</v>
      </c>
      <c r="K54" s="24" t="n">
        <f aca="false">$G54*Supuestos!G$6*(Drivers!G$21/Drivers!$C$21)</f>
        <v>-218390.916083063</v>
      </c>
      <c r="L54" s="24" t="n">
        <f aca="false">$G54*Supuestos!H$6*(Drivers!H$21/Drivers!$C$21)</f>
        <v>-222540.343488641</v>
      </c>
      <c r="M54" s="24" t="n">
        <f aca="false">$G54*Supuestos!I$6*(Drivers!I$21/Drivers!$C$21)</f>
        <v>-226768.610014925</v>
      </c>
      <c r="N54" s="24" t="n">
        <f aca="false">$G54*Supuestos!J$6*(Drivers!J$21/Drivers!$C$21)</f>
        <v>-231077.213605209</v>
      </c>
      <c r="O54" s="24" t="n">
        <f aca="false">$G54*Supuestos!K$6*(Drivers!K$21/Drivers!$C$21)</f>
        <v>-235467.680663708</v>
      </c>
      <c r="P54" s="24" t="n">
        <f aca="false">$G54*Supuestos!L$6*(Drivers!L$21/Drivers!$C$21)</f>
        <v>-239941.566596318</v>
      </c>
      <c r="Q54" s="24" t="n">
        <f aca="false">$G54*Supuestos!M$6*(Drivers!M$21/Drivers!$C$21)</f>
        <v>-244500.456361648</v>
      </c>
      <c r="R54" s="24" t="n">
        <f aca="false">$G54*Supuestos!N$6*(Drivers!N$21/Drivers!$C$21)</f>
        <v>-249145.96503252</v>
      </c>
      <c r="S54" s="24" t="n">
        <f aca="false">$G54*Supuestos!O$6*(Drivers!O$21/Drivers!$C$21)</f>
        <v>-253879.738368137</v>
      </c>
      <c r="T54" s="24" t="n">
        <f aca="false">$G54*Supuestos!P$6*(Drivers!P$21/Drivers!$C$21)</f>
        <v>-258703.453397132</v>
      </c>
      <c r="U54" s="24" t="n">
        <f aca="false">$G54*Supuestos!Q$6*(Drivers!Q$21/Drivers!$C$21)</f>
        <v>-263618.819011677</v>
      </c>
      <c r="V54" s="24" t="n">
        <f aca="false">$G54*Supuestos!R$6*(Drivers!R$21/Drivers!$C$21)</f>
        <v>-268627.576572899</v>
      </c>
    </row>
    <row r="55" customFormat="false" ht="15" hidden="false" customHeight="false" outlineLevel="0" collapsed="false">
      <c r="A55" s="6" t="s">
        <v>171</v>
      </c>
      <c r="B55" s="6" t="s">
        <v>136</v>
      </c>
      <c r="C55" s="6" t="s">
        <v>140</v>
      </c>
      <c r="D55" s="6" t="s">
        <v>153</v>
      </c>
      <c r="E55" s="6" t="s">
        <v>156</v>
      </c>
      <c r="F55" s="6" t="s">
        <v>33</v>
      </c>
      <c r="G55" s="24" t="n">
        <v>-133457.16</v>
      </c>
      <c r="H55" s="24" t="n">
        <f aca="false">$G55*Supuestos!D$6*(Drivers!D$21/Drivers!$C$21)</f>
        <v>-136526.67468</v>
      </c>
      <c r="I55" s="24" t="n">
        <f aca="false">$G55*Supuestos!E$6*(Drivers!E$21/Drivers!$C$21)</f>
        <v>-139666.78819764</v>
      </c>
      <c r="J55" s="24" t="n">
        <f aca="false">$G55*Supuestos!F$6*(Drivers!F$21/Drivers!$C$21)</f>
        <v>-142879.124326186</v>
      </c>
      <c r="K55" s="24" t="n">
        <f aca="false">$G55*Supuestos!G$6*(Drivers!G$21/Drivers!$C$21)</f>
        <v>-145593.827688383</v>
      </c>
      <c r="L55" s="24" t="n">
        <f aca="false">$G55*Supuestos!H$6*(Drivers!H$21/Drivers!$C$21)</f>
        <v>-148360.110414462</v>
      </c>
      <c r="M55" s="24" t="n">
        <f aca="false">$G55*Supuestos!I$6*(Drivers!I$21/Drivers!$C$21)</f>
        <v>-151178.952512337</v>
      </c>
      <c r="N55" s="24" t="n">
        <f aca="false">$G55*Supuestos!J$6*(Drivers!J$21/Drivers!$C$21)</f>
        <v>-154051.352610072</v>
      </c>
      <c r="O55" s="24" t="n">
        <f aca="false">$G55*Supuestos!K$6*(Drivers!K$21/Drivers!$C$21)</f>
        <v>-156978.328309663</v>
      </c>
      <c r="P55" s="24" t="n">
        <f aca="false">$G55*Supuestos!L$6*(Drivers!L$21/Drivers!$C$21)</f>
        <v>-159960.916547547</v>
      </c>
      <c r="Q55" s="24" t="n">
        <f aca="false">$G55*Supuestos!M$6*(Drivers!M$21/Drivers!$C$21)</f>
        <v>-163000.17396195</v>
      </c>
      <c r="R55" s="24" t="n">
        <f aca="false">$G55*Supuestos!N$6*(Drivers!N$21/Drivers!$C$21)</f>
        <v>-166097.177267227</v>
      </c>
      <c r="S55" s="24" t="n">
        <f aca="false">$G55*Supuestos!O$6*(Drivers!O$21/Drivers!$C$21)</f>
        <v>-169253.023635304</v>
      </c>
      <c r="T55" s="24" t="n">
        <f aca="false">$G55*Supuestos!P$6*(Drivers!P$21/Drivers!$C$21)</f>
        <v>-172468.831084375</v>
      </c>
      <c r="U55" s="24" t="n">
        <f aca="false">$G55*Supuestos!Q$6*(Drivers!Q$21/Drivers!$C$21)</f>
        <v>-175745.738874978</v>
      </c>
      <c r="V55" s="24" t="n">
        <f aca="false">$G55*Supuestos!R$6*(Drivers!R$21/Drivers!$C$21)</f>
        <v>-179084.907913603</v>
      </c>
    </row>
    <row r="56" customFormat="false" ht="15" hidden="false" customHeight="false" outlineLevel="0" collapsed="false">
      <c r="A56" s="6" t="s">
        <v>171</v>
      </c>
      <c r="B56" s="6" t="s">
        <v>136</v>
      </c>
      <c r="C56" s="6" t="s">
        <v>140</v>
      </c>
      <c r="D56" s="6" t="s">
        <v>157</v>
      </c>
      <c r="E56" s="6" t="s">
        <v>158</v>
      </c>
      <c r="F56" s="6" t="s">
        <v>39</v>
      </c>
      <c r="G56" s="24" t="n">
        <v>-1111555.1</v>
      </c>
      <c r="H56" s="24" t="n">
        <f aca="false">$G56*Supuestos!D$12*(Drivers!D$18/100)</f>
        <v>-1137120.8673</v>
      </c>
      <c r="I56" s="24" t="n">
        <f aca="false">$G56*Supuestos!E$12*(Drivers!E$18/100)</f>
        <v>-1163274.6472479</v>
      </c>
      <c r="J56" s="24" t="n">
        <f aca="false">$G56*Supuestos!F$12*(Drivers!F$18/100)</f>
        <v>-1190029.9641346</v>
      </c>
      <c r="K56" s="24" t="n">
        <f aca="false">$G56*Supuestos!G$12*(Drivers!G$18/100)</f>
        <v>-1212640.53345316</v>
      </c>
      <c r="L56" s="24" t="n">
        <f aca="false">$G56*Supuestos!H$12*(Drivers!H$18/100)</f>
        <v>-1235680.70358877</v>
      </c>
      <c r="M56" s="24" t="n">
        <f aca="false">$G56*Supuestos!I$12*(Drivers!I$18/100)</f>
        <v>-1259158.63695695</v>
      </c>
      <c r="N56" s="24" t="n">
        <f aca="false">$G56*Supuestos!J$12*(Drivers!J$18/100)</f>
        <v>-1283082.65105914</v>
      </c>
      <c r="O56" s="24" t="n">
        <f aca="false">$G56*Supuestos!K$12*(Drivers!K$18/100)</f>
        <v>-1307461.22142926</v>
      </c>
      <c r="P56" s="24" t="n">
        <f aca="false">$G56*Supuestos!L$12*(Drivers!L$18/100)</f>
        <v>-1332302.98463642</v>
      </c>
      <c r="Q56" s="24" t="n">
        <f aca="false">$G56*Supuestos!M$12*(Drivers!M$18/100)</f>
        <v>-1357616.74134451</v>
      </c>
      <c r="R56" s="24" t="n">
        <f aca="false">$G56*Supuestos!N$12*(Drivers!N$18/100)</f>
        <v>-1383411.45943005</v>
      </c>
      <c r="S56" s="24" t="n">
        <f aca="false">$G56*Supuestos!O$12*(Drivers!O$18/100)</f>
        <v>-1409696.27715922</v>
      </c>
      <c r="T56" s="24" t="n">
        <f aca="false">$G56*Supuestos!P$12*(Drivers!P$18/100)</f>
        <v>-1436480.50642525</v>
      </c>
      <c r="U56" s="24" t="n">
        <f aca="false">$G56*Supuestos!Q$12*(Drivers!Q$18/100)</f>
        <v>-1463773.63604733</v>
      </c>
      <c r="V56" s="24" t="n">
        <f aca="false">$G56*Supuestos!R$12*(Drivers!R$18/100)</f>
        <v>-1491585.33513223</v>
      </c>
    </row>
    <row r="57" customFormat="false" ht="15" hidden="false" customHeight="false" outlineLevel="0" collapsed="false">
      <c r="A57" s="6" t="s">
        <v>171</v>
      </c>
      <c r="B57" s="6" t="s">
        <v>136</v>
      </c>
      <c r="C57" s="6" t="s">
        <v>140</v>
      </c>
      <c r="D57" s="6" t="s">
        <v>159</v>
      </c>
      <c r="E57" s="6" t="s">
        <v>160</v>
      </c>
      <c r="F57" s="6" t="s">
        <v>37</v>
      </c>
      <c r="G57" s="24" t="n">
        <v>-702313.84</v>
      </c>
      <c r="H57" s="24" t="n">
        <f aca="false">$G57*Supuestos!D$6*(Drivers!D$18/100)</f>
        <v>-718467.05832</v>
      </c>
      <c r="I57" s="24" t="n">
        <f aca="false">$G57*Supuestos!E$6*(Drivers!E$18/100)</f>
        <v>-734991.80066136</v>
      </c>
      <c r="J57" s="24" t="n">
        <f aca="false">$G57*Supuestos!F$6*(Drivers!F$18/100)</f>
        <v>-751896.612076571</v>
      </c>
      <c r="K57" s="24" t="n">
        <f aca="false">$G57*Supuestos!G$6*(Drivers!G$18/100)</f>
        <v>-766182.647706026</v>
      </c>
      <c r="L57" s="24" t="n">
        <f aca="false">$G57*Supuestos!H$6*(Drivers!H$18/100)</f>
        <v>-780740.11801244</v>
      </c>
      <c r="M57" s="24" t="n">
        <f aca="false">$G57*Supuestos!I$6*(Drivers!I$18/100)</f>
        <v>-795574.180254676</v>
      </c>
      <c r="N57" s="24" t="n">
        <f aca="false">$G57*Supuestos!J$6*(Drivers!J$18/100)</f>
        <v>-810690.089679515</v>
      </c>
      <c r="O57" s="24" t="n">
        <f aca="false">$G57*Supuestos!K$6*(Drivers!K$18/100)</f>
        <v>-826093.201383426</v>
      </c>
      <c r="P57" s="24" t="n">
        <f aca="false">$G57*Supuestos!L$6*(Drivers!L$18/100)</f>
        <v>-841788.972209711</v>
      </c>
      <c r="Q57" s="24" t="n">
        <f aca="false">$G57*Supuestos!M$6*(Drivers!M$18/100)</f>
        <v>-857782.962681695</v>
      </c>
      <c r="R57" s="24" t="n">
        <f aca="false">$G57*Supuestos!N$6*(Drivers!N$18/100)</f>
        <v>-874080.838972647</v>
      </c>
      <c r="S57" s="24" t="n">
        <f aca="false">$G57*Supuestos!O$6*(Drivers!O$18/100)</f>
        <v>-890688.374913128</v>
      </c>
      <c r="T57" s="24" t="n">
        <f aca="false">$G57*Supuestos!P$6*(Drivers!P$18/100)</f>
        <v>-907611.454036477</v>
      </c>
      <c r="U57" s="24" t="n">
        <f aca="false">$G57*Supuestos!Q$6*(Drivers!Q$18/100)</f>
        <v>-924856.07166317</v>
      </c>
      <c r="V57" s="24" t="n">
        <f aca="false">$G57*Supuestos!R$6*(Drivers!R$18/100)</f>
        <v>-942428.33702477</v>
      </c>
    </row>
    <row r="58" customFormat="false" ht="15" hidden="false" customHeight="false" outlineLevel="0" collapsed="false">
      <c r="A58" s="6" t="s">
        <v>171</v>
      </c>
      <c r="B58" s="6" t="s">
        <v>136</v>
      </c>
      <c r="C58" s="6" t="s">
        <v>140</v>
      </c>
      <c r="D58" s="6" t="s">
        <v>161</v>
      </c>
      <c r="E58" s="6" t="s">
        <v>162</v>
      </c>
      <c r="F58" s="6" t="s">
        <v>35</v>
      </c>
      <c r="G58" s="24" t="n">
        <v>-354489.97</v>
      </c>
      <c r="H58" s="24" t="n">
        <f aca="false">$G58*Supuestos!D$8*(Drivers!D$18/100)</f>
        <v>-363060.057186813</v>
      </c>
      <c r="I58" s="24" t="n">
        <f aca="false">$G58*Supuestos!E$8*(Drivers!E$18/100)</f>
        <v>-371889.843985348</v>
      </c>
      <c r="J58" s="24" t="n">
        <f aca="false">$G58*Supuestos!F$8*(Drivers!F$18/100)</f>
        <v>-380459.931172161</v>
      </c>
      <c r="K58" s="24" t="n">
        <f aca="false">$G58*Supuestos!G$8*(Drivers!G$18/100)</f>
        <v>-386692.72185348</v>
      </c>
      <c r="L58" s="24" t="n">
        <f aca="false">$G58*Supuestos!H$8*(Drivers!H$18/100)</f>
        <v>-392665.812923077</v>
      </c>
      <c r="M58" s="24" t="n">
        <f aca="false">$G58*Supuestos!I$8*(Drivers!I$18/100)</f>
        <v>-398898.603604396</v>
      </c>
      <c r="N58" s="24" t="n">
        <f aca="false">$G58*Supuestos!J$8*(Drivers!J$18/100)</f>
        <v>-405131.394285714</v>
      </c>
      <c r="O58" s="24" t="n">
        <f aca="false">$G58*Supuestos!K$8*(Drivers!K$18/100)</f>
        <v>-411364.184967033</v>
      </c>
      <c r="P58" s="24" t="n">
        <f aca="false">$G58*Supuestos!L$8*(Drivers!L$18/100)</f>
        <v>-417596.975648352</v>
      </c>
      <c r="Q58" s="24" t="n">
        <f aca="false">$G58*Supuestos!M$8*(Drivers!M$18/100)</f>
        <v>-423570.066717949</v>
      </c>
      <c r="R58" s="24" t="n">
        <f aca="false">$G58*Supuestos!N$8*(Drivers!N$18/100)</f>
        <v>-429802.857399267</v>
      </c>
      <c r="S58" s="24" t="n">
        <f aca="false">$G58*Supuestos!O$8*(Drivers!O$18/100)</f>
        <v>-436035.648080586</v>
      </c>
      <c r="T58" s="24" t="n">
        <f aca="false">$G58*Supuestos!P$8*(Drivers!P$18/100)</f>
        <v>-442008.739150183</v>
      </c>
      <c r="U58" s="24" t="n">
        <f aca="false">$G58*Supuestos!Q$8*(Drivers!Q$18/100)</f>
        <v>-448241.529831502</v>
      </c>
      <c r="V58" s="24" t="n">
        <f aca="false">$G58*Supuestos!R$8*(Drivers!R$18/100)</f>
        <v>-454474.320512821</v>
      </c>
    </row>
    <row r="59" customFormat="false" ht="15" hidden="false" customHeight="false" outlineLevel="0" collapsed="false">
      <c r="A59" s="6" t="s">
        <v>171</v>
      </c>
      <c r="B59" s="6" t="s">
        <v>136</v>
      </c>
      <c r="C59" s="6" t="s">
        <v>140</v>
      </c>
      <c r="D59" s="6" t="s">
        <v>163</v>
      </c>
      <c r="E59" s="6" t="s">
        <v>164</v>
      </c>
      <c r="F59" s="6" t="s">
        <v>37</v>
      </c>
      <c r="G59" s="24" t="n">
        <v>-151292.71</v>
      </c>
      <c r="H59" s="24" t="n">
        <f aca="false">$G59*Supuestos!D$6*(Drivers!D$18/100)</f>
        <v>-154772.44233</v>
      </c>
      <c r="I59" s="24" t="n">
        <f aca="false">$G59*Supuestos!E$6*(Drivers!E$18/100)</f>
        <v>-158332.20850359</v>
      </c>
      <c r="J59" s="24" t="n">
        <f aca="false">$G59*Supuestos!F$6*(Drivers!F$18/100)</f>
        <v>-161973.849299173</v>
      </c>
      <c r="K59" s="24" t="n">
        <f aca="false">$G59*Supuestos!G$6*(Drivers!G$18/100)</f>
        <v>-165051.352435857</v>
      </c>
      <c r="L59" s="24" t="n">
        <f aca="false">$G59*Supuestos!H$6*(Drivers!H$18/100)</f>
        <v>-168187.328132138</v>
      </c>
      <c r="M59" s="24" t="n">
        <f aca="false">$G59*Supuestos!I$6*(Drivers!I$18/100)</f>
        <v>-171382.887366649</v>
      </c>
      <c r="N59" s="24" t="n">
        <f aca="false">$G59*Supuestos!J$6*(Drivers!J$18/100)</f>
        <v>-174639.162226615</v>
      </c>
      <c r="O59" s="24" t="n">
        <f aca="false">$G59*Supuestos!K$6*(Drivers!K$18/100)</f>
        <v>-177957.306308921</v>
      </c>
      <c r="P59" s="24" t="n">
        <f aca="false">$G59*Supuestos!L$6*(Drivers!L$18/100)</f>
        <v>-181338.49512879</v>
      </c>
      <c r="Q59" s="24" t="n">
        <f aca="false">$G59*Supuestos!M$6*(Drivers!M$18/100)</f>
        <v>-184783.926536237</v>
      </c>
      <c r="R59" s="24" t="n">
        <f aca="false">$G59*Supuestos!N$6*(Drivers!N$18/100)</f>
        <v>-188294.821140426</v>
      </c>
      <c r="S59" s="24" t="n">
        <f aca="false">$G59*Supuestos!O$6*(Drivers!O$18/100)</f>
        <v>-191872.422742094</v>
      </c>
      <c r="T59" s="24" t="n">
        <f aca="false">$G59*Supuestos!P$6*(Drivers!P$18/100)</f>
        <v>-195517.998774193</v>
      </c>
      <c r="U59" s="24" t="n">
        <f aca="false">$G59*Supuestos!Q$6*(Drivers!Q$18/100)</f>
        <v>-199232.840750903</v>
      </c>
      <c r="V59" s="24" t="n">
        <f aca="false">$G59*Supuestos!R$6*(Drivers!R$18/100)</f>
        <v>-203018.26472517</v>
      </c>
    </row>
    <row r="60" customFormat="false" ht="15" hidden="false" customHeight="false" outlineLevel="0" collapsed="false">
      <c r="A60" s="6" t="s">
        <v>171</v>
      </c>
      <c r="B60" s="6" t="s">
        <v>136</v>
      </c>
      <c r="C60" s="6" t="s">
        <v>140</v>
      </c>
      <c r="D60" s="6" t="s">
        <v>165</v>
      </c>
      <c r="E60" s="6" t="s">
        <v>166</v>
      </c>
      <c r="F60" s="6" t="s">
        <v>35</v>
      </c>
      <c r="G60" s="24" t="n">
        <v>-304395</v>
      </c>
      <c r="H60" s="24" t="n">
        <f aca="false">$G60*Supuestos!D$8*(Drivers!D$18/100)</f>
        <v>-311754</v>
      </c>
      <c r="I60" s="24" t="n">
        <f aca="false">$G60*Supuestos!E$8*(Drivers!E$18/100)</f>
        <v>-319336</v>
      </c>
      <c r="J60" s="24" t="n">
        <f aca="false">$G60*Supuestos!F$8*(Drivers!F$18/100)</f>
        <v>-326695</v>
      </c>
      <c r="K60" s="24" t="n">
        <f aca="false">$G60*Supuestos!G$8*(Drivers!G$18/100)</f>
        <v>-332047</v>
      </c>
      <c r="L60" s="24" t="n">
        <f aca="false">$G60*Supuestos!H$8*(Drivers!H$18/100)</f>
        <v>-337176</v>
      </c>
      <c r="M60" s="24" t="n">
        <f aca="false">$G60*Supuestos!I$8*(Drivers!I$18/100)</f>
        <v>-342528</v>
      </c>
      <c r="N60" s="24" t="n">
        <f aca="false">$G60*Supuestos!J$8*(Drivers!J$18/100)</f>
        <v>-347880</v>
      </c>
      <c r="O60" s="24" t="n">
        <f aca="false">$G60*Supuestos!K$8*(Drivers!K$18/100)</f>
        <v>-353232</v>
      </c>
      <c r="P60" s="24" t="n">
        <f aca="false">$G60*Supuestos!L$8*(Drivers!L$18/100)</f>
        <v>-358584</v>
      </c>
      <c r="Q60" s="24" t="n">
        <f aca="false">$G60*Supuestos!M$8*(Drivers!M$18/100)</f>
        <v>-363713</v>
      </c>
      <c r="R60" s="24" t="n">
        <f aca="false">$G60*Supuestos!N$8*(Drivers!N$18/100)</f>
        <v>-369065</v>
      </c>
      <c r="S60" s="24" t="n">
        <f aca="false">$G60*Supuestos!O$8*(Drivers!O$18/100)</f>
        <v>-374417</v>
      </c>
      <c r="T60" s="24" t="n">
        <f aca="false">$G60*Supuestos!P$8*(Drivers!P$18/100)</f>
        <v>-379546</v>
      </c>
      <c r="U60" s="24" t="n">
        <f aca="false">$G60*Supuestos!Q$8*(Drivers!Q$18/100)</f>
        <v>-384898</v>
      </c>
      <c r="V60" s="24" t="n">
        <f aca="false">$G60*Supuestos!R$8*(Drivers!R$18/100)</f>
        <v>-390250</v>
      </c>
    </row>
    <row r="61" customFormat="false" ht="15" hidden="false" customHeight="false" outlineLevel="0" collapsed="false">
      <c r="A61" s="6" t="s">
        <v>171</v>
      </c>
      <c r="B61" s="6" t="s">
        <v>136</v>
      </c>
      <c r="C61" s="6" t="s">
        <v>167</v>
      </c>
      <c r="D61" s="6" t="s">
        <v>168</v>
      </c>
      <c r="E61" s="6" t="s">
        <v>169</v>
      </c>
      <c r="F61" s="6" t="s">
        <v>27</v>
      </c>
      <c r="G61" s="24" t="n">
        <v>-1384424.7</v>
      </c>
      <c r="H61" s="24" t="n">
        <f aca="false">$G61*Supuestos!D$6*(Drivers!D$18/100)*(Drivers!D$19/Drivers!$C$19)*(Drivers!D$20/Drivers!$C$20)*Supuestos!D$13</f>
        <v>-1430429.132781</v>
      </c>
      <c r="I61" s="24" t="n">
        <f aca="false">$G61*Supuestos!E$6*(Drivers!E$18/100)*(Drivers!E$19/Drivers!$C$19)*(Drivers!E$20/Drivers!$C$20)*Supuestos!E$13</f>
        <v>-1448840.5968663</v>
      </c>
      <c r="J61" s="24" t="n">
        <f aca="false">$G61*Supuestos!F$6*(Drivers!F$18/100)*(Drivers!F$19/Drivers!$C$19)*(Drivers!F$20/Drivers!$C$20)*Supuestos!F$13</f>
        <v>-1437699.0126764</v>
      </c>
      <c r="K61" s="24" t="n">
        <f aca="false">$G61*Supuestos!G$6*(Drivers!G$18/100)*(Drivers!G$19/Drivers!$C$19)*(Drivers!G$20/Drivers!$C$20)*Supuestos!G$13</f>
        <v>-1449912.04346449</v>
      </c>
      <c r="L61" s="24" t="n">
        <f aca="false">$G61*Supuestos!H$6*(Drivers!H$18/100)*(Drivers!H$19/Drivers!$C$19)*(Drivers!H$20/Drivers!$C$20)*Supuestos!H$13</f>
        <v>-1492850.58450168</v>
      </c>
      <c r="M61" s="24" t="n">
        <f aca="false">$G61*Supuestos!I$6*(Drivers!I$18/100)*(Drivers!I$19/Drivers!$C$19)*(Drivers!I$20/Drivers!$C$20)*Supuestos!I$13</f>
        <v>-1615310.50306745</v>
      </c>
      <c r="N61" s="24" t="n">
        <f aca="false">$G61*Supuestos!J$6*(Drivers!J$18/100)*(Drivers!J$19/Drivers!$C$19)*(Drivers!J$20/Drivers!$C$20)*Supuestos!J$13</f>
        <v>-1614040.21034173</v>
      </c>
      <c r="O61" s="24" t="n">
        <f aca="false">$G61*Supuestos!K$6*(Drivers!K$18/100)*(Drivers!K$19/Drivers!$C$19)*(Drivers!K$20/Drivers!$C$20)*Supuestos!K$13</f>
        <v>-1628422.74686953</v>
      </c>
      <c r="P61" s="24" t="n">
        <f aca="false">$G61*Supuestos!L$6*(Drivers!L$18/100)*(Drivers!L$19/Drivers!$C$19)*(Drivers!L$20/Drivers!$C$20)*Supuestos!L$13</f>
        <v>-1642769.15126945</v>
      </c>
      <c r="Q61" s="24" t="n">
        <f aca="false">$G61*Supuestos!M$6*(Drivers!M$18/100)*(Drivers!M$19/Drivers!$C$19)*(Drivers!M$20/Drivers!$C$20)*Supuestos!M$13</f>
        <v>-1690890.67186219</v>
      </c>
      <c r="R61" s="24" t="n">
        <f aca="false">$G61*Supuestos!N$6*(Drivers!N$18/100)*(Drivers!N$19/Drivers!$C$19)*(Drivers!N$20/Drivers!$C$20)*Supuestos!N$13</f>
        <v>-1740247.77057385</v>
      </c>
      <c r="S61" s="24" t="n">
        <f aca="false">$G61*Supuestos!O$6*(Drivers!O$18/100)*(Drivers!O$19/Drivers!$C$19)*(Drivers!O$20/Drivers!$C$20)*Supuestos!O$13</f>
        <v>-1790870.02750401</v>
      </c>
      <c r="T61" s="24" t="n">
        <f aca="false">$G61*Supuestos!P$6*(Drivers!P$18/100)*(Drivers!P$19/Drivers!$C$19)*(Drivers!P$20/Drivers!$C$20)*Supuestos!P$13</f>
        <v>-1807005.41530083</v>
      </c>
      <c r="U61" s="24" t="n">
        <f aca="false">$G61*Supuestos!Q$6*(Drivers!Q$18/100)*(Drivers!Q$19/Drivers!$C$19)*(Drivers!Q$20/Drivers!$C$20)*Supuestos!Q$13</f>
        <v>-1823107.44375401</v>
      </c>
      <c r="V61" s="24" t="n">
        <f aca="false">$G61*Supuestos!R$6*(Drivers!R$18/100)*(Drivers!R$19/Drivers!$C$19)*(Drivers!R$20/Drivers!$C$20)*Supuestos!R$13</f>
        <v>-1802014.09062978</v>
      </c>
    </row>
    <row r="62" customFormat="false" ht="15" hidden="false" customHeight="false" outlineLevel="0" collapsed="false">
      <c r="A62" s="6" t="s">
        <v>172</v>
      </c>
      <c r="B62" s="6" t="s">
        <v>136</v>
      </c>
      <c r="C62" s="6" t="s">
        <v>137</v>
      </c>
      <c r="D62" s="6" t="s">
        <v>138</v>
      </c>
      <c r="E62" s="6" t="s">
        <v>139</v>
      </c>
      <c r="F62" s="6" t="s">
        <v>25</v>
      </c>
      <c r="G62" s="24" t="n">
        <v>29712691.98</v>
      </c>
      <c r="H62" s="24" t="n">
        <f aca="false">$G62*Supuestos!D$6*(Drivers!D$24/100)*(Drivers!D$25/Drivers!$C$25)*(Drivers!D$26/Drivers!$C$26)*Supuestos!D$13</f>
        <v>30700044.7344954</v>
      </c>
      <c r="I62" s="24" t="n">
        <f aca="false">$G62*Supuestos!E$6*(Drivers!E$24/100)*(Drivers!E$25/Drivers!$C$25)*(Drivers!E$26/Drivers!$C$26)*Supuestos!E$13</f>
        <v>31095193.8251374</v>
      </c>
      <c r="J62" s="24" t="n">
        <f aca="false">$G62*Supuestos!F$6*(Drivers!F$24/100)*(Drivers!F$25/Drivers!$C$25)*(Drivers!F$26/Drivers!$C$26)*Supuestos!F$13</f>
        <v>30856071.7846221</v>
      </c>
      <c r="K62" s="24" t="n">
        <f aca="false">$G62*Supuestos!G$6*(Drivers!G$24/100)*(Drivers!G$25/Drivers!$C$25)*(Drivers!G$26/Drivers!$C$26)*Supuestos!G$13</f>
        <v>31118189.342875</v>
      </c>
      <c r="L62" s="24" t="n">
        <f aca="false">$G62*Supuestos!H$6*(Drivers!H$24/100)*(Drivers!H$25/Drivers!$C$25)*(Drivers!H$26/Drivers!$C$26)*Supuestos!H$13</f>
        <v>32039741.554352</v>
      </c>
      <c r="M62" s="24" t="n">
        <f aca="false">$G62*Supuestos!I$6*(Drivers!I$24/100)*(Drivers!I$25/Drivers!$C$25)*(Drivers!I$26/Drivers!$C$26)*Supuestos!I$13</f>
        <v>34667991.2816507</v>
      </c>
      <c r="N62" s="24" t="n">
        <f aca="false">$G62*Supuestos!J$6*(Drivers!J$24/100)*(Drivers!J$25/Drivers!$C$25)*(Drivers!J$26/Drivers!$C$26)*Supuestos!J$13</f>
        <v>34640728.1040409</v>
      </c>
      <c r="O62" s="24" t="n">
        <f aca="false">$G62*Supuestos!K$6*(Drivers!K$24/100)*(Drivers!K$25/Drivers!$C$25)*(Drivers!K$26/Drivers!$C$26)*Supuestos!K$13</f>
        <v>34949407.8594234</v>
      </c>
      <c r="P62" s="24" t="n">
        <f aca="false">$G62*Supuestos!L$6*(Drivers!L$24/100)*(Drivers!L$25/Drivers!$C$25)*(Drivers!L$26/Drivers!$C$26)*Supuestos!L$13</f>
        <v>35257312.1426649</v>
      </c>
      <c r="Q62" s="24" t="n">
        <f aca="false">$G62*Supuestos!M$6*(Drivers!M$24/100)*(Drivers!M$25/Drivers!$C$25)*(Drivers!M$26/Drivers!$C$26)*Supuestos!M$13</f>
        <v>36290102.0943188</v>
      </c>
      <c r="R62" s="24" t="n">
        <f aca="false">$G62*Supuestos!N$6*(Drivers!N$24/100)*(Drivers!N$25/Drivers!$C$25)*(Drivers!N$26/Drivers!$C$26)*Supuestos!N$13</f>
        <v>37349410.1744519</v>
      </c>
      <c r="S62" s="24" t="n">
        <f aca="false">$G62*Supuestos!O$6*(Drivers!O$24/100)*(Drivers!O$25/Drivers!$C$25)*(Drivers!O$26/Drivers!$C$26)*Supuestos!O$13</f>
        <v>38435871.2347741</v>
      </c>
      <c r="T62" s="24" t="n">
        <f aca="false">$G62*Supuestos!P$6*(Drivers!P$24/100)*(Drivers!P$25/Drivers!$C$25)*(Drivers!P$26/Drivers!$C$26)*Supuestos!P$13</f>
        <v>38782170.8981541</v>
      </c>
      <c r="U62" s="24" t="n">
        <f aca="false">$G62*Supuestos!Q$6*(Drivers!Q$24/100)*(Drivers!Q$25/Drivers!$C$25)*(Drivers!Q$26/Drivers!$C$26)*Supuestos!Q$13</f>
        <v>39127754.5992267</v>
      </c>
      <c r="V62" s="24" t="n">
        <f aca="false">$G62*Supuestos!R$6*(Drivers!R$24/100)*(Drivers!R$25/Drivers!$C$25)*(Drivers!R$26/Drivers!$C$26)*Supuestos!R$13</f>
        <v>38675046.4785137</v>
      </c>
    </row>
    <row r="63" customFormat="false" ht="15" hidden="false" customHeight="false" outlineLevel="0" collapsed="false">
      <c r="A63" s="6" t="s">
        <v>172</v>
      </c>
      <c r="B63" s="6" t="s">
        <v>136</v>
      </c>
      <c r="C63" s="6" t="s">
        <v>140</v>
      </c>
      <c r="D63" s="6" t="s">
        <v>141</v>
      </c>
      <c r="E63" s="6" t="s">
        <v>142</v>
      </c>
      <c r="F63" s="6" t="s">
        <v>29</v>
      </c>
      <c r="G63" s="24" t="n">
        <v>-8105145.03</v>
      </c>
      <c r="H63" s="24" t="n">
        <f aca="false">$G63*Supuestos!D$10*(Drivers!D$27/Drivers!$C$27)</f>
        <v>-8591453.7318</v>
      </c>
      <c r="I63" s="24" t="n">
        <f aca="false">$G63*Supuestos!E$10*(Drivers!E$27/Drivers!$C$27)</f>
        <v>-8591453.7318</v>
      </c>
      <c r="J63" s="24" t="n">
        <f aca="false">$G63*Supuestos!F$10*(Drivers!F$27/Drivers!$C$27)</f>
        <v>-8591453.7318</v>
      </c>
      <c r="K63" s="24" t="n">
        <f aca="false">$G63*Supuestos!G$10*(Drivers!G$27/Drivers!$C$27)</f>
        <v>-9063983.687049</v>
      </c>
      <c r="L63" s="24" t="n">
        <f aca="false">$G63*Supuestos!H$10*(Drivers!H$27/Drivers!$C$27)</f>
        <v>-9063983.687049</v>
      </c>
      <c r="M63" s="24" t="n">
        <f aca="false">$G63*Supuestos!I$10*(Drivers!I$27/Drivers!$C$27)</f>
        <v>-9063983.687049</v>
      </c>
      <c r="N63" s="24" t="n">
        <f aca="false">$G63*Supuestos!J$10*(Drivers!J$27/Drivers!$C$27)</f>
        <v>-9562502.7898367</v>
      </c>
      <c r="O63" s="24" t="n">
        <f aca="false">$G63*Supuestos!K$10*(Drivers!K$27/Drivers!$C$27)</f>
        <v>-9562502.7898367</v>
      </c>
      <c r="P63" s="24" t="n">
        <f aca="false">$G63*Supuestos!L$10*(Drivers!L$27/Drivers!$C$27)</f>
        <v>-9562502.7898367</v>
      </c>
      <c r="Q63" s="24" t="n">
        <f aca="false">$G63*Supuestos!M$10*(Drivers!M$27/Drivers!$C$27)</f>
        <v>-10088440.4432777</v>
      </c>
      <c r="R63" s="24" t="n">
        <f aca="false">$G63*Supuestos!N$10*(Drivers!N$27/Drivers!$C$27)</f>
        <v>-10088440.4432777</v>
      </c>
      <c r="S63" s="24" t="n">
        <f aca="false">$G63*Supuestos!O$10*(Drivers!O$27/Drivers!$C$27)</f>
        <v>-10088440.4432777</v>
      </c>
      <c r="T63" s="24" t="n">
        <f aca="false">$G63*Supuestos!P$10*(Drivers!P$27/Drivers!$C$27)</f>
        <v>-10643304.667658</v>
      </c>
      <c r="U63" s="24" t="n">
        <f aca="false">$G63*Supuestos!Q$10*(Drivers!Q$27/Drivers!$C$27)</f>
        <v>-10643304.667658</v>
      </c>
      <c r="V63" s="24" t="n">
        <f aca="false">$G63*Supuestos!R$10*(Drivers!R$27/Drivers!$C$27)</f>
        <v>-10643304.667658</v>
      </c>
    </row>
    <row r="64" customFormat="false" ht="15" hidden="false" customHeight="false" outlineLevel="0" collapsed="false">
      <c r="A64" s="6" t="s">
        <v>172</v>
      </c>
      <c r="B64" s="6" t="s">
        <v>136</v>
      </c>
      <c r="C64" s="6" t="s">
        <v>140</v>
      </c>
      <c r="D64" s="6" t="s">
        <v>141</v>
      </c>
      <c r="E64" s="6" t="s">
        <v>143</v>
      </c>
      <c r="F64" s="6" t="s">
        <v>29</v>
      </c>
      <c r="G64" s="24" t="n">
        <v>-1251087.34</v>
      </c>
      <c r="H64" s="24" t="n">
        <f aca="false">$G64*Supuestos!D$10*(Drivers!D$27/Drivers!$C$27)</f>
        <v>-1326152.5804</v>
      </c>
      <c r="I64" s="24" t="n">
        <f aca="false">$G64*Supuestos!E$10*(Drivers!E$27/Drivers!$C$27)</f>
        <v>-1326152.5804</v>
      </c>
      <c r="J64" s="24" t="n">
        <f aca="false">$G64*Supuestos!F$10*(Drivers!F$27/Drivers!$C$27)</f>
        <v>-1326152.5804</v>
      </c>
      <c r="K64" s="24" t="n">
        <f aca="false">$G64*Supuestos!G$10*(Drivers!G$27/Drivers!$C$27)</f>
        <v>-1399090.972322</v>
      </c>
      <c r="L64" s="24" t="n">
        <f aca="false">$G64*Supuestos!H$10*(Drivers!H$27/Drivers!$C$27)</f>
        <v>-1399090.972322</v>
      </c>
      <c r="M64" s="24" t="n">
        <f aca="false">$G64*Supuestos!I$10*(Drivers!I$27/Drivers!$C$27)</f>
        <v>-1399090.972322</v>
      </c>
      <c r="N64" s="24" t="n">
        <f aca="false">$G64*Supuestos!J$10*(Drivers!J$27/Drivers!$C$27)</f>
        <v>-1476040.97579971</v>
      </c>
      <c r="O64" s="24" t="n">
        <f aca="false">$G64*Supuestos!K$10*(Drivers!K$27/Drivers!$C$27)</f>
        <v>-1476040.97579971</v>
      </c>
      <c r="P64" s="24" t="n">
        <f aca="false">$G64*Supuestos!L$10*(Drivers!L$27/Drivers!$C$27)</f>
        <v>-1476040.97579971</v>
      </c>
      <c r="Q64" s="24" t="n">
        <f aca="false">$G64*Supuestos!M$10*(Drivers!M$27/Drivers!$C$27)</f>
        <v>-1557223.22946869</v>
      </c>
      <c r="R64" s="24" t="n">
        <f aca="false">$G64*Supuestos!N$10*(Drivers!N$27/Drivers!$C$27)</f>
        <v>-1557223.22946869</v>
      </c>
      <c r="S64" s="24" t="n">
        <f aca="false">$G64*Supuestos!O$10*(Drivers!O$27/Drivers!$C$27)</f>
        <v>-1557223.22946869</v>
      </c>
      <c r="T64" s="24" t="n">
        <f aca="false">$G64*Supuestos!P$10*(Drivers!P$27/Drivers!$C$27)</f>
        <v>-1642870.50708947</v>
      </c>
      <c r="U64" s="24" t="n">
        <f aca="false">$G64*Supuestos!Q$10*(Drivers!Q$27/Drivers!$C$27)</f>
        <v>-1642870.50708947</v>
      </c>
      <c r="V64" s="24" t="n">
        <f aca="false">$G64*Supuestos!R$10*(Drivers!R$27/Drivers!$C$27)</f>
        <v>-1642870.50708947</v>
      </c>
    </row>
    <row r="65" customFormat="false" ht="15" hidden="false" customHeight="false" outlineLevel="0" collapsed="false">
      <c r="A65" s="6" t="s">
        <v>172</v>
      </c>
      <c r="B65" s="6" t="s">
        <v>136</v>
      </c>
      <c r="C65" s="6" t="s">
        <v>140</v>
      </c>
      <c r="D65" s="6" t="s">
        <v>141</v>
      </c>
      <c r="E65" s="6" t="s">
        <v>144</v>
      </c>
      <c r="F65" s="6" t="s">
        <v>29</v>
      </c>
      <c r="G65" s="24" t="n">
        <v>-295956.19</v>
      </c>
      <c r="H65" s="24" t="n">
        <f aca="false">$G65*Supuestos!D$10*(Drivers!D$27/Drivers!$C$27)</f>
        <v>-313713.5614</v>
      </c>
      <c r="I65" s="24" t="n">
        <f aca="false">$G65*Supuestos!E$10*(Drivers!E$27/Drivers!$C$27)</f>
        <v>-313713.5614</v>
      </c>
      <c r="J65" s="24" t="n">
        <f aca="false">$G65*Supuestos!F$10*(Drivers!F$27/Drivers!$C$27)</f>
        <v>-313713.5614</v>
      </c>
      <c r="K65" s="24" t="n">
        <f aca="false">$G65*Supuestos!G$10*(Drivers!G$27/Drivers!$C$27)</f>
        <v>-330967.807277</v>
      </c>
      <c r="L65" s="24" t="n">
        <f aca="false">$G65*Supuestos!H$10*(Drivers!H$27/Drivers!$C$27)</f>
        <v>-330967.807277</v>
      </c>
      <c r="M65" s="24" t="n">
        <f aca="false">$G65*Supuestos!I$10*(Drivers!I$27/Drivers!$C$27)</f>
        <v>-330967.807277</v>
      </c>
      <c r="N65" s="24" t="n">
        <f aca="false">$G65*Supuestos!J$10*(Drivers!J$27/Drivers!$C$27)</f>
        <v>-349171.036677235</v>
      </c>
      <c r="O65" s="24" t="n">
        <f aca="false">$G65*Supuestos!K$10*(Drivers!K$27/Drivers!$C$27)</f>
        <v>-349171.036677235</v>
      </c>
      <c r="P65" s="24" t="n">
        <f aca="false">$G65*Supuestos!L$10*(Drivers!L$27/Drivers!$C$27)</f>
        <v>-349171.036677235</v>
      </c>
      <c r="Q65" s="24" t="n">
        <f aca="false">$G65*Supuestos!M$10*(Drivers!M$27/Drivers!$C$27)</f>
        <v>-368375.443694483</v>
      </c>
      <c r="R65" s="24" t="n">
        <f aca="false">$G65*Supuestos!N$10*(Drivers!N$27/Drivers!$C$27)</f>
        <v>-368375.443694483</v>
      </c>
      <c r="S65" s="24" t="n">
        <f aca="false">$G65*Supuestos!O$10*(Drivers!O$27/Drivers!$C$27)</f>
        <v>-368375.443694483</v>
      </c>
      <c r="T65" s="24" t="n">
        <f aca="false">$G65*Supuestos!P$10*(Drivers!P$27/Drivers!$C$27)</f>
        <v>-388636.09309768</v>
      </c>
      <c r="U65" s="24" t="n">
        <f aca="false">$G65*Supuestos!Q$10*(Drivers!Q$27/Drivers!$C$27)</f>
        <v>-388636.09309768</v>
      </c>
      <c r="V65" s="24" t="n">
        <f aca="false">$G65*Supuestos!R$10*(Drivers!R$27/Drivers!$C$27)</f>
        <v>-388636.09309768</v>
      </c>
    </row>
    <row r="66" customFormat="false" ht="15" hidden="false" customHeight="false" outlineLevel="0" collapsed="false">
      <c r="A66" s="6" t="s">
        <v>172</v>
      </c>
      <c r="B66" s="6" t="s">
        <v>136</v>
      </c>
      <c r="C66" s="6" t="s">
        <v>140</v>
      </c>
      <c r="D66" s="6" t="s">
        <v>141</v>
      </c>
      <c r="E66" s="6" t="s">
        <v>145</v>
      </c>
      <c r="F66" s="6" t="s">
        <v>29</v>
      </c>
      <c r="G66" s="24" t="n">
        <v>-201788.48</v>
      </c>
      <c r="H66" s="24" t="n">
        <f aca="false">$G66*Supuestos!D$10*(Drivers!D$27/Drivers!$C$27)</f>
        <v>-213895.7888</v>
      </c>
      <c r="I66" s="24" t="n">
        <f aca="false">$G66*Supuestos!E$10*(Drivers!E$27/Drivers!$C$27)</f>
        <v>-213895.7888</v>
      </c>
      <c r="J66" s="24" t="n">
        <f aca="false">$G66*Supuestos!F$10*(Drivers!F$27/Drivers!$C$27)</f>
        <v>-213895.7888</v>
      </c>
      <c r="K66" s="24" t="n">
        <f aca="false">$G66*Supuestos!G$10*(Drivers!G$27/Drivers!$C$27)</f>
        <v>-225660.057184</v>
      </c>
      <c r="L66" s="24" t="n">
        <f aca="false">$G66*Supuestos!H$10*(Drivers!H$27/Drivers!$C$27)</f>
        <v>-225660.057184</v>
      </c>
      <c r="M66" s="24" t="n">
        <f aca="false">$G66*Supuestos!I$10*(Drivers!I$27/Drivers!$C$27)</f>
        <v>-225660.057184</v>
      </c>
      <c r="N66" s="24" t="n">
        <f aca="false">$G66*Supuestos!J$10*(Drivers!J$27/Drivers!$C$27)</f>
        <v>-238071.36032912</v>
      </c>
      <c r="O66" s="24" t="n">
        <f aca="false">$G66*Supuestos!K$10*(Drivers!K$27/Drivers!$C$27)</f>
        <v>-238071.36032912</v>
      </c>
      <c r="P66" s="24" t="n">
        <f aca="false">$G66*Supuestos!L$10*(Drivers!L$27/Drivers!$C$27)</f>
        <v>-238071.36032912</v>
      </c>
      <c r="Q66" s="24" t="n">
        <f aca="false">$G66*Supuestos!M$10*(Drivers!M$27/Drivers!$C$27)</f>
        <v>-251165.285147222</v>
      </c>
      <c r="R66" s="24" t="n">
        <f aca="false">$G66*Supuestos!N$10*(Drivers!N$27/Drivers!$C$27)</f>
        <v>-251165.285147222</v>
      </c>
      <c r="S66" s="24" t="n">
        <f aca="false">$G66*Supuestos!O$10*(Drivers!O$27/Drivers!$C$27)</f>
        <v>-251165.285147222</v>
      </c>
      <c r="T66" s="24" t="n">
        <f aca="false">$G66*Supuestos!P$10*(Drivers!P$27/Drivers!$C$27)</f>
        <v>-264979.375830319</v>
      </c>
      <c r="U66" s="24" t="n">
        <f aca="false">$G66*Supuestos!Q$10*(Drivers!Q$27/Drivers!$C$27)</f>
        <v>-264979.375830319</v>
      </c>
      <c r="V66" s="24" t="n">
        <f aca="false">$G66*Supuestos!R$10*(Drivers!R$27/Drivers!$C$27)</f>
        <v>-264979.375830319</v>
      </c>
    </row>
    <row r="67" customFormat="false" ht="15" hidden="false" customHeight="false" outlineLevel="0" collapsed="false">
      <c r="A67" s="6" t="s">
        <v>172</v>
      </c>
      <c r="B67" s="6" t="s">
        <v>136</v>
      </c>
      <c r="C67" s="6" t="s">
        <v>140</v>
      </c>
      <c r="D67" s="6" t="s">
        <v>141</v>
      </c>
      <c r="E67" s="6" t="s">
        <v>146</v>
      </c>
      <c r="F67" s="6" t="s">
        <v>29</v>
      </c>
      <c r="G67" s="24" t="n">
        <v>-383397.87</v>
      </c>
      <c r="H67" s="24" t="n">
        <f aca="false">$G67*Supuestos!D$10*(Drivers!D$27/Drivers!$C$27)</f>
        <v>-406401.7422</v>
      </c>
      <c r="I67" s="24" t="n">
        <f aca="false">$G67*Supuestos!E$10*(Drivers!E$27/Drivers!$C$27)</f>
        <v>-406401.7422</v>
      </c>
      <c r="J67" s="24" t="n">
        <f aca="false">$G67*Supuestos!F$10*(Drivers!F$27/Drivers!$C$27)</f>
        <v>-406401.7422</v>
      </c>
      <c r="K67" s="24" t="n">
        <f aca="false">$G67*Supuestos!G$10*(Drivers!G$27/Drivers!$C$27)</f>
        <v>-428753.838021</v>
      </c>
      <c r="L67" s="24" t="n">
        <f aca="false">$G67*Supuestos!H$10*(Drivers!H$27/Drivers!$C$27)</f>
        <v>-428753.838021</v>
      </c>
      <c r="M67" s="24" t="n">
        <f aca="false">$G67*Supuestos!I$10*(Drivers!I$27/Drivers!$C$27)</f>
        <v>-428753.838021</v>
      </c>
      <c r="N67" s="24" t="n">
        <f aca="false">$G67*Supuestos!J$10*(Drivers!J$27/Drivers!$C$27)</f>
        <v>-452335.299112155</v>
      </c>
      <c r="O67" s="24" t="n">
        <f aca="false">$G67*Supuestos!K$10*(Drivers!K$27/Drivers!$C$27)</f>
        <v>-452335.299112155</v>
      </c>
      <c r="P67" s="24" t="n">
        <f aca="false">$G67*Supuestos!L$10*(Drivers!L$27/Drivers!$C$27)</f>
        <v>-452335.299112155</v>
      </c>
      <c r="Q67" s="24" t="n">
        <f aca="false">$G67*Supuestos!M$10*(Drivers!M$27/Drivers!$C$27)</f>
        <v>-477213.740563324</v>
      </c>
      <c r="R67" s="24" t="n">
        <f aca="false">$G67*Supuestos!N$10*(Drivers!N$27/Drivers!$C$27)</f>
        <v>-477213.740563324</v>
      </c>
      <c r="S67" s="24" t="n">
        <f aca="false">$G67*Supuestos!O$10*(Drivers!O$27/Drivers!$C$27)</f>
        <v>-477213.740563324</v>
      </c>
      <c r="T67" s="24" t="n">
        <f aca="false">$G67*Supuestos!P$10*(Drivers!P$27/Drivers!$C$27)</f>
        <v>-503460.496294306</v>
      </c>
      <c r="U67" s="24" t="n">
        <f aca="false">$G67*Supuestos!Q$10*(Drivers!Q$27/Drivers!$C$27)</f>
        <v>-503460.496294306</v>
      </c>
      <c r="V67" s="24" t="n">
        <f aca="false">$G67*Supuestos!R$10*(Drivers!R$27/Drivers!$C$27)</f>
        <v>-503460.496294306</v>
      </c>
    </row>
    <row r="68" customFormat="false" ht="15" hidden="false" customHeight="false" outlineLevel="0" collapsed="false">
      <c r="A68" s="6" t="s">
        <v>172</v>
      </c>
      <c r="B68" s="6" t="s">
        <v>136</v>
      </c>
      <c r="C68" s="6" t="s">
        <v>140</v>
      </c>
      <c r="D68" s="6" t="s">
        <v>141</v>
      </c>
      <c r="E68" s="6" t="s">
        <v>147</v>
      </c>
      <c r="F68" s="6" t="s">
        <v>29</v>
      </c>
      <c r="G68" s="24" t="n">
        <v>-430482.06</v>
      </c>
      <c r="H68" s="24" t="n">
        <f aca="false">$G68*Supuestos!D$10*(Drivers!D$27/Drivers!$C$27)</f>
        <v>-456310.9836</v>
      </c>
      <c r="I68" s="24" t="n">
        <f aca="false">$G68*Supuestos!E$10*(Drivers!E$27/Drivers!$C$27)</f>
        <v>-456310.9836</v>
      </c>
      <c r="J68" s="24" t="n">
        <f aca="false">$G68*Supuestos!F$10*(Drivers!F$27/Drivers!$C$27)</f>
        <v>-456310.9836</v>
      </c>
      <c r="K68" s="24" t="n">
        <f aca="false">$G68*Supuestos!G$10*(Drivers!G$27/Drivers!$C$27)</f>
        <v>-481408.087698</v>
      </c>
      <c r="L68" s="24" t="n">
        <f aca="false">$G68*Supuestos!H$10*(Drivers!H$27/Drivers!$C$27)</f>
        <v>-481408.087698</v>
      </c>
      <c r="M68" s="24" t="n">
        <f aca="false">$G68*Supuestos!I$10*(Drivers!I$27/Drivers!$C$27)</f>
        <v>-481408.087698</v>
      </c>
      <c r="N68" s="24" t="n">
        <f aca="false">$G68*Supuestos!J$10*(Drivers!J$27/Drivers!$C$27)</f>
        <v>-507885.53252139</v>
      </c>
      <c r="O68" s="24" t="n">
        <f aca="false">$G68*Supuestos!K$10*(Drivers!K$27/Drivers!$C$27)</f>
        <v>-507885.53252139</v>
      </c>
      <c r="P68" s="24" t="n">
        <f aca="false">$G68*Supuestos!L$10*(Drivers!L$27/Drivers!$C$27)</f>
        <v>-507885.53252139</v>
      </c>
      <c r="Q68" s="24" t="n">
        <f aca="false">$G68*Supuestos!M$10*(Drivers!M$27/Drivers!$C$27)</f>
        <v>-535819.236810067</v>
      </c>
      <c r="R68" s="24" t="n">
        <f aca="false">$G68*Supuestos!N$10*(Drivers!N$27/Drivers!$C$27)</f>
        <v>-535819.236810067</v>
      </c>
      <c r="S68" s="24" t="n">
        <f aca="false">$G68*Supuestos!O$10*(Drivers!O$27/Drivers!$C$27)</f>
        <v>-535819.236810067</v>
      </c>
      <c r="T68" s="24" t="n">
        <f aca="false">$G68*Supuestos!P$10*(Drivers!P$27/Drivers!$C$27)</f>
        <v>-565289.29483462</v>
      </c>
      <c r="U68" s="24" t="n">
        <f aca="false">$G68*Supuestos!Q$10*(Drivers!Q$27/Drivers!$C$27)</f>
        <v>-565289.29483462</v>
      </c>
      <c r="V68" s="24" t="n">
        <f aca="false">$G68*Supuestos!R$10*(Drivers!R$27/Drivers!$C$27)</f>
        <v>-565289.29483462</v>
      </c>
    </row>
    <row r="69" customFormat="false" ht="15" hidden="false" customHeight="false" outlineLevel="0" collapsed="false">
      <c r="A69" s="6" t="s">
        <v>172</v>
      </c>
      <c r="B69" s="6" t="s">
        <v>136</v>
      </c>
      <c r="C69" s="6" t="s">
        <v>140</v>
      </c>
      <c r="D69" s="6" t="s">
        <v>141</v>
      </c>
      <c r="E69" s="6" t="s">
        <v>148</v>
      </c>
      <c r="F69" s="6" t="s">
        <v>41</v>
      </c>
      <c r="G69" s="24" t="n">
        <v>-67579.51</v>
      </c>
      <c r="H69" s="24" t="n">
        <f aca="false">0</f>
        <v>0</v>
      </c>
      <c r="I69" s="24" t="n">
        <f aca="false">0</f>
        <v>0</v>
      </c>
      <c r="J69" s="24" t="n">
        <f aca="false">0</f>
        <v>0</v>
      </c>
      <c r="K69" s="24" t="n">
        <f aca="false">0</f>
        <v>0</v>
      </c>
      <c r="L69" s="24" t="n">
        <f aca="false">0</f>
        <v>0</v>
      </c>
      <c r="M69" s="24" t="n">
        <f aca="false">0</f>
        <v>0</v>
      </c>
      <c r="N69" s="24" t="n">
        <f aca="false">0</f>
        <v>0</v>
      </c>
      <c r="O69" s="24" t="n">
        <f aca="false">0</f>
        <v>0</v>
      </c>
      <c r="P69" s="24" t="n">
        <f aca="false">0</f>
        <v>0</v>
      </c>
      <c r="Q69" s="24" t="n">
        <f aca="false">0</f>
        <v>0</v>
      </c>
      <c r="R69" s="24" t="n">
        <f aca="false">0</f>
        <v>0</v>
      </c>
      <c r="S69" s="24" t="n">
        <f aca="false">0</f>
        <v>0</v>
      </c>
      <c r="T69" s="24" t="n">
        <f aca="false">0</f>
        <v>0</v>
      </c>
      <c r="U69" s="24" t="n">
        <f aca="false">0</f>
        <v>0</v>
      </c>
      <c r="V69" s="24" t="n">
        <f aca="false">0</f>
        <v>0</v>
      </c>
    </row>
    <row r="70" customFormat="false" ht="15" hidden="false" customHeight="false" outlineLevel="0" collapsed="false">
      <c r="A70" s="6" t="s">
        <v>172</v>
      </c>
      <c r="B70" s="6" t="s">
        <v>136</v>
      </c>
      <c r="C70" s="6" t="s">
        <v>140</v>
      </c>
      <c r="D70" s="6" t="s">
        <v>151</v>
      </c>
      <c r="E70" s="6" t="s">
        <v>152</v>
      </c>
      <c r="F70" s="6" t="s">
        <v>31</v>
      </c>
      <c r="G70" s="24" t="n">
        <v>-552825</v>
      </c>
      <c r="H70" s="24" t="n">
        <f aca="false">$G70*Supuestos!D$8*(Drivers!D$27/Drivers!$C$27)</f>
        <v>-566190</v>
      </c>
      <c r="I70" s="24" t="n">
        <f aca="false">$G70*Supuestos!E$8*(Drivers!E$27/Drivers!$C$27)</f>
        <v>-579960</v>
      </c>
      <c r="J70" s="24" t="n">
        <f aca="false">$G70*Supuestos!F$8*(Drivers!F$27/Drivers!$C$27)</f>
        <v>-593325</v>
      </c>
      <c r="K70" s="24" t="n">
        <f aca="false">$G70*Supuestos!G$8*(Drivers!G$27/Drivers!$C$27)</f>
        <v>-603045</v>
      </c>
      <c r="L70" s="24" t="n">
        <f aca="false">$G70*Supuestos!H$8*(Drivers!H$27/Drivers!$C$27)</f>
        <v>-612360</v>
      </c>
      <c r="M70" s="24" t="n">
        <f aca="false">$G70*Supuestos!I$8*(Drivers!I$27/Drivers!$C$27)</f>
        <v>-622080</v>
      </c>
      <c r="N70" s="24" t="n">
        <f aca="false">$G70*Supuestos!J$8*(Drivers!J$27/Drivers!$C$27)</f>
        <v>-631800</v>
      </c>
      <c r="O70" s="24" t="n">
        <f aca="false">$G70*Supuestos!K$8*(Drivers!K$27/Drivers!$C$27)</f>
        <v>-641520</v>
      </c>
      <c r="P70" s="24" t="n">
        <f aca="false">$G70*Supuestos!L$8*(Drivers!L$27/Drivers!$C$27)</f>
        <v>-651240</v>
      </c>
      <c r="Q70" s="24" t="n">
        <f aca="false">$G70*Supuestos!M$8*(Drivers!M$27/Drivers!$C$27)</f>
        <v>-660555</v>
      </c>
      <c r="R70" s="24" t="n">
        <f aca="false">$G70*Supuestos!N$8*(Drivers!N$27/Drivers!$C$27)</f>
        <v>-670275</v>
      </c>
      <c r="S70" s="24" t="n">
        <f aca="false">$G70*Supuestos!O$8*(Drivers!O$27/Drivers!$C$27)</f>
        <v>-679995</v>
      </c>
      <c r="T70" s="24" t="n">
        <f aca="false">$G70*Supuestos!P$8*(Drivers!P$27/Drivers!$C$27)</f>
        <v>-689310</v>
      </c>
      <c r="U70" s="24" t="n">
        <f aca="false">$G70*Supuestos!Q$8*(Drivers!Q$27/Drivers!$C$27)</f>
        <v>-699030</v>
      </c>
      <c r="V70" s="24" t="n">
        <f aca="false">$G70*Supuestos!R$8*(Drivers!R$27/Drivers!$C$27)</f>
        <v>-708750</v>
      </c>
    </row>
    <row r="71" customFormat="false" ht="15" hidden="false" customHeight="false" outlineLevel="0" collapsed="false">
      <c r="A71" s="6" t="s">
        <v>172</v>
      </c>
      <c r="B71" s="6" t="s">
        <v>136</v>
      </c>
      <c r="C71" s="6" t="s">
        <v>140</v>
      </c>
      <c r="D71" s="6" t="s">
        <v>153</v>
      </c>
      <c r="E71" s="6" t="s">
        <v>154</v>
      </c>
      <c r="F71" s="6" t="s">
        <v>33</v>
      </c>
      <c r="G71" s="24" t="n">
        <v>-290830.93</v>
      </c>
      <c r="H71" s="24" t="n">
        <f aca="false">$G71*Supuestos!D$6*(Drivers!D$27/Drivers!$C$27)</f>
        <v>-297520.04139</v>
      </c>
      <c r="I71" s="24" t="n">
        <f aca="false">$G71*Supuestos!E$6*(Drivers!E$27/Drivers!$C$27)</f>
        <v>-304363.00234197</v>
      </c>
      <c r="J71" s="24" t="n">
        <f aca="false">$G71*Supuestos!F$6*(Drivers!F$27/Drivers!$C$27)</f>
        <v>-311363.351395835</v>
      </c>
      <c r="K71" s="24" t="n">
        <f aca="false">$G71*Supuestos!G$6*(Drivers!G$27/Drivers!$C$27)</f>
        <v>-317279.255072356</v>
      </c>
      <c r="L71" s="24" t="n">
        <f aca="false">$G71*Supuestos!H$6*(Drivers!H$27/Drivers!$C$27)</f>
        <v>-323307.560918731</v>
      </c>
      <c r="M71" s="24" t="n">
        <f aca="false">$G71*Supuestos!I$6*(Drivers!I$27/Drivers!$C$27)</f>
        <v>-329450.404576187</v>
      </c>
      <c r="N71" s="24" t="n">
        <f aca="false">$G71*Supuestos!J$6*(Drivers!J$27/Drivers!$C$27)</f>
        <v>-335709.962263134</v>
      </c>
      <c r="O71" s="24" t="n">
        <f aca="false">$G71*Supuestos!K$6*(Drivers!K$27/Drivers!$C$27)</f>
        <v>-342088.451546134</v>
      </c>
      <c r="P71" s="24" t="n">
        <f aca="false">$G71*Supuestos!L$6*(Drivers!L$27/Drivers!$C$27)</f>
        <v>-348588.13212551</v>
      </c>
      <c r="Q71" s="24" t="n">
        <f aca="false">$G71*Supuestos!M$6*(Drivers!M$27/Drivers!$C$27)</f>
        <v>-355211.306635895</v>
      </c>
      <c r="R71" s="24" t="n">
        <f aca="false">$G71*Supuestos!N$6*(Drivers!N$27/Drivers!$C$27)</f>
        <v>-361960.321461977</v>
      </c>
      <c r="S71" s="24" t="n">
        <f aca="false">$G71*Supuestos!O$6*(Drivers!O$27/Drivers!$C$27)</f>
        <v>-368837.567569754</v>
      </c>
      <c r="T71" s="24" t="n">
        <f aca="false">$G71*Supuestos!P$6*(Drivers!P$27/Drivers!$C$27)</f>
        <v>-375845.48135358</v>
      </c>
      <c r="U71" s="24" t="n">
        <f aca="false">$G71*Supuestos!Q$6*(Drivers!Q$27/Drivers!$C$27)</f>
        <v>-382986.545499298</v>
      </c>
      <c r="V71" s="24" t="n">
        <f aca="false">$G71*Supuestos!R$6*(Drivers!R$27/Drivers!$C$27)</f>
        <v>-390263.289863784</v>
      </c>
    </row>
    <row r="72" customFormat="false" ht="15" hidden="false" customHeight="false" outlineLevel="0" collapsed="false">
      <c r="A72" s="6" t="s">
        <v>172</v>
      </c>
      <c r="B72" s="6" t="s">
        <v>136</v>
      </c>
      <c r="C72" s="6" t="s">
        <v>140</v>
      </c>
      <c r="D72" s="6" t="s">
        <v>153</v>
      </c>
      <c r="E72" s="6" t="s">
        <v>155</v>
      </c>
      <c r="F72" s="6" t="s">
        <v>33</v>
      </c>
      <c r="G72" s="24" t="n">
        <v>-74785.15</v>
      </c>
      <c r="H72" s="24" t="n">
        <f aca="false">$G72*Supuestos!D$6*(Drivers!D$27/Drivers!$C$27)</f>
        <v>-76505.20845</v>
      </c>
      <c r="I72" s="24" t="n">
        <f aca="false">$G72*Supuestos!E$6*(Drivers!E$27/Drivers!$C$27)</f>
        <v>-78264.82824435</v>
      </c>
      <c r="J72" s="24" t="n">
        <f aca="false">$G72*Supuestos!F$6*(Drivers!F$27/Drivers!$C$27)</f>
        <v>-80064.91929397</v>
      </c>
      <c r="K72" s="24" t="n">
        <f aca="false">$G72*Supuestos!G$6*(Drivers!G$27/Drivers!$C$27)</f>
        <v>-81586.1527605554</v>
      </c>
      <c r="L72" s="24" t="n">
        <f aca="false">$G72*Supuestos!H$6*(Drivers!H$27/Drivers!$C$27)</f>
        <v>-83136.289663006</v>
      </c>
      <c r="M72" s="24" t="n">
        <f aca="false">$G72*Supuestos!I$6*(Drivers!I$27/Drivers!$C$27)</f>
        <v>-84715.8791666031</v>
      </c>
      <c r="N72" s="24" t="n">
        <f aca="false">$G72*Supuestos!J$6*(Drivers!J$27/Drivers!$C$27)</f>
        <v>-86325.4808707685</v>
      </c>
      <c r="O72" s="24" t="n">
        <f aca="false">$G72*Supuestos!K$6*(Drivers!K$27/Drivers!$C$27)</f>
        <v>-87965.6650073131</v>
      </c>
      <c r="P72" s="24" t="n">
        <f aca="false">$G72*Supuestos!L$6*(Drivers!L$27/Drivers!$C$27)</f>
        <v>-89637.0126424521</v>
      </c>
      <c r="Q72" s="24" t="n">
        <f aca="false">$G72*Supuestos!M$6*(Drivers!M$27/Drivers!$C$27)</f>
        <v>-91340.1158826586</v>
      </c>
      <c r="R72" s="24" t="n">
        <f aca="false">$G72*Supuestos!N$6*(Drivers!N$27/Drivers!$C$27)</f>
        <v>-93075.5780844291</v>
      </c>
      <c r="S72" s="24" t="n">
        <f aca="false">$G72*Supuestos!O$6*(Drivers!O$27/Drivers!$C$27)</f>
        <v>-94844.0140680333</v>
      </c>
      <c r="T72" s="24" t="n">
        <f aca="false">$G72*Supuestos!P$6*(Drivers!P$27/Drivers!$C$27)</f>
        <v>-96646.0503353259</v>
      </c>
      <c r="U72" s="24" t="n">
        <f aca="false">$G72*Supuestos!Q$6*(Drivers!Q$27/Drivers!$C$27)</f>
        <v>-98482.3252916971</v>
      </c>
      <c r="V72" s="24" t="n">
        <f aca="false">$G72*Supuestos!R$6*(Drivers!R$27/Drivers!$C$27)</f>
        <v>-100353.489472239</v>
      </c>
    </row>
    <row r="73" customFormat="false" ht="15" hidden="false" customHeight="false" outlineLevel="0" collapsed="false">
      <c r="A73" s="6" t="s">
        <v>172</v>
      </c>
      <c r="B73" s="6" t="s">
        <v>136</v>
      </c>
      <c r="C73" s="6" t="s">
        <v>140</v>
      </c>
      <c r="D73" s="6" t="s">
        <v>153</v>
      </c>
      <c r="E73" s="6" t="s">
        <v>156</v>
      </c>
      <c r="F73" s="6" t="s">
        <v>33</v>
      </c>
      <c r="G73" s="24" t="n">
        <v>-49856.77</v>
      </c>
      <c r="H73" s="24" t="n">
        <f aca="false">$G73*Supuestos!D$6*(Drivers!D$27/Drivers!$C$27)</f>
        <v>-51003.47571</v>
      </c>
      <c r="I73" s="24" t="n">
        <f aca="false">$G73*Supuestos!E$6*(Drivers!E$27/Drivers!$C$27)</f>
        <v>-52176.55565133</v>
      </c>
      <c r="J73" s="24" t="n">
        <f aca="false">$G73*Supuestos!F$6*(Drivers!F$27/Drivers!$C$27)</f>
        <v>-53376.6164313106</v>
      </c>
      <c r="K73" s="24" t="n">
        <f aca="false">$G73*Supuestos!G$6*(Drivers!G$27/Drivers!$C$27)</f>
        <v>-54390.7721435055</v>
      </c>
      <c r="L73" s="24" t="n">
        <f aca="false">$G73*Supuestos!H$6*(Drivers!H$27/Drivers!$C$27)</f>
        <v>-55424.1968142321</v>
      </c>
      <c r="M73" s="24" t="n">
        <f aca="false">$G73*Supuestos!I$6*(Drivers!I$27/Drivers!$C$27)</f>
        <v>-56477.2565537025</v>
      </c>
      <c r="N73" s="24" t="n">
        <f aca="false">$G73*Supuestos!J$6*(Drivers!J$27/Drivers!$C$27)</f>
        <v>-57550.3244282228</v>
      </c>
      <c r="O73" s="24" t="n">
        <f aca="false">$G73*Supuestos!K$6*(Drivers!K$27/Drivers!$C$27)</f>
        <v>-58643.780592359</v>
      </c>
      <c r="P73" s="24" t="n">
        <f aca="false">$G73*Supuestos!L$6*(Drivers!L$27/Drivers!$C$27)</f>
        <v>-59758.0124236138</v>
      </c>
      <c r="Q73" s="24" t="n">
        <f aca="false">$G73*Supuestos!M$6*(Drivers!M$27/Drivers!$C$27)</f>
        <v>-60893.4146596625</v>
      </c>
      <c r="R73" s="24" t="n">
        <f aca="false">$G73*Supuestos!N$6*(Drivers!N$27/Drivers!$C$27)</f>
        <v>-62050.3895381961</v>
      </c>
      <c r="S73" s="24" t="n">
        <f aca="false">$G73*Supuestos!O$6*(Drivers!O$27/Drivers!$C$27)</f>
        <v>-63229.3469394218</v>
      </c>
      <c r="T73" s="24" t="n">
        <f aca="false">$G73*Supuestos!P$6*(Drivers!P$27/Drivers!$C$27)</f>
        <v>-64430.7045312708</v>
      </c>
      <c r="U73" s="24" t="n">
        <f aca="false">$G73*Supuestos!Q$6*(Drivers!Q$27/Drivers!$C$27)</f>
        <v>-65654.887917365</v>
      </c>
      <c r="V73" s="24" t="n">
        <f aca="false">$G73*Supuestos!R$6*(Drivers!R$27/Drivers!$C$27)</f>
        <v>-66902.3307877949</v>
      </c>
    </row>
    <row r="74" customFormat="false" ht="15" hidden="false" customHeight="false" outlineLevel="0" collapsed="false">
      <c r="A74" s="6" t="s">
        <v>172</v>
      </c>
      <c r="B74" s="6" t="s">
        <v>136</v>
      </c>
      <c r="C74" s="6" t="s">
        <v>140</v>
      </c>
      <c r="D74" s="6" t="s">
        <v>157</v>
      </c>
      <c r="E74" s="6" t="s">
        <v>158</v>
      </c>
      <c r="F74" s="6" t="s">
        <v>39</v>
      </c>
      <c r="G74" s="24" t="n">
        <v>-755964.41</v>
      </c>
      <c r="H74" s="24" t="n">
        <f aca="false">$G74*Supuestos!D$12*(Drivers!D$24/100)</f>
        <v>-773351.59143</v>
      </c>
      <c r="I74" s="24" t="n">
        <f aca="false">$G74*Supuestos!E$12*(Drivers!E$24/100)</f>
        <v>-791138.67803289</v>
      </c>
      <c r="J74" s="24" t="n">
        <f aca="false">$G74*Supuestos!F$12*(Drivers!F$24/100)</f>
        <v>-809334.867627646</v>
      </c>
      <c r="K74" s="24" t="n">
        <f aca="false">$G74*Supuestos!G$12*(Drivers!G$24/100)</f>
        <v>-824712.230112571</v>
      </c>
      <c r="L74" s="24" t="n">
        <f aca="false">$G74*Supuestos!H$12*(Drivers!H$24/100)</f>
        <v>-840381.76248471</v>
      </c>
      <c r="M74" s="24" t="n">
        <f aca="false">$G74*Supuestos!I$12*(Drivers!I$24/100)</f>
        <v>-856349.01597192</v>
      </c>
      <c r="N74" s="24" t="n">
        <f aca="false">$G74*Supuestos!J$12*(Drivers!J$24/100)</f>
        <v>-872619.647275386</v>
      </c>
      <c r="O74" s="24" t="n">
        <f aca="false">$G74*Supuestos!K$12*(Drivers!K$24/100)</f>
        <v>-889199.420573618</v>
      </c>
      <c r="P74" s="24" t="n">
        <f aca="false">$G74*Supuestos!L$12*(Drivers!L$24/100)</f>
        <v>-906094.209564517</v>
      </c>
      <c r="Q74" s="24" t="n">
        <f aca="false">$G74*Supuestos!M$12*(Drivers!M$24/100)</f>
        <v>-923309.999546242</v>
      </c>
      <c r="R74" s="24" t="n">
        <f aca="false">$G74*Supuestos!N$12*(Drivers!N$24/100)</f>
        <v>-940852.889537621</v>
      </c>
      <c r="S74" s="24" t="n">
        <f aca="false">$G74*Supuestos!O$12*(Drivers!O$24/100)</f>
        <v>-958729.094438836</v>
      </c>
      <c r="T74" s="24" t="n">
        <f aca="false">$G74*Supuestos!P$12*(Drivers!P$24/100)</f>
        <v>-976944.947233174</v>
      </c>
      <c r="U74" s="24" t="n">
        <f aca="false">$G74*Supuestos!Q$12*(Drivers!Q$24/100)</f>
        <v>-995506.901230604</v>
      </c>
      <c r="V74" s="24" t="n">
        <f aca="false">$G74*Supuestos!R$12*(Drivers!R$24/100)</f>
        <v>-1014421.53235399</v>
      </c>
    </row>
    <row r="75" customFormat="false" ht="15" hidden="false" customHeight="false" outlineLevel="0" collapsed="false">
      <c r="A75" s="6" t="s">
        <v>172</v>
      </c>
      <c r="B75" s="6" t="s">
        <v>136</v>
      </c>
      <c r="C75" s="6" t="s">
        <v>140</v>
      </c>
      <c r="D75" s="6" t="s">
        <v>159</v>
      </c>
      <c r="E75" s="6" t="s">
        <v>160</v>
      </c>
      <c r="F75" s="6" t="s">
        <v>37</v>
      </c>
      <c r="G75" s="24" t="n">
        <v>-450838.12</v>
      </c>
      <c r="H75" s="24" t="n">
        <f aca="false">$G75*Supuestos!D$6*(Drivers!D$24/100)</f>
        <v>-461207.39676</v>
      </c>
      <c r="I75" s="24" t="n">
        <f aca="false">$G75*Supuestos!E$6*(Drivers!E$24/100)</f>
        <v>-471815.16688548</v>
      </c>
      <c r="J75" s="24" t="n">
        <f aca="false">$G75*Supuestos!F$6*(Drivers!F$24/100)</f>
        <v>-482666.915723846</v>
      </c>
      <c r="K75" s="24" t="n">
        <f aca="false">$G75*Supuestos!G$6*(Drivers!G$24/100)</f>
        <v>-491837.587122599</v>
      </c>
      <c r="L75" s="24" t="n">
        <f aca="false">$G75*Supuestos!H$6*(Drivers!H$24/100)</f>
        <v>-501182.501277928</v>
      </c>
      <c r="M75" s="24" t="n">
        <f aca="false">$G75*Supuestos!I$6*(Drivers!I$24/100)</f>
        <v>-510704.968802209</v>
      </c>
      <c r="N75" s="24" t="n">
        <f aca="false">$G75*Supuestos!J$6*(Drivers!J$24/100)</f>
        <v>-520408.363209451</v>
      </c>
      <c r="O75" s="24" t="n">
        <f aca="false">$G75*Supuestos!K$6*(Drivers!K$24/100)</f>
        <v>-530296.12211043</v>
      </c>
      <c r="P75" s="24" t="n">
        <f aca="false">$G75*Supuestos!L$6*(Drivers!L$24/100)</f>
        <v>-540371.748430528</v>
      </c>
      <c r="Q75" s="24" t="n">
        <f aca="false">$G75*Supuestos!M$6*(Drivers!M$24/100)</f>
        <v>-550638.811650708</v>
      </c>
      <c r="R75" s="24" t="n">
        <f aca="false">$G75*Supuestos!N$6*(Drivers!N$24/100)</f>
        <v>-561100.949072072</v>
      </c>
      <c r="S75" s="24" t="n">
        <f aca="false">$G75*Supuestos!O$6*(Drivers!O$24/100)</f>
        <v>-571761.867104441</v>
      </c>
      <c r="T75" s="24" t="n">
        <f aca="false">$G75*Supuestos!P$6*(Drivers!P$24/100)</f>
        <v>-582625.342579425</v>
      </c>
      <c r="U75" s="24" t="n">
        <f aca="false">$G75*Supuestos!Q$6*(Drivers!Q$24/100)</f>
        <v>-593695.224088434</v>
      </c>
      <c r="V75" s="24" t="n">
        <f aca="false">$G75*Supuestos!R$6*(Drivers!R$24/100)</f>
        <v>-604975.433346115</v>
      </c>
    </row>
    <row r="76" customFormat="false" ht="15" hidden="false" customHeight="false" outlineLevel="0" collapsed="false">
      <c r="A76" s="6" t="s">
        <v>172</v>
      </c>
      <c r="B76" s="6" t="s">
        <v>136</v>
      </c>
      <c r="C76" s="6" t="s">
        <v>140</v>
      </c>
      <c r="D76" s="6" t="s">
        <v>161</v>
      </c>
      <c r="E76" s="6" t="s">
        <v>162</v>
      </c>
      <c r="F76" s="6" t="s">
        <v>35</v>
      </c>
      <c r="G76" s="24" t="n">
        <v>-393451.6</v>
      </c>
      <c r="H76" s="24" t="n">
        <f aca="false">$G76*Supuestos!D$8*(Drivers!D$24/100)</f>
        <v>-402963.616703297</v>
      </c>
      <c r="I76" s="24" t="n">
        <f aca="false">$G76*Supuestos!E$8*(Drivers!E$24/100)</f>
        <v>-412763.876336996</v>
      </c>
      <c r="J76" s="24" t="n">
        <f aca="false">$G76*Supuestos!F$8*(Drivers!F$24/100)</f>
        <v>-422275.893040293</v>
      </c>
      <c r="K76" s="24" t="n">
        <f aca="false">$G76*Supuestos!G$8*(Drivers!G$24/100)</f>
        <v>-429193.723369963</v>
      </c>
      <c r="L76" s="24" t="n">
        <f aca="false">$G76*Supuestos!H$8*(Drivers!H$24/100)</f>
        <v>-435823.310769231</v>
      </c>
      <c r="M76" s="24" t="n">
        <f aca="false">$G76*Supuestos!I$8*(Drivers!I$24/100)</f>
        <v>-442741.141098901</v>
      </c>
      <c r="N76" s="24" t="n">
        <f aca="false">$G76*Supuestos!J$8*(Drivers!J$24/100)</f>
        <v>-449658.971428571</v>
      </c>
      <c r="O76" s="24" t="n">
        <f aca="false">$G76*Supuestos!K$8*(Drivers!K$24/100)</f>
        <v>-456576.801758242</v>
      </c>
      <c r="P76" s="24" t="n">
        <f aca="false">$G76*Supuestos!L$8*(Drivers!L$24/100)</f>
        <v>-463494.632087912</v>
      </c>
      <c r="Q76" s="24" t="n">
        <f aca="false">$G76*Supuestos!M$8*(Drivers!M$24/100)</f>
        <v>-470124.219487179</v>
      </c>
      <c r="R76" s="24" t="n">
        <f aca="false">$G76*Supuestos!N$8*(Drivers!N$24/100)</f>
        <v>-477042.04981685</v>
      </c>
      <c r="S76" s="24" t="n">
        <f aca="false">$G76*Supuestos!O$8*(Drivers!O$24/100)</f>
        <v>-483959.88014652</v>
      </c>
      <c r="T76" s="24" t="n">
        <f aca="false">$G76*Supuestos!P$8*(Drivers!P$24/100)</f>
        <v>-490589.467545788</v>
      </c>
      <c r="U76" s="24" t="n">
        <f aca="false">$G76*Supuestos!Q$8*(Drivers!Q$24/100)</f>
        <v>-497507.297875458</v>
      </c>
      <c r="V76" s="24" t="n">
        <f aca="false">$G76*Supuestos!R$8*(Drivers!R$24/100)</f>
        <v>-504425.128205128</v>
      </c>
    </row>
    <row r="77" customFormat="false" ht="15" hidden="false" customHeight="false" outlineLevel="0" collapsed="false">
      <c r="A77" s="6" t="s">
        <v>172</v>
      </c>
      <c r="B77" s="6" t="s">
        <v>136</v>
      </c>
      <c r="C77" s="6" t="s">
        <v>140</v>
      </c>
      <c r="D77" s="6" t="s">
        <v>163</v>
      </c>
      <c r="E77" s="6" t="s">
        <v>164</v>
      </c>
      <c r="F77" s="6" t="s">
        <v>37</v>
      </c>
      <c r="G77" s="24" t="n">
        <v>-114143.12</v>
      </c>
      <c r="H77" s="24" t="n">
        <f aca="false">$G77*Supuestos!D$6*(Drivers!D$24/100)</f>
        <v>-116768.41176</v>
      </c>
      <c r="I77" s="24" t="n">
        <f aca="false">$G77*Supuestos!E$6*(Drivers!E$24/100)</f>
        <v>-119454.08523048</v>
      </c>
      <c r="J77" s="24" t="n">
        <f aca="false">$G77*Supuestos!F$6*(Drivers!F$24/100)</f>
        <v>-122201.529190781</v>
      </c>
      <c r="K77" s="24" t="n">
        <f aca="false">$G77*Supuestos!G$6*(Drivers!G$24/100)</f>
        <v>-124523.358245406</v>
      </c>
      <c r="L77" s="24" t="n">
        <f aca="false">$G77*Supuestos!H$6*(Drivers!H$24/100)</f>
        <v>-126889.302052069</v>
      </c>
      <c r="M77" s="24" t="n">
        <f aca="false">$G77*Supuestos!I$6*(Drivers!I$24/100)</f>
        <v>-129300.198791058</v>
      </c>
      <c r="N77" s="24" t="n">
        <f aca="false">$G77*Supuestos!J$6*(Drivers!J$24/100)</f>
        <v>-131756.902568088</v>
      </c>
      <c r="O77" s="24" t="n">
        <f aca="false">$G77*Supuestos!K$6*(Drivers!K$24/100)</f>
        <v>-134260.283716882</v>
      </c>
      <c r="P77" s="24" t="n">
        <f aca="false">$G77*Supuestos!L$6*(Drivers!L$24/100)</f>
        <v>-136811.229107502</v>
      </c>
      <c r="Q77" s="24" t="n">
        <f aca="false">$G77*Supuestos!M$6*(Drivers!M$24/100)</f>
        <v>-139410.642460545</v>
      </c>
      <c r="R77" s="24" t="n">
        <f aca="false">$G77*Supuestos!N$6*(Drivers!N$24/100)</f>
        <v>-142059.444667295</v>
      </c>
      <c r="S77" s="24" t="n">
        <f aca="false">$G77*Supuestos!O$6*(Drivers!O$24/100)</f>
        <v>-144758.574115974</v>
      </c>
      <c r="T77" s="24" t="n">
        <f aca="false">$G77*Supuestos!P$6*(Drivers!P$24/100)</f>
        <v>-147508.987024177</v>
      </c>
      <c r="U77" s="24" t="n">
        <f aca="false">$G77*Supuestos!Q$6*(Drivers!Q$24/100)</f>
        <v>-150311.657777637</v>
      </c>
      <c r="V77" s="24" t="n">
        <f aca="false">$G77*Supuestos!R$6*(Drivers!R$24/100)</f>
        <v>-153167.579275412</v>
      </c>
    </row>
    <row r="78" customFormat="false" ht="15" hidden="false" customHeight="false" outlineLevel="0" collapsed="false">
      <c r="A78" s="6" t="s">
        <v>172</v>
      </c>
      <c r="B78" s="6" t="s">
        <v>136</v>
      </c>
      <c r="C78" s="6" t="s">
        <v>140</v>
      </c>
      <c r="D78" s="6" t="s">
        <v>165</v>
      </c>
      <c r="E78" s="6" t="s">
        <v>166</v>
      </c>
      <c r="F78" s="6" t="s">
        <v>35</v>
      </c>
      <c r="G78" s="24" t="n">
        <v>-304395</v>
      </c>
      <c r="H78" s="24" t="n">
        <f aca="false">$G78*Supuestos!D$8*(Drivers!D$24/100)</f>
        <v>-311754</v>
      </c>
      <c r="I78" s="24" t="n">
        <f aca="false">$G78*Supuestos!E$8*(Drivers!E$24/100)</f>
        <v>-319336</v>
      </c>
      <c r="J78" s="24" t="n">
        <f aca="false">$G78*Supuestos!F$8*(Drivers!F$24/100)</f>
        <v>-326695</v>
      </c>
      <c r="K78" s="24" t="n">
        <f aca="false">$G78*Supuestos!G$8*(Drivers!G$24/100)</f>
        <v>-332047</v>
      </c>
      <c r="L78" s="24" t="n">
        <f aca="false">$G78*Supuestos!H$8*(Drivers!H$24/100)</f>
        <v>-337176</v>
      </c>
      <c r="M78" s="24" t="n">
        <f aca="false">$G78*Supuestos!I$8*(Drivers!I$24/100)</f>
        <v>-342528</v>
      </c>
      <c r="N78" s="24" t="n">
        <f aca="false">$G78*Supuestos!J$8*(Drivers!J$24/100)</f>
        <v>-347880</v>
      </c>
      <c r="O78" s="24" t="n">
        <f aca="false">$G78*Supuestos!K$8*(Drivers!K$24/100)</f>
        <v>-353232</v>
      </c>
      <c r="P78" s="24" t="n">
        <f aca="false">$G78*Supuestos!L$8*(Drivers!L$24/100)</f>
        <v>-358584</v>
      </c>
      <c r="Q78" s="24" t="n">
        <f aca="false">$G78*Supuestos!M$8*(Drivers!M$24/100)</f>
        <v>-363713</v>
      </c>
      <c r="R78" s="24" t="n">
        <f aca="false">$G78*Supuestos!N$8*(Drivers!N$24/100)</f>
        <v>-369065</v>
      </c>
      <c r="S78" s="24" t="n">
        <f aca="false">$G78*Supuestos!O$8*(Drivers!O$24/100)</f>
        <v>-374417</v>
      </c>
      <c r="T78" s="24" t="n">
        <f aca="false">$G78*Supuestos!P$8*(Drivers!P$24/100)</f>
        <v>-379546</v>
      </c>
      <c r="U78" s="24" t="n">
        <f aca="false">$G78*Supuestos!Q$8*(Drivers!Q$24/100)</f>
        <v>-384898</v>
      </c>
      <c r="V78" s="24" t="n">
        <f aca="false">$G78*Supuestos!R$8*(Drivers!R$24/100)</f>
        <v>-390250</v>
      </c>
    </row>
    <row r="79" customFormat="false" ht="15" hidden="false" customHeight="false" outlineLevel="0" collapsed="false">
      <c r="A79" s="6" t="s">
        <v>172</v>
      </c>
      <c r="B79" s="6" t="s">
        <v>136</v>
      </c>
      <c r="C79" s="6" t="s">
        <v>167</v>
      </c>
      <c r="D79" s="6" t="s">
        <v>168</v>
      </c>
      <c r="E79" s="6" t="s">
        <v>169</v>
      </c>
      <c r="F79" s="6" t="s">
        <v>27</v>
      </c>
      <c r="G79" s="24" t="n">
        <v>-891380.85</v>
      </c>
      <c r="H79" s="24" t="n">
        <f aca="false">$G79*Supuestos!D$6*(Drivers!D$24/100)*(Drivers!D$25/Drivers!$C$25)*(Drivers!D$26/Drivers!$C$26)*Supuestos!D$13</f>
        <v>-921001.4356455</v>
      </c>
      <c r="I79" s="24" t="n">
        <f aca="false">$G79*Supuestos!E$6*(Drivers!E$24/100)*(Drivers!E$25/Drivers!$C$25)*(Drivers!E$26/Drivers!$C$26)*Supuestos!E$13</f>
        <v>-932855.90956965</v>
      </c>
      <c r="J79" s="24" t="n">
        <f aca="false">$G79*Supuestos!F$6*(Drivers!F$24/100)*(Drivers!F$25/Drivers!$C$25)*(Drivers!F$26/Drivers!$C$26)*Supuestos!F$13</f>
        <v>-925682.247625059</v>
      </c>
      <c r="K79" s="24" t="n">
        <f aca="false">$G79*Supuestos!G$6*(Drivers!G$24/100)*(Drivers!G$25/Drivers!$C$25)*(Drivers!G$26/Drivers!$C$26)*Supuestos!G$13</f>
        <v>-933545.775171895</v>
      </c>
      <c r="L79" s="24" t="n">
        <f aca="false">$G79*Supuestos!H$6*(Drivers!H$24/100)*(Drivers!H$25/Drivers!$C$25)*(Drivers!H$26/Drivers!$C$26)*Supuestos!H$13</f>
        <v>-961192.344326204</v>
      </c>
      <c r="M79" s="24" t="n">
        <f aca="false">$G79*Supuestos!I$6*(Drivers!I$24/100)*(Drivers!I$25/Drivers!$C$25)*(Drivers!I$26/Drivers!$C$26)*Supuestos!I$13</f>
        <v>-1040039.84415923</v>
      </c>
      <c r="N79" s="24" t="n">
        <f aca="false">$G79*Supuestos!J$6*(Drivers!J$24/100)*(Drivers!J$25/Drivers!$C$25)*(Drivers!J$26/Drivers!$C$26)*Supuestos!J$13</f>
        <v>-1039221.9487478</v>
      </c>
      <c r="O79" s="24" t="n">
        <f aca="false">$G79*Supuestos!K$6*(Drivers!K$24/100)*(Drivers!K$25/Drivers!$C$25)*(Drivers!K$26/Drivers!$C$26)*Supuestos!K$13</f>
        <v>-1048482.34235051</v>
      </c>
      <c r="P79" s="24" t="n">
        <f aca="false">$G79*Supuestos!L$6*(Drivers!L$24/100)*(Drivers!L$25/Drivers!$C$25)*(Drivers!L$26/Drivers!$C$26)*Supuestos!L$13</f>
        <v>-1057719.47178662</v>
      </c>
      <c r="Q79" s="24" t="n">
        <f aca="false">$G79*Supuestos!M$6*(Drivers!M$24/100)*(Drivers!M$25/Drivers!$C$25)*(Drivers!M$26/Drivers!$C$26)*Supuestos!M$13</f>
        <v>-1088703.17348541</v>
      </c>
      <c r="R79" s="24" t="n">
        <f aca="false">$G79*Supuestos!N$6*(Drivers!N$24/100)*(Drivers!N$25/Drivers!$C$25)*(Drivers!N$26/Drivers!$C$26)*Supuestos!N$13</f>
        <v>-1120482.41911945</v>
      </c>
      <c r="S79" s="24" t="n">
        <f aca="false">$G79*Supuestos!O$6*(Drivers!O$24/100)*(Drivers!O$25/Drivers!$C$25)*(Drivers!O$26/Drivers!$C$26)*Supuestos!O$13</f>
        <v>-1153076.25424196</v>
      </c>
      <c r="T79" s="24" t="n">
        <f aca="false">$G79*Supuestos!P$6*(Drivers!P$24/100)*(Drivers!P$25/Drivers!$C$25)*(Drivers!P$26/Drivers!$C$26)*Supuestos!P$13</f>
        <v>-1163465.2451993</v>
      </c>
      <c r="U79" s="24" t="n">
        <f aca="false">$G79*Supuestos!Q$6*(Drivers!Q$24/100)*(Drivers!Q$25/Drivers!$C$25)*(Drivers!Q$26/Drivers!$C$26)*Supuestos!Q$13</f>
        <v>-1173832.75728523</v>
      </c>
      <c r="V79" s="24" t="n">
        <f aca="false">$G79*Supuestos!R$6*(Drivers!R$24/100)*(Drivers!R$25/Drivers!$C$25)*(Drivers!R$26/Drivers!$C$26)*Supuestos!R$13</f>
        <v>-1160251.51228344</v>
      </c>
    </row>
    <row r="80" customFormat="false" ht="15" hidden="false" customHeight="false" outlineLevel="0" collapsed="false">
      <c r="A80" s="6" t="s">
        <v>173</v>
      </c>
      <c r="B80" s="6" t="s">
        <v>136</v>
      </c>
      <c r="C80" s="6" t="s">
        <v>137</v>
      </c>
      <c r="D80" s="6" t="s">
        <v>138</v>
      </c>
      <c r="E80" s="6" t="s">
        <v>139</v>
      </c>
      <c r="F80" s="6" t="s">
        <v>25</v>
      </c>
      <c r="G80" s="24" t="n">
        <v>37284585.72</v>
      </c>
      <c r="H80" s="24" t="n">
        <f aca="false">$G80*Supuestos!D$6*(Drivers!D$30/100)*(Drivers!D$31/Drivers!$C$31)*(Drivers!D$32/Drivers!$C$32)*Supuestos!D$13</f>
        <v>38523552.5034756</v>
      </c>
      <c r="I80" s="24" t="n">
        <f aca="false">$G80*Supuestos!E$6*(Drivers!E$30/100)*(Drivers!E$31/Drivers!$C$31)*(Drivers!E$32/Drivers!$C$32)*Supuestos!E$13</f>
        <v>39019400.2089659</v>
      </c>
      <c r="J80" s="24" t="n">
        <f aca="false">$G80*Supuestos!F$6*(Drivers!F$30/100)*(Drivers!F$31/Drivers!$C$31)*(Drivers!F$32/Drivers!$C$32)*Supuestos!F$13</f>
        <v>38719341.0213589</v>
      </c>
      <c r="K80" s="24" t="n">
        <f aca="false">$G80*Supuestos!G$6*(Drivers!G$30/100)*(Drivers!G$31/Drivers!$C$31)*(Drivers!G$32/Drivers!$C$32)*Supuestos!G$13</f>
        <v>39048255.8358084</v>
      </c>
      <c r="L80" s="24" t="n">
        <f aca="false">$G80*Supuestos!H$6*(Drivers!H$30/100)*(Drivers!H$31/Drivers!$C$31)*(Drivers!H$32/Drivers!$C$32)*Supuestos!H$13</f>
        <v>40204653.6622793</v>
      </c>
      <c r="M80" s="24" t="n">
        <f aca="false">$G80*Supuestos!I$6*(Drivers!I$30/100)*(Drivers!I$31/Drivers!$C$31)*(Drivers!I$32/Drivers!$C$32)*Supuestos!I$13</f>
        <v>43502678.7054829</v>
      </c>
      <c r="N80" s="24" t="n">
        <f aca="false">$G80*Supuestos!J$6*(Drivers!J$30/100)*(Drivers!J$31/Drivers!$C$31)*(Drivers!J$32/Drivers!$C$32)*Supuestos!J$13</f>
        <v>43468467.8610641</v>
      </c>
      <c r="O80" s="24" t="n">
        <f aca="false">$G80*Supuestos!K$6*(Drivers!K$30/100)*(Drivers!K$31/Drivers!$C$31)*(Drivers!K$32/Drivers!$C$32)*Supuestos!K$13</f>
        <v>43855810.6439844</v>
      </c>
      <c r="P80" s="24" t="n">
        <f aca="false">$G80*Supuestos!L$6*(Drivers!L$30/100)*(Drivers!L$31/Drivers!$C$31)*(Drivers!L$32/Drivers!$C$32)*Supuestos!L$13</f>
        <v>44242180.3357579</v>
      </c>
      <c r="Q80" s="24" t="n">
        <f aca="false">$G80*Supuestos!M$6*(Drivers!M$30/100)*(Drivers!M$31/Drivers!$C$31)*(Drivers!M$32/Drivers!$C$32)*Supuestos!M$13</f>
        <v>45538163.3960983</v>
      </c>
      <c r="R80" s="24" t="n">
        <f aca="false">$G80*Supuestos!N$6*(Drivers!N$30/100)*(Drivers!N$31/Drivers!$C$31)*(Drivers!N$32/Drivers!$C$32)*Supuestos!N$13</f>
        <v>46867422.3856304</v>
      </c>
      <c r="S80" s="24" t="n">
        <f aca="false">$G80*Supuestos!O$6*(Drivers!O$30/100)*(Drivers!O$31/Drivers!$C$31)*(Drivers!O$32/Drivers!$C$32)*Supuestos!O$13</f>
        <v>48230753.9397787</v>
      </c>
      <c r="T80" s="24" t="n">
        <f aca="false">$G80*Supuestos!P$6*(Drivers!P$30/100)*(Drivers!P$31/Drivers!$C$31)*(Drivers!P$32/Drivers!$C$32)*Supuestos!P$13</f>
        <v>48665303.5757656</v>
      </c>
      <c r="U80" s="24" t="n">
        <f aca="false">$G80*Supuestos!Q$6*(Drivers!Q$30/100)*(Drivers!Q$31/Drivers!$C$31)*(Drivers!Q$32/Drivers!$C$32)*Supuestos!Q$13</f>
        <v>49098954.7957476</v>
      </c>
      <c r="V80" s="24" t="n">
        <f aca="false">$G80*Supuestos!R$6*(Drivers!R$30/100)*(Drivers!R$31/Drivers!$C$31)*(Drivers!R$32/Drivers!$C$32)*Supuestos!R$13</f>
        <v>48530879.8887608</v>
      </c>
    </row>
    <row r="81" customFormat="false" ht="15" hidden="false" customHeight="false" outlineLevel="0" collapsed="false">
      <c r="A81" s="6" t="s">
        <v>173</v>
      </c>
      <c r="B81" s="6" t="s">
        <v>136</v>
      </c>
      <c r="C81" s="6" t="s">
        <v>140</v>
      </c>
      <c r="D81" s="6" t="s">
        <v>141</v>
      </c>
      <c r="E81" s="6" t="s">
        <v>142</v>
      </c>
      <c r="F81" s="6" t="s">
        <v>29</v>
      </c>
      <c r="G81" s="24" t="n">
        <v>-5259005.76</v>
      </c>
      <c r="H81" s="24" t="n">
        <f aca="false">$G81*Supuestos!D$10*(Drivers!D$33/Drivers!$C$33)</f>
        <v>-5574546.1056</v>
      </c>
      <c r="I81" s="24" t="n">
        <f aca="false">$G81*Supuestos!E$10*(Drivers!E$33/Drivers!$C$33)</f>
        <v>-5574546.1056</v>
      </c>
      <c r="J81" s="24" t="n">
        <f aca="false">$G81*Supuestos!F$10*(Drivers!F$33/Drivers!$C$33)</f>
        <v>-5574546.1056</v>
      </c>
      <c r="K81" s="24" t="n">
        <f aca="false">$G81*Supuestos!G$10*(Drivers!G$33/Drivers!$C$33)</f>
        <v>-5881146.141408</v>
      </c>
      <c r="L81" s="24" t="n">
        <f aca="false">$G81*Supuestos!H$10*(Drivers!H$33/Drivers!$C$33)</f>
        <v>-5881146.141408</v>
      </c>
      <c r="M81" s="24" t="n">
        <f aca="false">$G81*Supuestos!I$10*(Drivers!I$33/Drivers!$C$33)</f>
        <v>-5881146.141408</v>
      </c>
      <c r="N81" s="24" t="n">
        <f aca="false">$G81*Supuestos!J$10*(Drivers!J$33/Drivers!$C$33)</f>
        <v>-6204609.17918544</v>
      </c>
      <c r="O81" s="24" t="n">
        <f aca="false">$G81*Supuestos!K$10*(Drivers!K$33/Drivers!$C$33)</f>
        <v>-6204609.17918544</v>
      </c>
      <c r="P81" s="24" t="n">
        <f aca="false">$G81*Supuestos!L$10*(Drivers!L$33/Drivers!$C$33)</f>
        <v>-6204609.17918544</v>
      </c>
      <c r="Q81" s="24" t="n">
        <f aca="false">$G81*Supuestos!M$10*(Drivers!M$33/Drivers!$C$33)</f>
        <v>-6545862.68404064</v>
      </c>
      <c r="R81" s="24" t="n">
        <f aca="false">$G81*Supuestos!N$10*(Drivers!N$33/Drivers!$C$33)</f>
        <v>-6545862.68404064</v>
      </c>
      <c r="S81" s="24" t="n">
        <f aca="false">$G81*Supuestos!O$10*(Drivers!O$33/Drivers!$C$33)</f>
        <v>-6545862.68404064</v>
      </c>
      <c r="T81" s="24" t="n">
        <f aca="false">$G81*Supuestos!P$10*(Drivers!P$33/Drivers!$C$33)</f>
        <v>-6905885.13166287</v>
      </c>
      <c r="U81" s="24" t="n">
        <f aca="false">$G81*Supuestos!Q$10*(Drivers!Q$33/Drivers!$C$33)</f>
        <v>-6905885.13166287</v>
      </c>
      <c r="V81" s="24" t="n">
        <f aca="false">$G81*Supuestos!R$10*(Drivers!R$33/Drivers!$C$33)</f>
        <v>-6905885.13166287</v>
      </c>
    </row>
    <row r="82" customFormat="false" ht="15" hidden="false" customHeight="false" outlineLevel="0" collapsed="false">
      <c r="A82" s="6" t="s">
        <v>173</v>
      </c>
      <c r="B82" s="6" t="s">
        <v>136</v>
      </c>
      <c r="C82" s="6" t="s">
        <v>140</v>
      </c>
      <c r="D82" s="6" t="s">
        <v>141</v>
      </c>
      <c r="E82" s="6" t="s">
        <v>143</v>
      </c>
      <c r="F82" s="6" t="s">
        <v>29</v>
      </c>
      <c r="G82" s="24" t="n">
        <v>-834058.34</v>
      </c>
      <c r="H82" s="24" t="n">
        <f aca="false">$G82*Supuestos!D$10*(Drivers!D$33/Drivers!$C$33)</f>
        <v>-884101.8404</v>
      </c>
      <c r="I82" s="24" t="n">
        <f aca="false">$G82*Supuestos!E$10*(Drivers!E$33/Drivers!$C$33)</f>
        <v>-884101.8404</v>
      </c>
      <c r="J82" s="24" t="n">
        <f aca="false">$G82*Supuestos!F$10*(Drivers!F$33/Drivers!$C$33)</f>
        <v>-884101.8404</v>
      </c>
      <c r="K82" s="24" t="n">
        <f aca="false">$G82*Supuestos!G$10*(Drivers!G$33/Drivers!$C$33)</f>
        <v>-932727.441622</v>
      </c>
      <c r="L82" s="24" t="n">
        <f aca="false">$G82*Supuestos!H$10*(Drivers!H$33/Drivers!$C$33)</f>
        <v>-932727.441622</v>
      </c>
      <c r="M82" s="24" t="n">
        <f aca="false">$G82*Supuestos!I$10*(Drivers!I$33/Drivers!$C$33)</f>
        <v>-932727.441622</v>
      </c>
      <c r="N82" s="24" t="n">
        <f aca="false">$G82*Supuestos!J$10*(Drivers!J$33/Drivers!$C$33)</f>
        <v>-984027.45091121</v>
      </c>
      <c r="O82" s="24" t="n">
        <f aca="false">$G82*Supuestos!K$10*(Drivers!K$33/Drivers!$C$33)</f>
        <v>-984027.45091121</v>
      </c>
      <c r="P82" s="24" t="n">
        <f aca="false">$G82*Supuestos!L$10*(Drivers!L$33/Drivers!$C$33)</f>
        <v>-984027.45091121</v>
      </c>
      <c r="Q82" s="24" t="n">
        <f aca="false">$G82*Supuestos!M$10*(Drivers!M$33/Drivers!$C$33)</f>
        <v>-1038148.96071133</v>
      </c>
      <c r="R82" s="24" t="n">
        <f aca="false">$G82*Supuestos!N$10*(Drivers!N$33/Drivers!$C$33)</f>
        <v>-1038148.96071133</v>
      </c>
      <c r="S82" s="24" t="n">
        <f aca="false">$G82*Supuestos!O$10*(Drivers!O$33/Drivers!$C$33)</f>
        <v>-1038148.96071133</v>
      </c>
      <c r="T82" s="24" t="n">
        <f aca="false">$G82*Supuestos!P$10*(Drivers!P$33/Drivers!$C$33)</f>
        <v>-1095247.15355045</v>
      </c>
      <c r="U82" s="24" t="n">
        <f aca="false">$G82*Supuestos!Q$10*(Drivers!Q$33/Drivers!$C$33)</f>
        <v>-1095247.15355045</v>
      </c>
      <c r="V82" s="24" t="n">
        <f aca="false">$G82*Supuestos!R$10*(Drivers!R$33/Drivers!$C$33)</f>
        <v>-1095247.15355045</v>
      </c>
    </row>
    <row r="83" customFormat="false" ht="15" hidden="false" customHeight="false" outlineLevel="0" collapsed="false">
      <c r="A83" s="6" t="s">
        <v>173</v>
      </c>
      <c r="B83" s="6" t="s">
        <v>136</v>
      </c>
      <c r="C83" s="6" t="s">
        <v>140</v>
      </c>
      <c r="D83" s="6" t="s">
        <v>141</v>
      </c>
      <c r="E83" s="6" t="s">
        <v>144</v>
      </c>
      <c r="F83" s="6" t="s">
        <v>29</v>
      </c>
      <c r="G83" s="24" t="n">
        <v>-197304.13</v>
      </c>
      <c r="H83" s="24" t="n">
        <f aca="false">$G83*Supuestos!D$10*(Drivers!D$33/Drivers!$C$33)</f>
        <v>-209142.3778</v>
      </c>
      <c r="I83" s="24" t="n">
        <f aca="false">$G83*Supuestos!E$10*(Drivers!E$33/Drivers!$C$33)</f>
        <v>-209142.3778</v>
      </c>
      <c r="J83" s="24" t="n">
        <f aca="false">$G83*Supuestos!F$10*(Drivers!F$33/Drivers!$C$33)</f>
        <v>-209142.3778</v>
      </c>
      <c r="K83" s="24" t="n">
        <f aca="false">$G83*Supuestos!G$10*(Drivers!G$33/Drivers!$C$33)</f>
        <v>-220645.208579</v>
      </c>
      <c r="L83" s="24" t="n">
        <f aca="false">$G83*Supuestos!H$10*(Drivers!H$33/Drivers!$C$33)</f>
        <v>-220645.208579</v>
      </c>
      <c r="M83" s="24" t="n">
        <f aca="false">$G83*Supuestos!I$10*(Drivers!I$33/Drivers!$C$33)</f>
        <v>-220645.208579</v>
      </c>
      <c r="N83" s="24" t="n">
        <f aca="false">$G83*Supuestos!J$10*(Drivers!J$33/Drivers!$C$33)</f>
        <v>-232780.695050845</v>
      </c>
      <c r="O83" s="24" t="n">
        <f aca="false">$G83*Supuestos!K$10*(Drivers!K$33/Drivers!$C$33)</f>
        <v>-232780.695050845</v>
      </c>
      <c r="P83" s="24" t="n">
        <f aca="false">$G83*Supuestos!L$10*(Drivers!L$33/Drivers!$C$33)</f>
        <v>-232780.695050845</v>
      </c>
      <c r="Q83" s="24" t="n">
        <f aca="false">$G83*Supuestos!M$10*(Drivers!M$33/Drivers!$C$33)</f>
        <v>-245583.633278641</v>
      </c>
      <c r="R83" s="24" t="n">
        <f aca="false">$G83*Supuestos!N$10*(Drivers!N$33/Drivers!$C$33)</f>
        <v>-245583.633278641</v>
      </c>
      <c r="S83" s="24" t="n">
        <f aca="false">$G83*Supuestos!O$10*(Drivers!O$33/Drivers!$C$33)</f>
        <v>-245583.633278641</v>
      </c>
      <c r="T83" s="24" t="n">
        <f aca="false">$G83*Supuestos!P$10*(Drivers!P$33/Drivers!$C$33)</f>
        <v>-259090.733108967</v>
      </c>
      <c r="U83" s="24" t="n">
        <f aca="false">$G83*Supuestos!Q$10*(Drivers!Q$33/Drivers!$C$33)</f>
        <v>-259090.733108967</v>
      </c>
      <c r="V83" s="24" t="n">
        <f aca="false">$G83*Supuestos!R$10*(Drivers!R$33/Drivers!$C$33)</f>
        <v>-259090.733108967</v>
      </c>
    </row>
    <row r="84" customFormat="false" ht="15" hidden="false" customHeight="false" outlineLevel="0" collapsed="false">
      <c r="A84" s="6" t="s">
        <v>173</v>
      </c>
      <c r="B84" s="6" t="s">
        <v>136</v>
      </c>
      <c r="C84" s="6" t="s">
        <v>140</v>
      </c>
      <c r="D84" s="6" t="s">
        <v>141</v>
      </c>
      <c r="E84" s="6" t="s">
        <v>145</v>
      </c>
      <c r="F84" s="6" t="s">
        <v>29</v>
      </c>
      <c r="G84" s="24" t="n">
        <v>-134525.88</v>
      </c>
      <c r="H84" s="24" t="n">
        <f aca="false">$G84*Supuestos!D$10*(Drivers!D$33/Drivers!$C$33)</f>
        <v>-142597.4328</v>
      </c>
      <c r="I84" s="24" t="n">
        <f aca="false">$G84*Supuestos!E$10*(Drivers!E$33/Drivers!$C$33)</f>
        <v>-142597.4328</v>
      </c>
      <c r="J84" s="24" t="n">
        <f aca="false">$G84*Supuestos!F$10*(Drivers!F$33/Drivers!$C$33)</f>
        <v>-142597.4328</v>
      </c>
      <c r="K84" s="24" t="n">
        <f aca="false">$G84*Supuestos!G$10*(Drivers!G$33/Drivers!$C$33)</f>
        <v>-150440.291604</v>
      </c>
      <c r="L84" s="24" t="n">
        <f aca="false">$G84*Supuestos!H$10*(Drivers!H$33/Drivers!$C$33)</f>
        <v>-150440.291604</v>
      </c>
      <c r="M84" s="24" t="n">
        <f aca="false">$G84*Supuestos!I$10*(Drivers!I$33/Drivers!$C$33)</f>
        <v>-150440.291604</v>
      </c>
      <c r="N84" s="24" t="n">
        <f aca="false">$G84*Supuestos!J$10*(Drivers!J$33/Drivers!$C$33)</f>
        <v>-158714.50764222</v>
      </c>
      <c r="O84" s="24" t="n">
        <f aca="false">$G84*Supuestos!K$10*(Drivers!K$33/Drivers!$C$33)</f>
        <v>-158714.50764222</v>
      </c>
      <c r="P84" s="24" t="n">
        <f aca="false">$G84*Supuestos!L$10*(Drivers!L$33/Drivers!$C$33)</f>
        <v>-158714.50764222</v>
      </c>
      <c r="Q84" s="24" t="n">
        <f aca="false">$G84*Supuestos!M$10*(Drivers!M$33/Drivers!$C$33)</f>
        <v>-167443.805562542</v>
      </c>
      <c r="R84" s="24" t="n">
        <f aca="false">$G84*Supuestos!N$10*(Drivers!N$33/Drivers!$C$33)</f>
        <v>-167443.805562542</v>
      </c>
      <c r="S84" s="24" t="n">
        <f aca="false">$G84*Supuestos!O$10*(Drivers!O$33/Drivers!$C$33)</f>
        <v>-167443.805562542</v>
      </c>
      <c r="T84" s="24" t="n">
        <f aca="false">$G84*Supuestos!P$10*(Drivers!P$33/Drivers!$C$33)</f>
        <v>-176653.214868482</v>
      </c>
      <c r="U84" s="24" t="n">
        <f aca="false">$G84*Supuestos!Q$10*(Drivers!Q$33/Drivers!$C$33)</f>
        <v>-176653.214868482</v>
      </c>
      <c r="V84" s="24" t="n">
        <f aca="false">$G84*Supuestos!R$10*(Drivers!R$33/Drivers!$C$33)</f>
        <v>-176653.214868482</v>
      </c>
    </row>
    <row r="85" customFormat="false" ht="15" hidden="false" customHeight="false" outlineLevel="0" collapsed="false">
      <c r="A85" s="6" t="s">
        <v>173</v>
      </c>
      <c r="B85" s="6" t="s">
        <v>136</v>
      </c>
      <c r="C85" s="6" t="s">
        <v>140</v>
      </c>
      <c r="D85" s="6" t="s">
        <v>141</v>
      </c>
      <c r="E85" s="6" t="s">
        <v>146</v>
      </c>
      <c r="F85" s="6" t="s">
        <v>29</v>
      </c>
      <c r="G85" s="24" t="n">
        <v>-255598.69</v>
      </c>
      <c r="H85" s="24" t="n">
        <f aca="false">$G85*Supuestos!D$10*(Drivers!D$33/Drivers!$C$33)</f>
        <v>-270934.6114</v>
      </c>
      <c r="I85" s="24" t="n">
        <f aca="false">$G85*Supuestos!E$10*(Drivers!E$33/Drivers!$C$33)</f>
        <v>-270934.6114</v>
      </c>
      <c r="J85" s="24" t="n">
        <f aca="false">$G85*Supuestos!F$10*(Drivers!F$33/Drivers!$C$33)</f>
        <v>-270934.6114</v>
      </c>
      <c r="K85" s="24" t="n">
        <f aca="false">$G85*Supuestos!G$10*(Drivers!G$33/Drivers!$C$33)</f>
        <v>-285836.015027</v>
      </c>
      <c r="L85" s="24" t="n">
        <f aca="false">$G85*Supuestos!H$10*(Drivers!H$33/Drivers!$C$33)</f>
        <v>-285836.015027</v>
      </c>
      <c r="M85" s="24" t="n">
        <f aca="false">$G85*Supuestos!I$10*(Drivers!I$33/Drivers!$C$33)</f>
        <v>-285836.015027</v>
      </c>
      <c r="N85" s="24" t="n">
        <f aca="false">$G85*Supuestos!J$10*(Drivers!J$33/Drivers!$C$33)</f>
        <v>-301556.995853485</v>
      </c>
      <c r="O85" s="24" t="n">
        <f aca="false">$G85*Supuestos!K$10*(Drivers!K$33/Drivers!$C$33)</f>
        <v>-301556.995853485</v>
      </c>
      <c r="P85" s="24" t="n">
        <f aca="false">$G85*Supuestos!L$10*(Drivers!L$33/Drivers!$C$33)</f>
        <v>-301556.995853485</v>
      </c>
      <c r="Q85" s="24" t="n">
        <f aca="false">$G85*Supuestos!M$10*(Drivers!M$33/Drivers!$C$33)</f>
        <v>-318142.630625427</v>
      </c>
      <c r="R85" s="24" t="n">
        <f aca="false">$G85*Supuestos!N$10*(Drivers!N$33/Drivers!$C$33)</f>
        <v>-318142.630625427</v>
      </c>
      <c r="S85" s="24" t="n">
        <f aca="false">$G85*Supuestos!O$10*(Drivers!O$33/Drivers!$C$33)</f>
        <v>-318142.630625427</v>
      </c>
      <c r="T85" s="24" t="n">
        <f aca="false">$G85*Supuestos!P$10*(Drivers!P$33/Drivers!$C$33)</f>
        <v>-335640.475309825</v>
      </c>
      <c r="U85" s="24" t="n">
        <f aca="false">$G85*Supuestos!Q$10*(Drivers!Q$33/Drivers!$C$33)</f>
        <v>-335640.475309825</v>
      </c>
      <c r="V85" s="24" t="n">
        <f aca="false">$G85*Supuestos!R$10*(Drivers!R$33/Drivers!$C$33)</f>
        <v>-335640.475309825</v>
      </c>
    </row>
    <row r="86" customFormat="false" ht="15" hidden="false" customHeight="false" outlineLevel="0" collapsed="false">
      <c r="A86" s="6" t="s">
        <v>173</v>
      </c>
      <c r="B86" s="6" t="s">
        <v>136</v>
      </c>
      <c r="C86" s="6" t="s">
        <v>140</v>
      </c>
      <c r="D86" s="6" t="s">
        <v>141</v>
      </c>
      <c r="E86" s="6" t="s">
        <v>147</v>
      </c>
      <c r="F86" s="6" t="s">
        <v>29</v>
      </c>
      <c r="G86" s="24" t="n">
        <v>-286988.16</v>
      </c>
      <c r="H86" s="24" t="n">
        <f aca="false">$G86*Supuestos!D$10*(Drivers!D$33/Drivers!$C$33)</f>
        <v>-304207.4496</v>
      </c>
      <c r="I86" s="24" t="n">
        <f aca="false">$G86*Supuestos!E$10*(Drivers!E$33/Drivers!$C$33)</f>
        <v>-304207.4496</v>
      </c>
      <c r="J86" s="24" t="n">
        <f aca="false">$G86*Supuestos!F$10*(Drivers!F$33/Drivers!$C$33)</f>
        <v>-304207.4496</v>
      </c>
      <c r="K86" s="24" t="n">
        <f aca="false">$G86*Supuestos!G$10*(Drivers!G$33/Drivers!$C$33)</f>
        <v>-320938.859328</v>
      </c>
      <c r="L86" s="24" t="n">
        <f aca="false">$G86*Supuestos!H$10*(Drivers!H$33/Drivers!$C$33)</f>
        <v>-320938.859328</v>
      </c>
      <c r="M86" s="24" t="n">
        <f aca="false">$G86*Supuestos!I$10*(Drivers!I$33/Drivers!$C$33)</f>
        <v>-320938.859328</v>
      </c>
      <c r="N86" s="24" t="n">
        <f aca="false">$G86*Supuestos!J$10*(Drivers!J$33/Drivers!$C$33)</f>
        <v>-338590.49659104</v>
      </c>
      <c r="O86" s="24" t="n">
        <f aca="false">$G86*Supuestos!K$10*(Drivers!K$33/Drivers!$C$33)</f>
        <v>-338590.49659104</v>
      </c>
      <c r="P86" s="24" t="n">
        <f aca="false">$G86*Supuestos!L$10*(Drivers!L$33/Drivers!$C$33)</f>
        <v>-338590.49659104</v>
      </c>
      <c r="Q86" s="24" t="n">
        <f aca="false">$G86*Supuestos!M$10*(Drivers!M$33/Drivers!$C$33)</f>
        <v>-357212.973903547</v>
      </c>
      <c r="R86" s="24" t="n">
        <f aca="false">$G86*Supuestos!N$10*(Drivers!N$33/Drivers!$C$33)</f>
        <v>-357212.973903547</v>
      </c>
      <c r="S86" s="24" t="n">
        <f aca="false">$G86*Supuestos!O$10*(Drivers!O$33/Drivers!$C$33)</f>
        <v>-357212.973903547</v>
      </c>
      <c r="T86" s="24" t="n">
        <f aca="false">$G86*Supuestos!P$10*(Drivers!P$33/Drivers!$C$33)</f>
        <v>-376859.687468242</v>
      </c>
      <c r="U86" s="24" t="n">
        <f aca="false">$G86*Supuestos!Q$10*(Drivers!Q$33/Drivers!$C$33)</f>
        <v>-376859.687468242</v>
      </c>
      <c r="V86" s="24" t="n">
        <f aca="false">$G86*Supuestos!R$10*(Drivers!R$33/Drivers!$C$33)</f>
        <v>-376859.687468242</v>
      </c>
    </row>
    <row r="87" customFormat="false" ht="15" hidden="false" customHeight="false" outlineLevel="0" collapsed="false">
      <c r="A87" s="6" t="s">
        <v>173</v>
      </c>
      <c r="B87" s="6" t="s">
        <v>136</v>
      </c>
      <c r="C87" s="6" t="s">
        <v>140</v>
      </c>
      <c r="D87" s="6" t="s">
        <v>141</v>
      </c>
      <c r="E87" s="6" t="s">
        <v>148</v>
      </c>
      <c r="F87" s="6" t="s">
        <v>41</v>
      </c>
      <c r="G87" s="24" t="n">
        <v>-45053.23</v>
      </c>
      <c r="H87" s="24" t="n">
        <f aca="false">0</f>
        <v>0</v>
      </c>
      <c r="I87" s="24" t="n">
        <f aca="false">0</f>
        <v>0</v>
      </c>
      <c r="J87" s="24" t="n">
        <f aca="false">0</f>
        <v>0</v>
      </c>
      <c r="K87" s="24" t="n">
        <f aca="false">0</f>
        <v>0</v>
      </c>
      <c r="L87" s="24" t="n">
        <f aca="false">0</f>
        <v>0</v>
      </c>
      <c r="M87" s="24" t="n">
        <f aca="false">0</f>
        <v>0</v>
      </c>
      <c r="N87" s="24" t="n">
        <f aca="false">0</f>
        <v>0</v>
      </c>
      <c r="O87" s="24" t="n">
        <f aca="false">0</f>
        <v>0</v>
      </c>
      <c r="P87" s="24" t="n">
        <f aca="false">0</f>
        <v>0</v>
      </c>
      <c r="Q87" s="24" t="n">
        <f aca="false">0</f>
        <v>0</v>
      </c>
      <c r="R87" s="24" t="n">
        <f aca="false">0</f>
        <v>0</v>
      </c>
      <c r="S87" s="24" t="n">
        <f aca="false">0</f>
        <v>0</v>
      </c>
      <c r="T87" s="24" t="n">
        <f aca="false">0</f>
        <v>0</v>
      </c>
      <c r="U87" s="24" t="n">
        <f aca="false">0</f>
        <v>0</v>
      </c>
      <c r="V87" s="24" t="n">
        <f aca="false">0</f>
        <v>0</v>
      </c>
    </row>
    <row r="88" customFormat="false" ht="15" hidden="false" customHeight="false" outlineLevel="0" collapsed="false">
      <c r="A88" s="6" t="s">
        <v>173</v>
      </c>
      <c r="B88" s="6" t="s">
        <v>136</v>
      </c>
      <c r="C88" s="6" t="s">
        <v>140</v>
      </c>
      <c r="D88" s="6" t="s">
        <v>151</v>
      </c>
      <c r="E88" s="6" t="s">
        <v>152</v>
      </c>
      <c r="F88" s="6" t="s">
        <v>31</v>
      </c>
      <c r="G88" s="24" t="n">
        <v>-368550</v>
      </c>
      <c r="H88" s="24" t="n">
        <f aca="false">$G88*Supuestos!D$8*(Drivers!D$33/Drivers!$C$33)</f>
        <v>-377460</v>
      </c>
      <c r="I88" s="24" t="n">
        <f aca="false">$G88*Supuestos!E$8*(Drivers!E$33/Drivers!$C$33)</f>
        <v>-386640</v>
      </c>
      <c r="J88" s="24" t="n">
        <f aca="false">$G88*Supuestos!F$8*(Drivers!F$33/Drivers!$C$33)</f>
        <v>-395550</v>
      </c>
      <c r="K88" s="24" t="n">
        <f aca="false">$G88*Supuestos!G$8*(Drivers!G$33/Drivers!$C$33)</f>
        <v>-402030</v>
      </c>
      <c r="L88" s="24" t="n">
        <f aca="false">$G88*Supuestos!H$8*(Drivers!H$33/Drivers!$C$33)</f>
        <v>-408240</v>
      </c>
      <c r="M88" s="24" t="n">
        <f aca="false">$G88*Supuestos!I$8*(Drivers!I$33/Drivers!$C$33)</f>
        <v>-414720</v>
      </c>
      <c r="N88" s="24" t="n">
        <f aca="false">$G88*Supuestos!J$8*(Drivers!J$33/Drivers!$C$33)</f>
        <v>-421200</v>
      </c>
      <c r="O88" s="24" t="n">
        <f aca="false">$G88*Supuestos!K$8*(Drivers!K$33/Drivers!$C$33)</f>
        <v>-427680</v>
      </c>
      <c r="P88" s="24" t="n">
        <f aca="false">$G88*Supuestos!L$8*(Drivers!L$33/Drivers!$C$33)</f>
        <v>-434160</v>
      </c>
      <c r="Q88" s="24" t="n">
        <f aca="false">$G88*Supuestos!M$8*(Drivers!M$33/Drivers!$C$33)</f>
        <v>-440370</v>
      </c>
      <c r="R88" s="24" t="n">
        <f aca="false">$G88*Supuestos!N$8*(Drivers!N$33/Drivers!$C$33)</f>
        <v>-446850</v>
      </c>
      <c r="S88" s="24" t="n">
        <f aca="false">$G88*Supuestos!O$8*(Drivers!O$33/Drivers!$C$33)</f>
        <v>-453330</v>
      </c>
      <c r="T88" s="24" t="n">
        <f aca="false">$G88*Supuestos!P$8*(Drivers!P$33/Drivers!$C$33)</f>
        <v>-459540</v>
      </c>
      <c r="U88" s="24" t="n">
        <f aca="false">$G88*Supuestos!Q$8*(Drivers!Q$33/Drivers!$C$33)</f>
        <v>-466020</v>
      </c>
      <c r="V88" s="24" t="n">
        <f aca="false">$G88*Supuestos!R$8*(Drivers!R$33/Drivers!$C$33)</f>
        <v>-472500</v>
      </c>
    </row>
    <row r="89" customFormat="false" ht="15" hidden="false" customHeight="false" outlineLevel="0" collapsed="false">
      <c r="A89" s="6" t="s">
        <v>173</v>
      </c>
      <c r="B89" s="6" t="s">
        <v>136</v>
      </c>
      <c r="C89" s="6" t="s">
        <v>140</v>
      </c>
      <c r="D89" s="6" t="s">
        <v>153</v>
      </c>
      <c r="E89" s="6" t="s">
        <v>154</v>
      </c>
      <c r="F89" s="6" t="s">
        <v>33</v>
      </c>
      <c r="G89" s="24" t="n">
        <v>-175338.08</v>
      </c>
      <c r="H89" s="24" t="n">
        <f aca="false">$G89*Supuestos!D$6*(Drivers!D$33/Drivers!$C$33)</f>
        <v>-179370.85584</v>
      </c>
      <c r="I89" s="24" t="n">
        <f aca="false">$G89*Supuestos!E$6*(Drivers!E$33/Drivers!$C$33)</f>
        <v>-183496.38552432</v>
      </c>
      <c r="J89" s="24" t="n">
        <f aca="false">$G89*Supuestos!F$6*(Drivers!F$33/Drivers!$C$33)</f>
        <v>-187716.802391379</v>
      </c>
      <c r="K89" s="24" t="n">
        <f aca="false">$G89*Supuestos!G$6*(Drivers!G$33/Drivers!$C$33)</f>
        <v>-191283.421636815</v>
      </c>
      <c r="L89" s="24" t="n">
        <f aca="false">$G89*Supuestos!H$6*(Drivers!H$33/Drivers!$C$33)</f>
        <v>-194917.806647915</v>
      </c>
      <c r="M89" s="24" t="n">
        <f aca="false">$G89*Supuestos!I$6*(Drivers!I$33/Drivers!$C$33)</f>
        <v>-198621.244974225</v>
      </c>
      <c r="N89" s="24" t="n">
        <f aca="false">$G89*Supuestos!J$6*(Drivers!J$33/Drivers!$C$33)</f>
        <v>-202395.048628736</v>
      </c>
      <c r="O89" s="24" t="n">
        <f aca="false">$G89*Supuestos!K$6*(Drivers!K$33/Drivers!$C$33)</f>
        <v>-206240.554552681</v>
      </c>
      <c r="P89" s="24" t="n">
        <f aca="false">$G89*Supuestos!L$6*(Drivers!L$33/Drivers!$C$33)</f>
        <v>-210159.125089182</v>
      </c>
      <c r="Q89" s="24" t="n">
        <f aca="false">$G89*Supuestos!M$6*(Drivers!M$33/Drivers!$C$33)</f>
        <v>-214152.148465877</v>
      </c>
      <c r="R89" s="24" t="n">
        <f aca="false">$G89*Supuestos!N$6*(Drivers!N$33/Drivers!$C$33)</f>
        <v>-218221.039286729</v>
      </c>
      <c r="S89" s="24" t="n">
        <f aca="false">$G89*Supuestos!O$6*(Drivers!O$33/Drivers!$C$33)</f>
        <v>-222367.239033176</v>
      </c>
      <c r="T89" s="24" t="n">
        <f aca="false">$G89*Supuestos!P$6*(Drivers!P$33/Drivers!$C$33)</f>
        <v>-226592.216574807</v>
      </c>
      <c r="U89" s="24" t="n">
        <f aca="false">$G89*Supuestos!Q$6*(Drivers!Q$33/Drivers!$C$33)</f>
        <v>-230897.468689728</v>
      </c>
      <c r="V89" s="24" t="n">
        <f aca="false">$G89*Supuestos!R$6*(Drivers!R$33/Drivers!$C$33)</f>
        <v>-235284.520594833</v>
      </c>
    </row>
    <row r="90" customFormat="false" ht="15" hidden="false" customHeight="false" outlineLevel="0" collapsed="false">
      <c r="A90" s="6" t="s">
        <v>173</v>
      </c>
      <c r="B90" s="6" t="s">
        <v>136</v>
      </c>
      <c r="C90" s="6" t="s">
        <v>140</v>
      </c>
      <c r="D90" s="6" t="s">
        <v>153</v>
      </c>
      <c r="E90" s="6" t="s">
        <v>155</v>
      </c>
      <c r="F90" s="6" t="s">
        <v>33</v>
      </c>
      <c r="G90" s="24" t="n">
        <v>-45087.21</v>
      </c>
      <c r="H90" s="24" t="n">
        <f aca="false">$G90*Supuestos!D$6*(Drivers!D$33/Drivers!$C$33)</f>
        <v>-46124.21583</v>
      </c>
      <c r="I90" s="24" t="n">
        <f aca="false">$G90*Supuestos!E$6*(Drivers!E$33/Drivers!$C$33)</f>
        <v>-47185.07279409</v>
      </c>
      <c r="J90" s="24" t="n">
        <f aca="false">$G90*Supuestos!F$6*(Drivers!F$33/Drivers!$C$33)</f>
        <v>-48270.3294683541</v>
      </c>
      <c r="K90" s="24" t="n">
        <f aca="false">$G90*Supuestos!G$6*(Drivers!G$33/Drivers!$C$33)</f>
        <v>-49187.4657282528</v>
      </c>
      <c r="L90" s="24" t="n">
        <f aca="false">$G90*Supuestos!H$6*(Drivers!H$33/Drivers!$C$33)</f>
        <v>-50122.0275770896</v>
      </c>
      <c r="M90" s="24" t="n">
        <f aca="false">$G90*Supuestos!I$6*(Drivers!I$33/Drivers!$C$33)</f>
        <v>-51074.3461010543</v>
      </c>
      <c r="N90" s="24" t="n">
        <f aca="false">$G90*Supuestos!J$6*(Drivers!J$33/Drivers!$C$33)</f>
        <v>-52044.7586769743</v>
      </c>
      <c r="O90" s="24" t="n">
        <f aca="false">$G90*Supuestos!K$6*(Drivers!K$33/Drivers!$C$33)</f>
        <v>-53033.6090918368</v>
      </c>
      <c r="P90" s="24" t="n">
        <f aca="false">$G90*Supuestos!L$6*(Drivers!L$33/Drivers!$C$33)</f>
        <v>-54041.2476645817</v>
      </c>
      <c r="Q90" s="24" t="n">
        <f aca="false">$G90*Supuestos!M$6*(Drivers!M$33/Drivers!$C$33)</f>
        <v>-55068.0313702087</v>
      </c>
      <c r="R90" s="24" t="n">
        <f aca="false">$G90*Supuestos!N$6*(Drivers!N$33/Drivers!$C$33)</f>
        <v>-56114.3239662427</v>
      </c>
      <c r="S90" s="24" t="n">
        <f aca="false">$G90*Supuestos!O$6*(Drivers!O$33/Drivers!$C$33)</f>
        <v>-57180.4961216013</v>
      </c>
      <c r="T90" s="24" t="n">
        <f aca="false">$G90*Supuestos!P$6*(Drivers!P$33/Drivers!$C$33)</f>
        <v>-58266.9255479117</v>
      </c>
      <c r="U90" s="24" t="n">
        <f aca="false">$G90*Supuestos!Q$6*(Drivers!Q$33/Drivers!$C$33)</f>
        <v>-59373.997133322</v>
      </c>
      <c r="V90" s="24" t="n">
        <f aca="false">$G90*Supuestos!R$6*(Drivers!R$33/Drivers!$C$33)</f>
        <v>-60502.1030788552</v>
      </c>
    </row>
    <row r="91" customFormat="false" ht="15" hidden="false" customHeight="false" outlineLevel="0" collapsed="false">
      <c r="A91" s="6" t="s">
        <v>173</v>
      </c>
      <c r="B91" s="6" t="s">
        <v>136</v>
      </c>
      <c r="C91" s="6" t="s">
        <v>140</v>
      </c>
      <c r="D91" s="6" t="s">
        <v>153</v>
      </c>
      <c r="E91" s="6" t="s">
        <v>156</v>
      </c>
      <c r="F91" s="6" t="s">
        <v>33</v>
      </c>
      <c r="G91" s="24" t="n">
        <v>-30057.68</v>
      </c>
      <c r="H91" s="24" t="n">
        <f aca="false">$G91*Supuestos!D$6*(Drivers!D$33/Drivers!$C$33)</f>
        <v>-30749.00664</v>
      </c>
      <c r="I91" s="24" t="n">
        <f aca="false">$G91*Supuestos!E$6*(Drivers!E$33/Drivers!$C$33)</f>
        <v>-31456.23379272</v>
      </c>
      <c r="J91" s="24" t="n">
        <f aca="false">$G91*Supuestos!F$6*(Drivers!F$33/Drivers!$C$33)</f>
        <v>-32179.7271699526</v>
      </c>
      <c r="K91" s="24" t="n">
        <f aca="false">$G91*Supuestos!G$6*(Drivers!G$33/Drivers!$C$33)</f>
        <v>-32791.1419861817</v>
      </c>
      <c r="L91" s="24" t="n">
        <f aca="false">$G91*Supuestos!H$6*(Drivers!H$33/Drivers!$C$33)</f>
        <v>-33414.1736839191</v>
      </c>
      <c r="M91" s="24" t="n">
        <f aca="false">$G91*Supuestos!I$6*(Drivers!I$33/Drivers!$C$33)</f>
        <v>-34049.0429839136</v>
      </c>
      <c r="N91" s="24" t="n">
        <f aca="false">$G91*Supuestos!J$6*(Drivers!J$33/Drivers!$C$33)</f>
        <v>-34695.9748006079</v>
      </c>
      <c r="O91" s="24" t="n">
        <f aca="false">$G91*Supuestos!K$6*(Drivers!K$33/Drivers!$C$33)</f>
        <v>-35355.1983218194</v>
      </c>
      <c r="P91" s="24" t="n">
        <f aca="false">$G91*Supuestos!L$6*(Drivers!L$33/Drivers!$C$33)</f>
        <v>-36026.947089934</v>
      </c>
      <c r="Q91" s="24" t="n">
        <f aca="false">$G91*Supuestos!M$6*(Drivers!M$33/Drivers!$C$33)</f>
        <v>-36711.4590846428</v>
      </c>
      <c r="R91" s="24" t="n">
        <f aca="false">$G91*Supuestos!N$6*(Drivers!N$33/Drivers!$C$33)</f>
        <v>-37408.976807251</v>
      </c>
      <c r="S91" s="24" t="n">
        <f aca="false">$G91*Supuestos!O$6*(Drivers!O$33/Drivers!$C$33)</f>
        <v>-38119.7473665887</v>
      </c>
      <c r="T91" s="24" t="n">
        <f aca="false">$G91*Supuestos!P$6*(Drivers!P$33/Drivers!$C$33)</f>
        <v>-38844.0225665539</v>
      </c>
      <c r="U91" s="24" t="n">
        <f aca="false">$G91*Supuestos!Q$6*(Drivers!Q$33/Drivers!$C$33)</f>
        <v>-39582.0589953184</v>
      </c>
      <c r="V91" s="24" t="n">
        <f aca="false">$G91*Supuestos!R$6*(Drivers!R$33/Drivers!$C$33)</f>
        <v>-40334.1181162295</v>
      </c>
    </row>
    <row r="92" customFormat="false" ht="15" hidden="false" customHeight="false" outlineLevel="0" collapsed="false">
      <c r="A92" s="6" t="s">
        <v>173</v>
      </c>
      <c r="B92" s="6" t="s">
        <v>136</v>
      </c>
      <c r="C92" s="6" t="s">
        <v>140</v>
      </c>
      <c r="D92" s="6" t="s">
        <v>157</v>
      </c>
      <c r="E92" s="6" t="s">
        <v>158</v>
      </c>
      <c r="F92" s="6" t="s">
        <v>39</v>
      </c>
      <c r="G92" s="24" t="n">
        <v>-2299004.46</v>
      </c>
      <c r="H92" s="24" t="n">
        <f aca="false">$G92*Supuestos!D$12*(Drivers!D$30/100)</f>
        <v>-2351881.56258</v>
      </c>
      <c r="I92" s="24" t="n">
        <f aca="false">$G92*Supuestos!E$12*(Drivers!E$30/100)</f>
        <v>-2405974.83851934</v>
      </c>
      <c r="J92" s="24" t="n">
        <f aca="false">$G92*Supuestos!F$12*(Drivers!F$30/100)</f>
        <v>-2461312.25980528</v>
      </c>
      <c r="K92" s="24" t="n">
        <f aca="false">$G92*Supuestos!G$12*(Drivers!G$30/100)</f>
        <v>-2508077.19274158</v>
      </c>
      <c r="L92" s="24" t="n">
        <f aca="false">$G92*Supuestos!H$12*(Drivers!H$30/100)</f>
        <v>-2555730.65940367</v>
      </c>
      <c r="M92" s="24" t="n">
        <f aca="false">$G92*Supuestos!I$12*(Drivers!I$30/100)</f>
        <v>-2604289.54193234</v>
      </c>
      <c r="N92" s="24" t="n">
        <f aca="false">$G92*Supuestos!J$12*(Drivers!J$30/100)</f>
        <v>-2653771.04322906</v>
      </c>
      <c r="O92" s="24" t="n">
        <f aca="false">$G92*Supuestos!K$12*(Drivers!K$30/100)</f>
        <v>-2704192.69305041</v>
      </c>
      <c r="P92" s="24" t="n">
        <f aca="false">$G92*Supuestos!L$12*(Drivers!L$30/100)</f>
        <v>-2755572.35421837</v>
      </c>
      <c r="Q92" s="24" t="n">
        <f aca="false">$G92*Supuestos!M$12*(Drivers!M$30/100)</f>
        <v>-2807928.22894852</v>
      </c>
      <c r="R92" s="24" t="n">
        <f aca="false">$G92*Supuestos!N$12*(Drivers!N$30/100)</f>
        <v>-2861278.86529854</v>
      </c>
      <c r="S92" s="24" t="n">
        <f aca="false">$G92*Supuestos!O$12*(Drivers!O$30/100)</f>
        <v>-2915643.16373921</v>
      </c>
      <c r="T92" s="24" t="n">
        <f aca="false">$G92*Supuestos!P$12*(Drivers!P$30/100)</f>
        <v>-2971040.38385025</v>
      </c>
      <c r="U92" s="24" t="n">
        <f aca="false">$G92*Supuestos!Q$12*(Drivers!Q$30/100)</f>
        <v>-3027490.15114341</v>
      </c>
      <c r="V92" s="24" t="n">
        <f aca="false">$G92*Supuestos!R$12*(Drivers!R$30/100)</f>
        <v>-3085012.46401513</v>
      </c>
    </row>
    <row r="93" customFormat="false" ht="15" hidden="false" customHeight="false" outlineLevel="0" collapsed="false">
      <c r="A93" s="6" t="s">
        <v>173</v>
      </c>
      <c r="B93" s="6" t="s">
        <v>136</v>
      </c>
      <c r="C93" s="6" t="s">
        <v>140</v>
      </c>
      <c r="D93" s="6" t="s">
        <v>159</v>
      </c>
      <c r="E93" s="6" t="s">
        <v>160</v>
      </c>
      <c r="F93" s="6" t="s">
        <v>37</v>
      </c>
      <c r="G93" s="24" t="n">
        <v>-1083327.61</v>
      </c>
      <c r="H93" s="24" t="n">
        <f aca="false">$G93*Supuestos!D$6*(Drivers!D$30/100)</f>
        <v>-1108244.14503</v>
      </c>
      <c r="I93" s="24" t="n">
        <f aca="false">$G93*Supuestos!E$6*(Drivers!E$30/100)</f>
        <v>-1133733.76036569</v>
      </c>
      <c r="J93" s="24" t="n">
        <f aca="false">$G93*Supuestos!F$6*(Drivers!F$30/100)</f>
        <v>-1159809.6368541</v>
      </c>
      <c r="K93" s="24" t="n">
        <f aca="false">$G93*Supuestos!G$6*(Drivers!G$30/100)</f>
        <v>-1181846.01995433</v>
      </c>
      <c r="L93" s="24" t="n">
        <f aca="false">$G93*Supuestos!H$6*(Drivers!H$30/100)</f>
        <v>-1204301.09433346</v>
      </c>
      <c r="M93" s="24" t="n">
        <f aca="false">$G93*Supuestos!I$6*(Drivers!I$30/100)</f>
        <v>-1227182.8151258</v>
      </c>
      <c r="N93" s="24" t="n">
        <f aca="false">$G93*Supuestos!J$6*(Drivers!J$30/100)</f>
        <v>-1250499.28861319</v>
      </c>
      <c r="O93" s="24" t="n">
        <f aca="false">$G93*Supuestos!K$6*(Drivers!K$30/100)</f>
        <v>-1274258.77509684</v>
      </c>
      <c r="P93" s="24" t="n">
        <f aca="false">$G93*Supuestos!L$6*(Drivers!L$30/100)</f>
        <v>-1298469.69182368</v>
      </c>
      <c r="Q93" s="24" t="n">
        <f aca="false">$G93*Supuestos!M$6*(Drivers!M$30/100)</f>
        <v>-1323140.61596833</v>
      </c>
      <c r="R93" s="24" t="n">
        <f aca="false">$G93*Supuestos!N$6*(Drivers!N$30/100)</f>
        <v>-1348280.28767172</v>
      </c>
      <c r="S93" s="24" t="n">
        <f aca="false">$G93*Supuestos!O$6*(Drivers!O$30/100)</f>
        <v>-1373897.61313749</v>
      </c>
      <c r="T93" s="24" t="n">
        <f aca="false">$G93*Supuestos!P$6*(Drivers!P$30/100)</f>
        <v>-1400001.6677871</v>
      </c>
      <c r="U93" s="24" t="n">
        <f aca="false">$G93*Supuestos!Q$6*(Drivers!Q$30/100)</f>
        <v>-1426601.69947505</v>
      </c>
      <c r="V93" s="24" t="n">
        <f aca="false">$G93*Supuestos!R$6*(Drivers!R$30/100)</f>
        <v>-1453707.13176508</v>
      </c>
    </row>
    <row r="94" customFormat="false" ht="15" hidden="false" customHeight="false" outlineLevel="0" collapsed="false">
      <c r="A94" s="6" t="s">
        <v>173</v>
      </c>
      <c r="B94" s="6" t="s">
        <v>136</v>
      </c>
      <c r="C94" s="6" t="s">
        <v>140</v>
      </c>
      <c r="D94" s="6" t="s">
        <v>161</v>
      </c>
      <c r="E94" s="6" t="s">
        <v>162</v>
      </c>
      <c r="F94" s="6" t="s">
        <v>35</v>
      </c>
      <c r="G94" s="24" t="n">
        <v>-777046.49</v>
      </c>
      <c r="H94" s="24" t="n">
        <f aca="false">$G94*Supuestos!D$8*(Drivers!D$30/100)</f>
        <v>-795832.229318681</v>
      </c>
      <c r="I94" s="24" t="n">
        <f aca="false">$G94*Supuestos!E$8*(Drivers!E$30/100)</f>
        <v>-815187.233465202</v>
      </c>
      <c r="J94" s="24" t="n">
        <f aca="false">$G94*Supuestos!F$8*(Drivers!F$30/100)</f>
        <v>-833972.972783883</v>
      </c>
      <c r="K94" s="24" t="n">
        <f aca="false">$G94*Supuestos!G$8*(Drivers!G$30/100)</f>
        <v>-847635.328652015</v>
      </c>
      <c r="L94" s="24" t="n">
        <f aca="false">$G94*Supuestos!H$8*(Drivers!H$30/100)</f>
        <v>-860728.419692308</v>
      </c>
      <c r="M94" s="24" t="n">
        <f aca="false">$G94*Supuestos!I$8*(Drivers!I$30/100)</f>
        <v>-874390.77556044</v>
      </c>
      <c r="N94" s="24" t="n">
        <f aca="false">$G94*Supuestos!J$8*(Drivers!J$30/100)</f>
        <v>-888053.131428571</v>
      </c>
      <c r="O94" s="24" t="n">
        <f aca="false">$G94*Supuestos!K$8*(Drivers!K$30/100)</f>
        <v>-901715.487296703</v>
      </c>
      <c r="P94" s="24" t="n">
        <f aca="false">$G94*Supuestos!L$8*(Drivers!L$30/100)</f>
        <v>-915377.843164835</v>
      </c>
      <c r="Q94" s="24" t="n">
        <f aca="false">$G94*Supuestos!M$8*(Drivers!M$30/100)</f>
        <v>-928470.934205128</v>
      </c>
      <c r="R94" s="24" t="n">
        <f aca="false">$G94*Supuestos!N$8*(Drivers!N$30/100)</f>
        <v>-942133.29007326</v>
      </c>
      <c r="S94" s="24" t="n">
        <f aca="false">$G94*Supuestos!O$8*(Drivers!O$30/100)</f>
        <v>-955795.645941392</v>
      </c>
      <c r="T94" s="24" t="n">
        <f aca="false">$G94*Supuestos!P$8*(Drivers!P$30/100)</f>
        <v>-968888.736981685</v>
      </c>
      <c r="U94" s="24" t="n">
        <f aca="false">$G94*Supuestos!Q$8*(Drivers!Q$30/100)</f>
        <v>-982551.092849817</v>
      </c>
      <c r="V94" s="24" t="n">
        <f aca="false">$G94*Supuestos!R$8*(Drivers!R$30/100)</f>
        <v>-996213.448717949</v>
      </c>
    </row>
    <row r="95" customFormat="false" ht="15" hidden="false" customHeight="false" outlineLevel="0" collapsed="false">
      <c r="A95" s="6" t="s">
        <v>173</v>
      </c>
      <c r="B95" s="6" t="s">
        <v>136</v>
      </c>
      <c r="C95" s="6" t="s">
        <v>167</v>
      </c>
      <c r="D95" s="6" t="s">
        <v>168</v>
      </c>
      <c r="E95" s="6" t="s">
        <v>169</v>
      </c>
      <c r="F95" s="6" t="s">
        <v>27</v>
      </c>
      <c r="G95" s="24" t="n">
        <v>-1118537.79</v>
      </c>
      <c r="H95" s="24" t="n">
        <f aca="false">$G95*Supuestos!D$6*(Drivers!D$30/100)*(Drivers!D$31/Drivers!$C$31)*(Drivers!D$32/Drivers!$C$32)*Supuestos!D$13</f>
        <v>-1155706.8007617</v>
      </c>
      <c r="I95" s="24" t="n">
        <f aca="false">$G95*Supuestos!E$6*(Drivers!E$30/100)*(Drivers!E$31/Drivers!$C$31)*(Drivers!E$32/Drivers!$C$32)*Supuestos!E$13</f>
        <v>-1170582.23483091</v>
      </c>
      <c r="J95" s="24" t="n">
        <f aca="false">$G95*Supuestos!F$6*(Drivers!F$30/100)*(Drivers!F$31/Drivers!$C$31)*(Drivers!F$32/Drivers!$C$32)*Supuestos!F$13</f>
        <v>-1161580.45744506</v>
      </c>
      <c r="K95" s="24" t="n">
        <f aca="false">$G95*Supuestos!G$6*(Drivers!G$30/100)*(Drivers!G$31/Drivers!$C$31)*(Drivers!G$32/Drivers!$C$32)*Supuestos!G$13</f>
        <v>-1171447.90380521</v>
      </c>
      <c r="L95" s="24" t="n">
        <f aca="false">$G95*Supuestos!H$6*(Drivers!H$30/100)*(Drivers!H$31/Drivers!$C$31)*(Drivers!H$32/Drivers!$C$32)*Supuestos!H$13</f>
        <v>-1206139.84537311</v>
      </c>
      <c r="M95" s="24" t="n">
        <f aca="false">$G95*Supuestos!I$6*(Drivers!I$30/100)*(Drivers!I$31/Drivers!$C$31)*(Drivers!I$32/Drivers!$C$32)*Supuestos!I$13</f>
        <v>-1305080.61598789</v>
      </c>
      <c r="N95" s="24" t="n">
        <f aca="false">$G95*Supuestos!J$6*(Drivers!J$30/100)*(Drivers!J$31/Drivers!$C$31)*(Drivers!J$32/Drivers!$C$32)*Supuestos!J$13</f>
        <v>-1304054.29045493</v>
      </c>
      <c r="O95" s="24" t="n">
        <f aca="false">$G95*Supuestos!K$6*(Drivers!K$30/100)*(Drivers!K$31/Drivers!$C$31)*(Drivers!K$32/Drivers!$C$32)*Supuestos!K$13</f>
        <v>-1315674.57621146</v>
      </c>
      <c r="P95" s="24" t="n">
        <f aca="false">$G95*Supuestos!L$6*(Drivers!L$30/100)*(Drivers!L$31/Drivers!$C$31)*(Drivers!L$32/Drivers!$C$32)*Supuestos!L$13</f>
        <v>-1327265.66922788</v>
      </c>
      <c r="Q95" s="24" t="n">
        <f aca="false">$G95*Supuestos!M$6*(Drivers!M$30/100)*(Drivers!M$31/Drivers!$C$31)*(Drivers!M$32/Drivers!$C$32)*Supuestos!M$13</f>
        <v>-1366145.16862951</v>
      </c>
      <c r="R95" s="24" t="n">
        <f aca="false">$G95*Supuestos!N$6*(Drivers!N$30/100)*(Drivers!N$31/Drivers!$C$31)*(Drivers!N$32/Drivers!$C$32)*Supuestos!N$13</f>
        <v>-1406022.9461018</v>
      </c>
      <c r="S95" s="24" t="n">
        <f aca="false">$G95*Supuestos!O$6*(Drivers!O$30/100)*(Drivers!O$31/Drivers!$C$31)*(Drivers!O$32/Drivers!$C$32)*Supuestos!O$13</f>
        <v>-1446922.90071217</v>
      </c>
      <c r="T95" s="24" t="n">
        <f aca="false">$G95*Supuestos!P$6*(Drivers!P$30/100)*(Drivers!P$31/Drivers!$C$31)*(Drivers!P$32/Drivers!$C$32)*Supuestos!P$13</f>
        <v>-1459959.39233721</v>
      </c>
      <c r="U95" s="24" t="n">
        <f aca="false">$G95*Supuestos!Q$6*(Drivers!Q$30/100)*(Drivers!Q$31/Drivers!$C$31)*(Drivers!Q$32/Drivers!$C$32)*Supuestos!Q$13</f>
        <v>-1472968.93147685</v>
      </c>
      <c r="V95" s="24" t="n">
        <f aca="false">$G95*Supuestos!R$6*(Drivers!R$30/100)*(Drivers!R$31/Drivers!$C$31)*(Drivers!R$32/Drivers!$C$32)*Supuestos!R$13</f>
        <v>-1455926.68093966</v>
      </c>
    </row>
    <row r="96" customFormat="false" ht="15" hidden="false" customHeight="false" outlineLevel="0" collapsed="false">
      <c r="A96" s="6" t="s">
        <v>174</v>
      </c>
      <c r="B96" s="6" t="s">
        <v>136</v>
      </c>
      <c r="C96" s="6" t="s">
        <v>137</v>
      </c>
      <c r="D96" s="6" t="s">
        <v>138</v>
      </c>
      <c r="E96" s="6" t="s">
        <v>139</v>
      </c>
      <c r="F96" s="6" t="s">
        <v>25</v>
      </c>
      <c r="G96" s="24" t="n">
        <v>24986832.45</v>
      </c>
      <c r="H96" s="24" t="n">
        <f aca="false">$G96*Supuestos!D$6*(Drivers!D$36/100)*(Drivers!D$37/Drivers!$C$37)*(Drivers!D$38/Drivers!$C$38)*Supuestos!D$13</f>
        <v>25817144.8923135</v>
      </c>
      <c r="I96" s="24" t="n">
        <f aca="false">$G96*Supuestos!E$6*(Drivers!E$36/100)*(Drivers!E$37/Drivers!$C$37)*(Drivers!E$38/Drivers!$C$38)*Supuestos!E$13</f>
        <v>26149444.777066</v>
      </c>
      <c r="J96" s="24" t="n">
        <f aca="false">$G96*Supuestos!F$6*(Drivers!F$36/100)*(Drivers!F$37/Drivers!$C$37)*(Drivers!F$38/Drivers!$C$38)*Supuestos!F$13</f>
        <v>25948355.5467304</v>
      </c>
      <c r="K96" s="24" t="n">
        <f aca="false">$G96*Supuestos!G$6*(Drivers!G$36/100)*(Drivers!G$37/Drivers!$C$37)*(Drivers!G$38/Drivers!$C$38)*Supuestos!G$13</f>
        <v>26168782.8144676</v>
      </c>
      <c r="L96" s="24" t="n">
        <f aca="false">$G96*Supuestos!H$6*(Drivers!H$36/100)*(Drivers!H$37/Drivers!$C$37)*(Drivers!H$38/Drivers!$C$38)*Supuestos!H$13</f>
        <v>26943760.4138585</v>
      </c>
      <c r="M96" s="24" t="n">
        <f aca="false">$G96*Supuestos!I$6*(Drivers!I$36/100)*(Drivers!I$37/Drivers!$C$37)*(Drivers!I$38/Drivers!$C$38)*Supuestos!I$13</f>
        <v>29153982.0799727</v>
      </c>
      <c r="N96" s="24" t="n">
        <f aca="false">$G96*Supuestos!J$6*(Drivers!J$36/100)*(Drivers!J$37/Drivers!$C$37)*(Drivers!J$38/Drivers!$C$38)*Supuestos!J$13</f>
        <v>29131055.1620263</v>
      </c>
      <c r="O96" s="24" t="n">
        <f aca="false">$G96*Supuestos!K$6*(Drivers!K$36/100)*(Drivers!K$37/Drivers!$C$37)*(Drivers!K$38/Drivers!$C$38)*Supuestos!K$13</f>
        <v>29390638.8218859</v>
      </c>
      <c r="P96" s="24" t="n">
        <f aca="false">$G96*Supuestos!L$6*(Drivers!L$36/100)*(Drivers!L$37/Drivers!$C$37)*(Drivers!L$38/Drivers!$C$38)*Supuestos!L$13</f>
        <v>29649570.3499067</v>
      </c>
      <c r="Q96" s="24" t="n">
        <f aca="false">$G96*Supuestos!M$6*(Drivers!M$36/100)*(Drivers!M$37/Drivers!$C$37)*(Drivers!M$38/Drivers!$C$38)*Supuestos!M$13</f>
        <v>30518093.1177323</v>
      </c>
      <c r="R96" s="24" t="n">
        <f aca="false">$G96*Supuestos!N$6*(Drivers!N$36/100)*(Drivers!N$37/Drivers!$C$37)*(Drivers!N$38/Drivers!$C$38)*Supuestos!N$13</f>
        <v>31408916.2558389</v>
      </c>
      <c r="S96" s="24" t="n">
        <f aca="false">$G96*Supuestos!O$6*(Drivers!O$36/100)*(Drivers!O$37/Drivers!$C$37)*(Drivers!O$38/Drivers!$C$38)*Supuestos!O$13</f>
        <v>32322573.641578</v>
      </c>
      <c r="T96" s="24" t="n">
        <f aca="false">$G96*Supuestos!P$6*(Drivers!P$36/100)*(Drivers!P$37/Drivers!$C$37)*(Drivers!P$38/Drivers!$C$38)*Supuestos!P$13</f>
        <v>32613793.6923291</v>
      </c>
      <c r="U96" s="24" t="n">
        <f aca="false">$G96*Supuestos!Q$6*(Drivers!Q$36/100)*(Drivers!Q$37/Drivers!$C$37)*(Drivers!Q$38/Drivers!$C$38)*Supuestos!Q$13</f>
        <v>32904411.6559241</v>
      </c>
      <c r="V96" s="24" t="n">
        <f aca="false">$G96*Supuestos!R$6*(Drivers!R$36/100)*(Drivers!R$37/Drivers!$C$37)*(Drivers!R$38/Drivers!$C$38)*Supuestos!R$13</f>
        <v>32523707.6130651</v>
      </c>
    </row>
    <row r="97" customFormat="false" ht="15" hidden="false" customHeight="false" outlineLevel="0" collapsed="false">
      <c r="A97" s="6" t="s">
        <v>174</v>
      </c>
      <c r="B97" s="6" t="s">
        <v>136</v>
      </c>
      <c r="C97" s="6" t="s">
        <v>140</v>
      </c>
      <c r="D97" s="6" t="s">
        <v>141</v>
      </c>
      <c r="E97" s="6" t="s">
        <v>142</v>
      </c>
      <c r="F97" s="6" t="s">
        <v>29</v>
      </c>
      <c r="G97" s="24" t="n">
        <v>-5350505.06</v>
      </c>
      <c r="H97" s="24" t="n">
        <f aca="false">$G97*Supuestos!D$10*(Drivers!D$39/Drivers!$C$39)</f>
        <v>-5671535.3636</v>
      </c>
      <c r="I97" s="24" t="n">
        <f aca="false">$G97*Supuestos!E$10*(Drivers!E$39/Drivers!$C$39)</f>
        <v>-5671535.3636</v>
      </c>
      <c r="J97" s="24" t="n">
        <f aca="false">$G97*Supuestos!F$10*(Drivers!F$39/Drivers!$C$39)</f>
        <v>-5671535.3636</v>
      </c>
      <c r="K97" s="24" t="n">
        <f aca="false">$G97*Supuestos!G$10*(Drivers!G$39/Drivers!$C$39)</f>
        <v>-5983469.808598</v>
      </c>
      <c r="L97" s="24" t="n">
        <f aca="false">$G97*Supuestos!H$10*(Drivers!H$39/Drivers!$C$39)</f>
        <v>-5983469.808598</v>
      </c>
      <c r="M97" s="24" t="n">
        <f aca="false">$G97*Supuestos!I$10*(Drivers!I$39/Drivers!$C$39)</f>
        <v>-5983469.808598</v>
      </c>
      <c r="N97" s="24" t="n">
        <f aca="false">$G97*Supuestos!J$10*(Drivers!J$39/Drivers!$C$39)</f>
        <v>-6312560.64807089</v>
      </c>
      <c r="O97" s="24" t="n">
        <f aca="false">$G97*Supuestos!K$10*(Drivers!K$39/Drivers!$C$39)</f>
        <v>-6312560.64807089</v>
      </c>
      <c r="P97" s="24" t="n">
        <f aca="false">$G97*Supuestos!L$10*(Drivers!L$39/Drivers!$C$39)</f>
        <v>-6312560.64807089</v>
      </c>
      <c r="Q97" s="24" t="n">
        <f aca="false">$G97*Supuestos!M$10*(Drivers!M$39/Drivers!$C$39)</f>
        <v>-6659751.48371479</v>
      </c>
      <c r="R97" s="24" t="n">
        <f aca="false">$G97*Supuestos!N$10*(Drivers!N$39/Drivers!$C$39)</f>
        <v>-6659751.48371479</v>
      </c>
      <c r="S97" s="24" t="n">
        <f aca="false">$G97*Supuestos!O$10*(Drivers!O$39/Drivers!$C$39)</f>
        <v>-6659751.48371479</v>
      </c>
      <c r="T97" s="24" t="n">
        <f aca="false">$G97*Supuestos!P$10*(Drivers!P$39/Drivers!$C$39)</f>
        <v>-7026037.8153191</v>
      </c>
      <c r="U97" s="24" t="n">
        <f aca="false">$G97*Supuestos!Q$10*(Drivers!Q$39/Drivers!$C$39)</f>
        <v>-7026037.8153191</v>
      </c>
      <c r="V97" s="24" t="n">
        <f aca="false">$G97*Supuestos!R$10*(Drivers!R$39/Drivers!$C$39)</f>
        <v>-7026037.8153191</v>
      </c>
    </row>
    <row r="98" customFormat="false" ht="15" hidden="false" customHeight="false" outlineLevel="0" collapsed="false">
      <c r="A98" s="6" t="s">
        <v>174</v>
      </c>
      <c r="B98" s="6" t="s">
        <v>136</v>
      </c>
      <c r="C98" s="6" t="s">
        <v>140</v>
      </c>
      <c r="D98" s="6" t="s">
        <v>141</v>
      </c>
      <c r="E98" s="6" t="s">
        <v>143</v>
      </c>
      <c r="F98" s="6" t="s">
        <v>29</v>
      </c>
      <c r="G98" s="24" t="n">
        <v>-834058.34</v>
      </c>
      <c r="H98" s="24" t="n">
        <f aca="false">$G98*Supuestos!D$10*(Drivers!D$39/Drivers!$C$39)</f>
        <v>-884101.8404</v>
      </c>
      <c r="I98" s="24" t="n">
        <f aca="false">$G98*Supuestos!E$10*(Drivers!E$39/Drivers!$C$39)</f>
        <v>-884101.8404</v>
      </c>
      <c r="J98" s="24" t="n">
        <f aca="false">$G98*Supuestos!F$10*(Drivers!F$39/Drivers!$C$39)</f>
        <v>-884101.8404</v>
      </c>
      <c r="K98" s="24" t="n">
        <f aca="false">$G98*Supuestos!G$10*(Drivers!G$39/Drivers!$C$39)</f>
        <v>-932727.441622</v>
      </c>
      <c r="L98" s="24" t="n">
        <f aca="false">$G98*Supuestos!H$10*(Drivers!H$39/Drivers!$C$39)</f>
        <v>-932727.441622</v>
      </c>
      <c r="M98" s="24" t="n">
        <f aca="false">$G98*Supuestos!I$10*(Drivers!I$39/Drivers!$C$39)</f>
        <v>-932727.441622</v>
      </c>
      <c r="N98" s="24" t="n">
        <f aca="false">$G98*Supuestos!J$10*(Drivers!J$39/Drivers!$C$39)</f>
        <v>-984027.45091121</v>
      </c>
      <c r="O98" s="24" t="n">
        <f aca="false">$G98*Supuestos!K$10*(Drivers!K$39/Drivers!$C$39)</f>
        <v>-984027.45091121</v>
      </c>
      <c r="P98" s="24" t="n">
        <f aca="false">$G98*Supuestos!L$10*(Drivers!L$39/Drivers!$C$39)</f>
        <v>-984027.45091121</v>
      </c>
      <c r="Q98" s="24" t="n">
        <f aca="false">$G98*Supuestos!M$10*(Drivers!M$39/Drivers!$C$39)</f>
        <v>-1038148.96071133</v>
      </c>
      <c r="R98" s="24" t="n">
        <f aca="false">$G98*Supuestos!N$10*(Drivers!N$39/Drivers!$C$39)</f>
        <v>-1038148.96071133</v>
      </c>
      <c r="S98" s="24" t="n">
        <f aca="false">$G98*Supuestos!O$10*(Drivers!O$39/Drivers!$C$39)</f>
        <v>-1038148.96071133</v>
      </c>
      <c r="T98" s="24" t="n">
        <f aca="false">$G98*Supuestos!P$10*(Drivers!P$39/Drivers!$C$39)</f>
        <v>-1095247.15355045</v>
      </c>
      <c r="U98" s="24" t="n">
        <f aca="false">$G98*Supuestos!Q$10*(Drivers!Q$39/Drivers!$C$39)</f>
        <v>-1095247.15355045</v>
      </c>
      <c r="V98" s="24" t="n">
        <f aca="false">$G98*Supuestos!R$10*(Drivers!R$39/Drivers!$C$39)</f>
        <v>-1095247.15355045</v>
      </c>
    </row>
    <row r="99" customFormat="false" ht="15" hidden="false" customHeight="false" outlineLevel="0" collapsed="false">
      <c r="A99" s="6" t="s">
        <v>174</v>
      </c>
      <c r="B99" s="6" t="s">
        <v>136</v>
      </c>
      <c r="C99" s="6" t="s">
        <v>140</v>
      </c>
      <c r="D99" s="6" t="s">
        <v>141</v>
      </c>
      <c r="E99" s="6" t="s">
        <v>144</v>
      </c>
      <c r="F99" s="6" t="s">
        <v>29</v>
      </c>
      <c r="G99" s="24" t="n">
        <v>-197304.13</v>
      </c>
      <c r="H99" s="24" t="n">
        <f aca="false">$G99*Supuestos!D$10*(Drivers!D$39/Drivers!$C$39)</f>
        <v>-209142.3778</v>
      </c>
      <c r="I99" s="24" t="n">
        <f aca="false">$G99*Supuestos!E$10*(Drivers!E$39/Drivers!$C$39)</f>
        <v>-209142.3778</v>
      </c>
      <c r="J99" s="24" t="n">
        <f aca="false">$G99*Supuestos!F$10*(Drivers!F$39/Drivers!$C$39)</f>
        <v>-209142.3778</v>
      </c>
      <c r="K99" s="24" t="n">
        <f aca="false">$G99*Supuestos!G$10*(Drivers!G$39/Drivers!$C$39)</f>
        <v>-220645.208579</v>
      </c>
      <c r="L99" s="24" t="n">
        <f aca="false">$G99*Supuestos!H$10*(Drivers!H$39/Drivers!$C$39)</f>
        <v>-220645.208579</v>
      </c>
      <c r="M99" s="24" t="n">
        <f aca="false">$G99*Supuestos!I$10*(Drivers!I$39/Drivers!$C$39)</f>
        <v>-220645.208579</v>
      </c>
      <c r="N99" s="24" t="n">
        <f aca="false">$G99*Supuestos!J$10*(Drivers!J$39/Drivers!$C$39)</f>
        <v>-232780.695050845</v>
      </c>
      <c r="O99" s="24" t="n">
        <f aca="false">$G99*Supuestos!K$10*(Drivers!K$39/Drivers!$C$39)</f>
        <v>-232780.695050845</v>
      </c>
      <c r="P99" s="24" t="n">
        <f aca="false">$G99*Supuestos!L$10*(Drivers!L$39/Drivers!$C$39)</f>
        <v>-232780.695050845</v>
      </c>
      <c r="Q99" s="24" t="n">
        <f aca="false">$G99*Supuestos!M$10*(Drivers!M$39/Drivers!$C$39)</f>
        <v>-245583.633278641</v>
      </c>
      <c r="R99" s="24" t="n">
        <f aca="false">$G99*Supuestos!N$10*(Drivers!N$39/Drivers!$C$39)</f>
        <v>-245583.633278641</v>
      </c>
      <c r="S99" s="24" t="n">
        <f aca="false">$G99*Supuestos!O$10*(Drivers!O$39/Drivers!$C$39)</f>
        <v>-245583.633278641</v>
      </c>
      <c r="T99" s="24" t="n">
        <f aca="false">$G99*Supuestos!P$10*(Drivers!P$39/Drivers!$C$39)</f>
        <v>-259090.733108967</v>
      </c>
      <c r="U99" s="24" t="n">
        <f aca="false">$G99*Supuestos!Q$10*(Drivers!Q$39/Drivers!$C$39)</f>
        <v>-259090.733108967</v>
      </c>
      <c r="V99" s="24" t="n">
        <f aca="false">$G99*Supuestos!R$10*(Drivers!R$39/Drivers!$C$39)</f>
        <v>-259090.733108967</v>
      </c>
    </row>
    <row r="100" customFormat="false" ht="15" hidden="false" customHeight="false" outlineLevel="0" collapsed="false">
      <c r="A100" s="6" t="s">
        <v>174</v>
      </c>
      <c r="B100" s="6" t="s">
        <v>136</v>
      </c>
      <c r="C100" s="6" t="s">
        <v>140</v>
      </c>
      <c r="D100" s="6" t="s">
        <v>141</v>
      </c>
      <c r="E100" s="6" t="s">
        <v>145</v>
      </c>
      <c r="F100" s="6" t="s">
        <v>29</v>
      </c>
      <c r="G100" s="24" t="n">
        <v>-134525.88</v>
      </c>
      <c r="H100" s="24" t="n">
        <f aca="false">$G100*Supuestos!D$10*(Drivers!D$39/Drivers!$C$39)</f>
        <v>-142597.4328</v>
      </c>
      <c r="I100" s="24" t="n">
        <f aca="false">$G100*Supuestos!E$10*(Drivers!E$39/Drivers!$C$39)</f>
        <v>-142597.4328</v>
      </c>
      <c r="J100" s="24" t="n">
        <f aca="false">$G100*Supuestos!F$10*(Drivers!F$39/Drivers!$C$39)</f>
        <v>-142597.4328</v>
      </c>
      <c r="K100" s="24" t="n">
        <f aca="false">$G100*Supuestos!G$10*(Drivers!G$39/Drivers!$C$39)</f>
        <v>-150440.291604</v>
      </c>
      <c r="L100" s="24" t="n">
        <f aca="false">$G100*Supuestos!H$10*(Drivers!H$39/Drivers!$C$39)</f>
        <v>-150440.291604</v>
      </c>
      <c r="M100" s="24" t="n">
        <f aca="false">$G100*Supuestos!I$10*(Drivers!I$39/Drivers!$C$39)</f>
        <v>-150440.291604</v>
      </c>
      <c r="N100" s="24" t="n">
        <f aca="false">$G100*Supuestos!J$10*(Drivers!J$39/Drivers!$C$39)</f>
        <v>-158714.50764222</v>
      </c>
      <c r="O100" s="24" t="n">
        <f aca="false">$G100*Supuestos!K$10*(Drivers!K$39/Drivers!$C$39)</f>
        <v>-158714.50764222</v>
      </c>
      <c r="P100" s="24" t="n">
        <f aca="false">$G100*Supuestos!L$10*(Drivers!L$39/Drivers!$C$39)</f>
        <v>-158714.50764222</v>
      </c>
      <c r="Q100" s="24" t="n">
        <f aca="false">$G100*Supuestos!M$10*(Drivers!M$39/Drivers!$C$39)</f>
        <v>-167443.805562542</v>
      </c>
      <c r="R100" s="24" t="n">
        <f aca="false">$G100*Supuestos!N$10*(Drivers!N$39/Drivers!$C$39)</f>
        <v>-167443.805562542</v>
      </c>
      <c r="S100" s="24" t="n">
        <f aca="false">$G100*Supuestos!O$10*(Drivers!O$39/Drivers!$C$39)</f>
        <v>-167443.805562542</v>
      </c>
      <c r="T100" s="24" t="n">
        <f aca="false">$G100*Supuestos!P$10*(Drivers!P$39/Drivers!$C$39)</f>
        <v>-176653.214868482</v>
      </c>
      <c r="U100" s="24" t="n">
        <f aca="false">$G100*Supuestos!Q$10*(Drivers!Q$39/Drivers!$C$39)</f>
        <v>-176653.214868482</v>
      </c>
      <c r="V100" s="24" t="n">
        <f aca="false">$G100*Supuestos!R$10*(Drivers!R$39/Drivers!$C$39)</f>
        <v>-176653.214868482</v>
      </c>
    </row>
    <row r="101" customFormat="false" ht="15" hidden="false" customHeight="false" outlineLevel="0" collapsed="false">
      <c r="A101" s="6" t="s">
        <v>174</v>
      </c>
      <c r="B101" s="6" t="s">
        <v>136</v>
      </c>
      <c r="C101" s="6" t="s">
        <v>140</v>
      </c>
      <c r="D101" s="6" t="s">
        <v>141</v>
      </c>
      <c r="E101" s="6" t="s">
        <v>146</v>
      </c>
      <c r="F101" s="6" t="s">
        <v>29</v>
      </c>
      <c r="G101" s="24" t="n">
        <v>-255598.69</v>
      </c>
      <c r="H101" s="24" t="n">
        <f aca="false">$G101*Supuestos!D$10*(Drivers!D$39/Drivers!$C$39)</f>
        <v>-270934.6114</v>
      </c>
      <c r="I101" s="24" t="n">
        <f aca="false">$G101*Supuestos!E$10*(Drivers!E$39/Drivers!$C$39)</f>
        <v>-270934.6114</v>
      </c>
      <c r="J101" s="24" t="n">
        <f aca="false">$G101*Supuestos!F$10*(Drivers!F$39/Drivers!$C$39)</f>
        <v>-270934.6114</v>
      </c>
      <c r="K101" s="24" t="n">
        <f aca="false">$G101*Supuestos!G$10*(Drivers!G$39/Drivers!$C$39)</f>
        <v>-285836.015027</v>
      </c>
      <c r="L101" s="24" t="n">
        <f aca="false">$G101*Supuestos!H$10*(Drivers!H$39/Drivers!$C$39)</f>
        <v>-285836.015027</v>
      </c>
      <c r="M101" s="24" t="n">
        <f aca="false">$G101*Supuestos!I$10*(Drivers!I$39/Drivers!$C$39)</f>
        <v>-285836.015027</v>
      </c>
      <c r="N101" s="24" t="n">
        <f aca="false">$G101*Supuestos!J$10*(Drivers!J$39/Drivers!$C$39)</f>
        <v>-301556.995853485</v>
      </c>
      <c r="O101" s="24" t="n">
        <f aca="false">$G101*Supuestos!K$10*(Drivers!K$39/Drivers!$C$39)</f>
        <v>-301556.995853485</v>
      </c>
      <c r="P101" s="24" t="n">
        <f aca="false">$G101*Supuestos!L$10*(Drivers!L$39/Drivers!$C$39)</f>
        <v>-301556.995853485</v>
      </c>
      <c r="Q101" s="24" t="n">
        <f aca="false">$G101*Supuestos!M$10*(Drivers!M$39/Drivers!$C$39)</f>
        <v>-318142.630625427</v>
      </c>
      <c r="R101" s="24" t="n">
        <f aca="false">$G101*Supuestos!N$10*(Drivers!N$39/Drivers!$C$39)</f>
        <v>-318142.630625427</v>
      </c>
      <c r="S101" s="24" t="n">
        <f aca="false">$G101*Supuestos!O$10*(Drivers!O$39/Drivers!$C$39)</f>
        <v>-318142.630625427</v>
      </c>
      <c r="T101" s="24" t="n">
        <f aca="false">$G101*Supuestos!P$10*(Drivers!P$39/Drivers!$C$39)</f>
        <v>-335640.475309825</v>
      </c>
      <c r="U101" s="24" t="n">
        <f aca="false">$G101*Supuestos!Q$10*(Drivers!Q$39/Drivers!$C$39)</f>
        <v>-335640.475309825</v>
      </c>
      <c r="V101" s="24" t="n">
        <f aca="false">$G101*Supuestos!R$10*(Drivers!R$39/Drivers!$C$39)</f>
        <v>-335640.475309825</v>
      </c>
    </row>
    <row r="102" customFormat="false" ht="15" hidden="false" customHeight="false" outlineLevel="0" collapsed="false">
      <c r="A102" s="6" t="s">
        <v>174</v>
      </c>
      <c r="B102" s="6" t="s">
        <v>136</v>
      </c>
      <c r="C102" s="6" t="s">
        <v>140</v>
      </c>
      <c r="D102" s="6" t="s">
        <v>141</v>
      </c>
      <c r="E102" s="6" t="s">
        <v>147</v>
      </c>
      <c r="F102" s="6" t="s">
        <v>29</v>
      </c>
      <c r="G102" s="24" t="n">
        <v>-286988.16</v>
      </c>
      <c r="H102" s="24" t="n">
        <f aca="false">$G102*Supuestos!D$10*(Drivers!D$39/Drivers!$C$39)</f>
        <v>-304207.4496</v>
      </c>
      <c r="I102" s="24" t="n">
        <f aca="false">$G102*Supuestos!E$10*(Drivers!E$39/Drivers!$C$39)</f>
        <v>-304207.4496</v>
      </c>
      <c r="J102" s="24" t="n">
        <f aca="false">$G102*Supuestos!F$10*(Drivers!F$39/Drivers!$C$39)</f>
        <v>-304207.4496</v>
      </c>
      <c r="K102" s="24" t="n">
        <f aca="false">$G102*Supuestos!G$10*(Drivers!G$39/Drivers!$C$39)</f>
        <v>-320938.859328</v>
      </c>
      <c r="L102" s="24" t="n">
        <f aca="false">$G102*Supuestos!H$10*(Drivers!H$39/Drivers!$C$39)</f>
        <v>-320938.859328</v>
      </c>
      <c r="M102" s="24" t="n">
        <f aca="false">$G102*Supuestos!I$10*(Drivers!I$39/Drivers!$C$39)</f>
        <v>-320938.859328</v>
      </c>
      <c r="N102" s="24" t="n">
        <f aca="false">$G102*Supuestos!J$10*(Drivers!J$39/Drivers!$C$39)</f>
        <v>-338590.49659104</v>
      </c>
      <c r="O102" s="24" t="n">
        <f aca="false">$G102*Supuestos!K$10*(Drivers!K$39/Drivers!$C$39)</f>
        <v>-338590.49659104</v>
      </c>
      <c r="P102" s="24" t="n">
        <f aca="false">$G102*Supuestos!L$10*(Drivers!L$39/Drivers!$C$39)</f>
        <v>-338590.49659104</v>
      </c>
      <c r="Q102" s="24" t="n">
        <f aca="false">$G102*Supuestos!M$10*(Drivers!M$39/Drivers!$C$39)</f>
        <v>-357212.973903547</v>
      </c>
      <c r="R102" s="24" t="n">
        <f aca="false">$G102*Supuestos!N$10*(Drivers!N$39/Drivers!$C$39)</f>
        <v>-357212.973903547</v>
      </c>
      <c r="S102" s="24" t="n">
        <f aca="false">$G102*Supuestos!O$10*(Drivers!O$39/Drivers!$C$39)</f>
        <v>-357212.973903547</v>
      </c>
      <c r="T102" s="24" t="n">
        <f aca="false">$G102*Supuestos!P$10*(Drivers!P$39/Drivers!$C$39)</f>
        <v>-376859.687468242</v>
      </c>
      <c r="U102" s="24" t="n">
        <f aca="false">$G102*Supuestos!Q$10*(Drivers!Q$39/Drivers!$C$39)</f>
        <v>-376859.687468242</v>
      </c>
      <c r="V102" s="24" t="n">
        <f aca="false">$G102*Supuestos!R$10*(Drivers!R$39/Drivers!$C$39)</f>
        <v>-376859.687468242</v>
      </c>
    </row>
    <row r="103" customFormat="false" ht="15" hidden="false" customHeight="false" outlineLevel="0" collapsed="false">
      <c r="A103" s="6" t="s">
        <v>174</v>
      </c>
      <c r="B103" s="6" t="s">
        <v>136</v>
      </c>
      <c r="C103" s="6" t="s">
        <v>140</v>
      </c>
      <c r="D103" s="6" t="s">
        <v>141</v>
      </c>
      <c r="E103" s="6" t="s">
        <v>148</v>
      </c>
      <c r="F103" s="6" t="s">
        <v>41</v>
      </c>
      <c r="G103" s="24" t="n">
        <v>-45053.23</v>
      </c>
      <c r="H103" s="24" t="n">
        <f aca="false">0</f>
        <v>0</v>
      </c>
      <c r="I103" s="24" t="n">
        <f aca="false">0</f>
        <v>0</v>
      </c>
      <c r="J103" s="24" t="n">
        <f aca="false">0</f>
        <v>0</v>
      </c>
      <c r="K103" s="24" t="n">
        <f aca="false">0</f>
        <v>0</v>
      </c>
      <c r="L103" s="24" t="n">
        <f aca="false">0</f>
        <v>0</v>
      </c>
      <c r="M103" s="24" t="n">
        <f aca="false">0</f>
        <v>0</v>
      </c>
      <c r="N103" s="24" t="n">
        <f aca="false">0</f>
        <v>0</v>
      </c>
      <c r="O103" s="24" t="n">
        <f aca="false">0</f>
        <v>0</v>
      </c>
      <c r="P103" s="24" t="n">
        <f aca="false">0</f>
        <v>0</v>
      </c>
      <c r="Q103" s="24" t="n">
        <f aca="false">0</f>
        <v>0</v>
      </c>
      <c r="R103" s="24" t="n">
        <f aca="false">0</f>
        <v>0</v>
      </c>
      <c r="S103" s="24" t="n">
        <f aca="false">0</f>
        <v>0</v>
      </c>
      <c r="T103" s="24" t="n">
        <f aca="false">0</f>
        <v>0</v>
      </c>
      <c r="U103" s="24" t="n">
        <f aca="false">0</f>
        <v>0</v>
      </c>
      <c r="V103" s="24" t="n">
        <f aca="false">0</f>
        <v>0</v>
      </c>
    </row>
    <row r="104" customFormat="false" ht="15" hidden="false" customHeight="false" outlineLevel="0" collapsed="false">
      <c r="A104" s="6" t="s">
        <v>174</v>
      </c>
      <c r="B104" s="6" t="s">
        <v>136</v>
      </c>
      <c r="C104" s="6" t="s">
        <v>140</v>
      </c>
      <c r="D104" s="6" t="s">
        <v>151</v>
      </c>
      <c r="E104" s="6" t="s">
        <v>152</v>
      </c>
      <c r="F104" s="6" t="s">
        <v>31</v>
      </c>
      <c r="G104" s="24" t="n">
        <v>-368550</v>
      </c>
      <c r="H104" s="24" t="n">
        <f aca="false">$G104*Supuestos!D$8*(Drivers!D$39/Drivers!$C$39)</f>
        <v>-377460</v>
      </c>
      <c r="I104" s="24" t="n">
        <f aca="false">$G104*Supuestos!E$8*(Drivers!E$39/Drivers!$C$39)</f>
        <v>-386640</v>
      </c>
      <c r="J104" s="24" t="n">
        <f aca="false">$G104*Supuestos!F$8*(Drivers!F$39/Drivers!$C$39)</f>
        <v>-395550</v>
      </c>
      <c r="K104" s="24" t="n">
        <f aca="false">$G104*Supuestos!G$8*(Drivers!G$39/Drivers!$C$39)</f>
        <v>-402030</v>
      </c>
      <c r="L104" s="24" t="n">
        <f aca="false">$G104*Supuestos!H$8*(Drivers!H$39/Drivers!$C$39)</f>
        <v>-408240</v>
      </c>
      <c r="M104" s="24" t="n">
        <f aca="false">$G104*Supuestos!I$8*(Drivers!I$39/Drivers!$C$39)</f>
        <v>-414720</v>
      </c>
      <c r="N104" s="24" t="n">
        <f aca="false">$G104*Supuestos!J$8*(Drivers!J$39/Drivers!$C$39)</f>
        <v>-421200</v>
      </c>
      <c r="O104" s="24" t="n">
        <f aca="false">$G104*Supuestos!K$8*(Drivers!K$39/Drivers!$C$39)</f>
        <v>-427680</v>
      </c>
      <c r="P104" s="24" t="n">
        <f aca="false">$G104*Supuestos!L$8*(Drivers!L$39/Drivers!$C$39)</f>
        <v>-434160</v>
      </c>
      <c r="Q104" s="24" t="n">
        <f aca="false">$G104*Supuestos!M$8*(Drivers!M$39/Drivers!$C$39)</f>
        <v>-440370</v>
      </c>
      <c r="R104" s="24" t="n">
        <f aca="false">$G104*Supuestos!N$8*(Drivers!N$39/Drivers!$C$39)</f>
        <v>-446850</v>
      </c>
      <c r="S104" s="24" t="n">
        <f aca="false">$G104*Supuestos!O$8*(Drivers!O$39/Drivers!$C$39)</f>
        <v>-453330</v>
      </c>
      <c r="T104" s="24" t="n">
        <f aca="false">$G104*Supuestos!P$8*(Drivers!P$39/Drivers!$C$39)</f>
        <v>-459540</v>
      </c>
      <c r="U104" s="24" t="n">
        <f aca="false">$G104*Supuestos!Q$8*(Drivers!Q$39/Drivers!$C$39)</f>
        <v>-466020</v>
      </c>
      <c r="V104" s="24" t="n">
        <f aca="false">$G104*Supuestos!R$8*(Drivers!R$39/Drivers!$C$39)</f>
        <v>-472500</v>
      </c>
    </row>
    <row r="105" customFormat="false" ht="15" hidden="false" customHeight="false" outlineLevel="0" collapsed="false">
      <c r="A105" s="6" t="s">
        <v>174</v>
      </c>
      <c r="B105" s="6" t="s">
        <v>136</v>
      </c>
      <c r="C105" s="6" t="s">
        <v>140</v>
      </c>
      <c r="D105" s="6" t="s">
        <v>153</v>
      </c>
      <c r="E105" s="6" t="s">
        <v>154</v>
      </c>
      <c r="F105" s="6" t="s">
        <v>33</v>
      </c>
      <c r="G105" s="24" t="n">
        <v>-177252.65</v>
      </c>
      <c r="H105" s="24" t="n">
        <f aca="false">$G105*Supuestos!D$6*(Drivers!D$39/Drivers!$C$39)</f>
        <v>-181329.46095</v>
      </c>
      <c r="I105" s="24" t="n">
        <f aca="false">$G105*Supuestos!E$6*(Drivers!E$39/Drivers!$C$39)</f>
        <v>-185500.03855185</v>
      </c>
      <c r="J105" s="24" t="n">
        <f aca="false">$G105*Supuestos!F$6*(Drivers!F$39/Drivers!$C$39)</f>
        <v>-189766.539438543</v>
      </c>
      <c r="K105" s="24" t="n">
        <f aca="false">$G105*Supuestos!G$6*(Drivers!G$39/Drivers!$C$39)</f>
        <v>-193372.103687875</v>
      </c>
      <c r="L105" s="24" t="n">
        <f aca="false">$G105*Supuestos!H$6*(Drivers!H$39/Drivers!$C$39)</f>
        <v>-197046.173657944</v>
      </c>
      <c r="M105" s="24" t="n">
        <f aca="false">$G105*Supuestos!I$6*(Drivers!I$39/Drivers!$C$39)</f>
        <v>-200790.050957445</v>
      </c>
      <c r="N105" s="24" t="n">
        <f aca="false">$G105*Supuestos!J$6*(Drivers!J$39/Drivers!$C$39)</f>
        <v>-204605.061925637</v>
      </c>
      <c r="O105" s="24" t="n">
        <f aca="false">$G105*Supuestos!K$6*(Drivers!K$39/Drivers!$C$39)</f>
        <v>-208492.558102224</v>
      </c>
      <c r="P105" s="24" t="n">
        <f aca="false">$G105*Supuestos!L$6*(Drivers!L$39/Drivers!$C$39)</f>
        <v>-212453.916706166</v>
      </c>
      <c r="Q105" s="24" t="n">
        <f aca="false">$G105*Supuestos!M$6*(Drivers!M$39/Drivers!$C$39)</f>
        <v>-216490.541123583</v>
      </c>
      <c r="R105" s="24" t="n">
        <f aca="false">$G105*Supuestos!N$6*(Drivers!N$39/Drivers!$C$39)</f>
        <v>-220603.861404931</v>
      </c>
      <c r="S105" s="24" t="n">
        <f aca="false">$G105*Supuestos!O$6*(Drivers!O$39/Drivers!$C$39)</f>
        <v>-224795.334771625</v>
      </c>
      <c r="T105" s="24" t="n">
        <f aca="false">$G105*Supuestos!P$6*(Drivers!P$39/Drivers!$C$39)</f>
        <v>-229066.446132286</v>
      </c>
      <c r="U105" s="24" t="n">
        <f aca="false">$G105*Supuestos!Q$6*(Drivers!Q$39/Drivers!$C$39)</f>
        <v>-233418.708608799</v>
      </c>
      <c r="V105" s="24" t="n">
        <f aca="false">$G105*Supuestos!R$6*(Drivers!R$39/Drivers!$C$39)</f>
        <v>-237853.664072366</v>
      </c>
    </row>
    <row r="106" customFormat="false" ht="15" hidden="false" customHeight="false" outlineLevel="0" collapsed="false">
      <c r="A106" s="6" t="s">
        <v>174</v>
      </c>
      <c r="B106" s="6" t="s">
        <v>136</v>
      </c>
      <c r="C106" s="6" t="s">
        <v>140</v>
      </c>
      <c r="D106" s="6" t="s">
        <v>153</v>
      </c>
      <c r="E106" s="6" t="s">
        <v>155</v>
      </c>
      <c r="F106" s="6" t="s">
        <v>33</v>
      </c>
      <c r="G106" s="24" t="n">
        <v>-45579.41</v>
      </c>
      <c r="H106" s="24" t="n">
        <f aca="false">$G106*Supuestos!D$6*(Drivers!D$39/Drivers!$C$39)</f>
        <v>-46627.73643</v>
      </c>
      <c r="I106" s="24" t="n">
        <f aca="false">$G106*Supuestos!E$6*(Drivers!E$39/Drivers!$C$39)</f>
        <v>-47700.17436789</v>
      </c>
      <c r="J106" s="24" t="n">
        <f aca="false">$G106*Supuestos!F$6*(Drivers!F$39/Drivers!$C$39)</f>
        <v>-48797.2783783515</v>
      </c>
      <c r="K106" s="24" t="n">
        <f aca="false">$G106*Supuestos!G$6*(Drivers!G$39/Drivers!$C$39)</f>
        <v>-49724.4266675401</v>
      </c>
      <c r="L106" s="24" t="n">
        <f aca="false">$G106*Supuestos!H$6*(Drivers!H$39/Drivers!$C$39)</f>
        <v>-50669.1907742234</v>
      </c>
      <c r="M106" s="24" t="n">
        <f aca="false">$G106*Supuestos!I$6*(Drivers!I$39/Drivers!$C$39)</f>
        <v>-51631.9053989336</v>
      </c>
      <c r="N106" s="24" t="n">
        <f aca="false">$G106*Supuestos!J$6*(Drivers!J$39/Drivers!$C$39)</f>
        <v>-52612.9116015134</v>
      </c>
      <c r="O106" s="24" t="n">
        <f aca="false">$G106*Supuestos!K$6*(Drivers!K$39/Drivers!$C$39)</f>
        <v>-53612.5569219421</v>
      </c>
      <c r="P106" s="24" t="n">
        <f aca="false">$G106*Supuestos!L$6*(Drivers!L$39/Drivers!$C$39)</f>
        <v>-54631.195503459</v>
      </c>
      <c r="Q106" s="24" t="n">
        <f aca="false">$G106*Supuestos!M$6*(Drivers!M$39/Drivers!$C$39)</f>
        <v>-55669.1882180247</v>
      </c>
      <c r="R106" s="24" t="n">
        <f aca="false">$G106*Supuestos!N$6*(Drivers!N$39/Drivers!$C$39)</f>
        <v>-56726.9027941672</v>
      </c>
      <c r="S106" s="24" t="n">
        <f aca="false">$G106*Supuestos!O$6*(Drivers!O$39/Drivers!$C$39)</f>
        <v>-57804.7139472564</v>
      </c>
      <c r="T106" s="24" t="n">
        <f aca="false">$G106*Supuestos!P$6*(Drivers!P$39/Drivers!$C$39)</f>
        <v>-58903.0035122542</v>
      </c>
      <c r="U106" s="24" t="n">
        <f aca="false">$G106*Supuestos!Q$6*(Drivers!Q$39/Drivers!$C$39)</f>
        <v>-60022.160578987</v>
      </c>
      <c r="V106" s="24" t="n">
        <f aca="false">$G106*Supuestos!R$6*(Drivers!R$39/Drivers!$C$39)</f>
        <v>-61162.5816299878</v>
      </c>
    </row>
    <row r="107" customFormat="false" ht="15" hidden="false" customHeight="false" outlineLevel="0" collapsed="false">
      <c r="A107" s="6" t="s">
        <v>174</v>
      </c>
      <c r="B107" s="6" t="s">
        <v>136</v>
      </c>
      <c r="C107" s="6" t="s">
        <v>140</v>
      </c>
      <c r="D107" s="6" t="s">
        <v>153</v>
      </c>
      <c r="E107" s="6" t="s">
        <v>156</v>
      </c>
      <c r="F107" s="6" t="s">
        <v>33</v>
      </c>
      <c r="G107" s="24" t="n">
        <v>-30386.5</v>
      </c>
      <c r="H107" s="24" t="n">
        <f aca="false">$G107*Supuestos!D$6*(Drivers!D$39/Drivers!$C$39)</f>
        <v>-31085.3895</v>
      </c>
      <c r="I107" s="24" t="n">
        <f aca="false">$G107*Supuestos!E$6*(Drivers!E$39/Drivers!$C$39)</f>
        <v>-31800.3534585</v>
      </c>
      <c r="J107" s="24" t="n">
        <f aca="false">$G107*Supuestos!F$6*(Drivers!F$39/Drivers!$C$39)</f>
        <v>-32531.7615880455</v>
      </c>
      <c r="K107" s="24" t="n">
        <f aca="false">$G107*Supuestos!G$6*(Drivers!G$39/Drivers!$C$39)</f>
        <v>-33149.8650582184</v>
      </c>
      <c r="L107" s="24" t="n">
        <f aca="false">$G107*Supuestos!H$6*(Drivers!H$39/Drivers!$C$39)</f>
        <v>-33779.7124943245</v>
      </c>
      <c r="M107" s="24" t="n">
        <f aca="false">$G107*Supuestos!I$6*(Drivers!I$39/Drivers!$C$39)</f>
        <v>-34421.5270317167</v>
      </c>
      <c r="N107" s="24" t="n">
        <f aca="false">$G107*Supuestos!J$6*(Drivers!J$39/Drivers!$C$39)</f>
        <v>-35075.5360453193</v>
      </c>
      <c r="O107" s="24" t="n">
        <f aca="false">$G107*Supuestos!K$6*(Drivers!K$39/Drivers!$C$39)</f>
        <v>-35741.9712301803</v>
      </c>
      <c r="P107" s="24" t="n">
        <f aca="false">$G107*Supuestos!L$6*(Drivers!L$39/Drivers!$C$39)</f>
        <v>-36421.0686835538</v>
      </c>
      <c r="Q107" s="24" t="n">
        <f aca="false">$G107*Supuestos!M$6*(Drivers!M$39/Drivers!$C$39)</f>
        <v>-37113.0689885413</v>
      </c>
      <c r="R107" s="24" t="n">
        <f aca="false">$G107*Supuestos!N$6*(Drivers!N$39/Drivers!$C$39)</f>
        <v>-37818.2172993236</v>
      </c>
      <c r="S107" s="24" t="n">
        <f aca="false">$G107*Supuestos!O$6*(Drivers!O$39/Drivers!$C$39)</f>
        <v>-38536.7634280107</v>
      </c>
      <c r="T107" s="24" t="n">
        <f aca="false">$G107*Supuestos!P$6*(Drivers!P$39/Drivers!$C$39)</f>
        <v>-39268.9619331429</v>
      </c>
      <c r="U107" s="24" t="n">
        <f aca="false">$G107*Supuestos!Q$6*(Drivers!Q$39/Drivers!$C$39)</f>
        <v>-40015.0722098726</v>
      </c>
      <c r="V107" s="24" t="n">
        <f aca="false">$G107*Supuestos!R$6*(Drivers!R$39/Drivers!$C$39)</f>
        <v>-40775.3585818602</v>
      </c>
    </row>
    <row r="108" customFormat="false" ht="15" hidden="false" customHeight="false" outlineLevel="0" collapsed="false">
      <c r="A108" s="6" t="s">
        <v>174</v>
      </c>
      <c r="B108" s="6" t="s">
        <v>136</v>
      </c>
      <c r="C108" s="6" t="s">
        <v>140</v>
      </c>
      <c r="D108" s="6" t="s">
        <v>157</v>
      </c>
      <c r="E108" s="6" t="s">
        <v>158</v>
      </c>
      <c r="F108" s="6" t="s">
        <v>39</v>
      </c>
      <c r="G108" s="24" t="n">
        <v>-1534010.12</v>
      </c>
      <c r="H108" s="24" t="n">
        <f aca="false">$G108*Supuestos!D$12*(Drivers!D$36/100)</f>
        <v>-1569292.35276</v>
      </c>
      <c r="I108" s="24" t="n">
        <f aca="false">$G108*Supuestos!E$12*(Drivers!E$36/100)</f>
        <v>-1605386.07687348</v>
      </c>
      <c r="J108" s="24" t="n">
        <f aca="false">$G108*Supuestos!F$12*(Drivers!F$36/100)</f>
        <v>-1642309.95664157</v>
      </c>
      <c r="K108" s="24" t="n">
        <f aca="false">$G108*Supuestos!G$12*(Drivers!G$36/100)</f>
        <v>-1673513.84581776</v>
      </c>
      <c r="L108" s="24" t="n">
        <f aca="false">$G108*Supuestos!H$12*(Drivers!H$36/100)</f>
        <v>-1705310.6088883</v>
      </c>
      <c r="M108" s="24" t="n">
        <f aca="false">$G108*Supuestos!I$12*(Drivers!I$36/100)</f>
        <v>-1737711.51045717</v>
      </c>
      <c r="N108" s="24" t="n">
        <f aca="false">$G108*Supuestos!J$12*(Drivers!J$36/100)</f>
        <v>-1770728.02915586</v>
      </c>
      <c r="O108" s="24" t="n">
        <f aca="false">$G108*Supuestos!K$12*(Drivers!K$36/100)</f>
        <v>-1804371.86170982</v>
      </c>
      <c r="P108" s="24" t="n">
        <f aca="false">$G108*Supuestos!L$12*(Drivers!L$36/100)</f>
        <v>-1838654.92708231</v>
      </c>
      <c r="Q108" s="24" t="n">
        <f aca="false">$G108*Supuestos!M$12*(Drivers!M$36/100)</f>
        <v>-1873589.37069687</v>
      </c>
      <c r="R108" s="24" t="n">
        <f aca="false">$G108*Supuestos!N$12*(Drivers!N$36/100)</f>
        <v>-1909187.56874011</v>
      </c>
      <c r="S108" s="24" t="n">
        <f aca="false">$G108*Supuestos!O$12*(Drivers!O$36/100)</f>
        <v>-1945462.13254617</v>
      </c>
      <c r="T108" s="24" t="n">
        <f aca="false">$G108*Supuestos!P$12*(Drivers!P$36/100)</f>
        <v>-1982425.91306455</v>
      </c>
      <c r="U108" s="24" t="n">
        <f aca="false">$G108*Supuestos!Q$12*(Drivers!Q$36/100)</f>
        <v>-2020092.00541278</v>
      </c>
      <c r="V108" s="24" t="n">
        <f aca="false">$G108*Supuestos!R$12*(Drivers!R$36/100)</f>
        <v>-2058473.75351562</v>
      </c>
    </row>
    <row r="109" customFormat="false" ht="15" hidden="false" customHeight="false" outlineLevel="0" collapsed="false">
      <c r="A109" s="6" t="s">
        <v>174</v>
      </c>
      <c r="B109" s="6" t="s">
        <v>136</v>
      </c>
      <c r="C109" s="6" t="s">
        <v>140</v>
      </c>
      <c r="D109" s="6" t="s">
        <v>159</v>
      </c>
      <c r="E109" s="6" t="s">
        <v>160</v>
      </c>
      <c r="F109" s="6" t="s">
        <v>37</v>
      </c>
      <c r="G109" s="24" t="n">
        <v>-710217.31</v>
      </c>
      <c r="H109" s="24" t="n">
        <f aca="false">$G109*Supuestos!D$6*(Drivers!D$36/100)</f>
        <v>-726552.30813</v>
      </c>
      <c r="I109" s="24" t="n">
        <f aca="false">$G109*Supuestos!E$6*(Drivers!E$36/100)</f>
        <v>-743263.01121699</v>
      </c>
      <c r="J109" s="24" t="n">
        <f aca="false">$G109*Supuestos!F$6*(Drivers!F$36/100)</f>
        <v>-760358.060474981</v>
      </c>
      <c r="K109" s="24" t="n">
        <f aca="false">$G109*Supuestos!G$6*(Drivers!G$36/100)</f>
        <v>-774804.863624005</v>
      </c>
      <c r="L109" s="24" t="n">
        <f aca="false">$G109*Supuestos!H$6*(Drivers!H$36/100)</f>
        <v>-789526.156032861</v>
      </c>
      <c r="M109" s="24" t="n">
        <f aca="false">$G109*Supuestos!I$6*(Drivers!I$36/100)</f>
        <v>-804527.152997485</v>
      </c>
      <c r="N109" s="24" t="n">
        <f aca="false">$G109*Supuestos!J$6*(Drivers!J$36/100)</f>
        <v>-819813.168904438</v>
      </c>
      <c r="O109" s="24" t="n">
        <f aca="false">$G109*Supuestos!K$6*(Drivers!K$36/100)</f>
        <v>-835389.619113622</v>
      </c>
      <c r="P109" s="24" t="n">
        <f aca="false">$G109*Supuestos!L$6*(Drivers!L$36/100)</f>
        <v>-851262.02187678</v>
      </c>
      <c r="Q109" s="24" t="n">
        <f aca="false">$G109*Supuestos!M$6*(Drivers!M$36/100)</f>
        <v>-867436.000292439</v>
      </c>
      <c r="R109" s="24" t="n">
        <f aca="false">$G109*Supuestos!N$6*(Drivers!N$36/100)</f>
        <v>-883917.284297995</v>
      </c>
      <c r="S109" s="24" t="n">
        <f aca="false">$G109*Supuestos!O$6*(Drivers!O$36/100)</f>
        <v>-900711.712699657</v>
      </c>
      <c r="T109" s="24" t="n">
        <f aca="false">$G109*Supuestos!P$6*(Drivers!P$36/100)</f>
        <v>-917825.235240951</v>
      </c>
      <c r="U109" s="24" t="n">
        <f aca="false">$G109*Supuestos!Q$6*(Drivers!Q$36/100)</f>
        <v>-935263.914710529</v>
      </c>
      <c r="V109" s="24" t="n">
        <f aca="false">$G109*Supuestos!R$6*(Drivers!R$36/100)</f>
        <v>-953033.929090029</v>
      </c>
    </row>
    <row r="110" customFormat="false" ht="15" hidden="false" customHeight="false" outlineLevel="0" collapsed="false">
      <c r="A110" s="6" t="s">
        <v>174</v>
      </c>
      <c r="B110" s="6" t="s">
        <v>136</v>
      </c>
      <c r="C110" s="6" t="s">
        <v>140</v>
      </c>
      <c r="D110" s="6" t="s">
        <v>161</v>
      </c>
      <c r="E110" s="6" t="s">
        <v>162</v>
      </c>
      <c r="F110" s="6" t="s">
        <v>35</v>
      </c>
      <c r="G110" s="24" t="n">
        <v>-477998.18</v>
      </c>
      <c r="H110" s="24" t="n">
        <f aca="false">$G110*Supuestos!D$8*(Drivers!D$36/100)</f>
        <v>-489554.179956044</v>
      </c>
      <c r="I110" s="24" t="n">
        <f aca="false">$G110*Supuestos!E$8*(Drivers!E$36/100)</f>
        <v>-501460.361728938</v>
      </c>
      <c r="J110" s="24" t="n">
        <f aca="false">$G110*Supuestos!F$8*(Drivers!F$36/100)</f>
        <v>-513016.361684982</v>
      </c>
      <c r="K110" s="24" t="n">
        <f aca="false">$G110*Supuestos!G$8*(Drivers!G$36/100)</f>
        <v>-521420.725289377</v>
      </c>
      <c r="L110" s="24" t="n">
        <f aca="false">$G110*Supuestos!H$8*(Drivers!H$36/100)</f>
        <v>-529474.907076923</v>
      </c>
      <c r="M110" s="24" t="n">
        <f aca="false">$G110*Supuestos!I$8*(Drivers!I$36/100)</f>
        <v>-537879.270681319</v>
      </c>
      <c r="N110" s="24" t="n">
        <f aca="false">$G110*Supuestos!J$8*(Drivers!J$36/100)</f>
        <v>-546283.634285714</v>
      </c>
      <c r="O110" s="24" t="n">
        <f aca="false">$G110*Supuestos!K$8*(Drivers!K$36/100)</f>
        <v>-554687.99789011</v>
      </c>
      <c r="P110" s="24" t="n">
        <f aca="false">$G110*Supuestos!L$8*(Drivers!L$36/100)</f>
        <v>-563092.361494506</v>
      </c>
      <c r="Q110" s="24" t="n">
        <f aca="false">$G110*Supuestos!M$8*(Drivers!M$36/100)</f>
        <v>-571146.543282051</v>
      </c>
      <c r="R110" s="24" t="n">
        <f aca="false">$G110*Supuestos!N$8*(Drivers!N$36/100)</f>
        <v>-579550.906886447</v>
      </c>
      <c r="S110" s="24" t="n">
        <f aca="false">$G110*Supuestos!O$8*(Drivers!O$36/100)</f>
        <v>-587955.270490843</v>
      </c>
      <c r="T110" s="24" t="n">
        <f aca="false">$G110*Supuestos!P$8*(Drivers!P$36/100)</f>
        <v>-596009.452278388</v>
      </c>
      <c r="U110" s="24" t="n">
        <f aca="false">$G110*Supuestos!Q$8*(Drivers!Q$36/100)</f>
        <v>-604413.815882784</v>
      </c>
      <c r="V110" s="24" t="n">
        <f aca="false">$G110*Supuestos!R$8*(Drivers!R$36/100)</f>
        <v>-612818.17948718</v>
      </c>
    </row>
    <row r="111" customFormat="false" ht="15" hidden="false" customHeight="false" outlineLevel="0" collapsed="false">
      <c r="A111" s="6" t="s">
        <v>174</v>
      </c>
      <c r="B111" s="6" t="s">
        <v>136</v>
      </c>
      <c r="C111" s="6" t="s">
        <v>167</v>
      </c>
      <c r="D111" s="6" t="s">
        <v>168</v>
      </c>
      <c r="E111" s="6" t="s">
        <v>169</v>
      </c>
      <c r="F111" s="6" t="s">
        <v>27</v>
      </c>
      <c r="G111" s="24" t="n">
        <v>-749604.9</v>
      </c>
      <c r="H111" s="24" t="n">
        <f aca="false">$G111*Supuestos!D$6*(Drivers!D$36/100)*(Drivers!D$37/Drivers!$C$37)*(Drivers!D$38/Drivers!$C$38)*Supuestos!D$13</f>
        <v>-774514.270827</v>
      </c>
      <c r="I111" s="24" t="n">
        <f aca="false">$G111*Supuestos!E$6*(Drivers!E$36/100)*(Drivers!E$37/Drivers!$C$37)*(Drivers!E$38/Drivers!$C$38)*Supuestos!E$13</f>
        <v>-784483.2663921</v>
      </c>
      <c r="J111" s="24" t="n">
        <f aca="false">$G111*Supuestos!F$6*(Drivers!F$36/100)*(Drivers!F$37/Drivers!$C$37)*(Drivers!F$38/Drivers!$C$38)*Supuestos!F$13</f>
        <v>-778450.590073545</v>
      </c>
      <c r="K111" s="24" t="n">
        <f aca="false">$G111*Supuestos!G$6*(Drivers!G$36/100)*(Drivers!G$37/Drivers!$C$37)*(Drivers!G$38/Drivers!$C$38)*Supuestos!G$13</f>
        <v>-785063.407457262</v>
      </c>
      <c r="L111" s="24" t="n">
        <f aca="false">$G111*Supuestos!H$6*(Drivers!H$36/100)*(Drivers!H$37/Drivers!$C$37)*(Drivers!H$38/Drivers!$C$38)*Supuestos!H$13</f>
        <v>-808312.733159356</v>
      </c>
      <c r="M111" s="24" t="n">
        <f aca="false">$G111*Supuestos!I$6*(Drivers!I$36/100)*(Drivers!I$37/Drivers!$C$37)*(Drivers!I$38/Drivers!$C$38)*Supuestos!I$13</f>
        <v>-874619.376641304</v>
      </c>
      <c r="N111" s="24" t="n">
        <f aca="false">$G111*Supuestos!J$6*(Drivers!J$36/100)*(Drivers!J$37/Drivers!$C$37)*(Drivers!J$38/Drivers!$C$38)*Supuestos!J$13</f>
        <v>-873931.569170353</v>
      </c>
      <c r="O111" s="24" t="n">
        <f aca="false">$G111*Supuestos!K$6*(Drivers!K$36/100)*(Drivers!K$37/Drivers!$C$37)*(Drivers!K$38/Drivers!$C$38)*Supuestos!K$13</f>
        <v>-881719.078202564</v>
      </c>
      <c r="P111" s="24" t="n">
        <f aca="false">$G111*Supuestos!L$6*(Drivers!L$36/100)*(Drivers!L$37/Drivers!$C$37)*(Drivers!L$38/Drivers!$C$38)*Supuestos!L$13</f>
        <v>-889487.023281528</v>
      </c>
      <c r="Q111" s="24" t="n">
        <f aca="false">$G111*Supuestos!M$6*(Drivers!M$36/100)*(Drivers!M$37/Drivers!$C$37)*(Drivers!M$38/Drivers!$C$38)*Supuestos!M$13</f>
        <v>-915542.703761492</v>
      </c>
      <c r="R111" s="24" t="n">
        <f aca="false">$G111*Supuestos!N$6*(Drivers!N$36/100)*(Drivers!N$37/Drivers!$C$37)*(Drivers!N$38/Drivers!$C$38)*Supuestos!N$13</f>
        <v>-942267.39528429</v>
      </c>
      <c r="S111" s="24" t="n">
        <f aca="false">$G111*Supuestos!O$6*(Drivers!O$36/100)*(Drivers!O$37/Drivers!$C$37)*(Drivers!O$38/Drivers!$C$38)*Supuestos!O$13</f>
        <v>-969677.114168896</v>
      </c>
      <c r="T111" s="24" t="n">
        <f aca="false">$G111*Supuestos!P$6*(Drivers!P$36/100)*(Drivers!P$37/Drivers!$C$37)*(Drivers!P$38/Drivers!$C$38)*Supuestos!P$13</f>
        <v>-978413.71483479</v>
      </c>
      <c r="U111" s="24" t="n">
        <f aca="false">$G111*Supuestos!Q$6*(Drivers!Q$36/100)*(Drivers!Q$37/Drivers!$C$37)*(Drivers!Q$38/Drivers!$C$38)*Supuestos!Q$13</f>
        <v>-987132.252887774</v>
      </c>
      <c r="V111" s="24" t="n">
        <f aca="false">$G111*Supuestos!R$6*(Drivers!R$36/100)*(Drivers!R$37/Drivers!$C$37)*(Drivers!R$38/Drivers!$C$38)*Supuestos!R$13</f>
        <v>-975711.132721862</v>
      </c>
    </row>
    <row r="112" customFormat="false" ht="15" hidden="false" customHeight="false" outlineLevel="0" collapsed="false">
      <c r="A112" s="6" t="s">
        <v>175</v>
      </c>
      <c r="B112" s="6" t="s">
        <v>176</v>
      </c>
      <c r="C112" s="6" t="s">
        <v>137</v>
      </c>
      <c r="D112" s="6" t="s">
        <v>138</v>
      </c>
      <c r="E112" s="6" t="s">
        <v>139</v>
      </c>
      <c r="F112" s="6" t="s">
        <v>25</v>
      </c>
      <c r="G112" s="24" t="n">
        <v>18827090.5</v>
      </c>
      <c r="H112" s="24" t="n">
        <f aca="false">$G112*Supuestos!D$8*(Drivers!D$42/100)*(Drivers!D$43/Drivers!$C$43)*(Drivers!D$44/Drivers!$C$44)*Supuestos!D$13</f>
        <v>19475073.438967</v>
      </c>
      <c r="I112" s="24" t="n">
        <f aca="false">$G112*Supuestos!E$8*(Drivers!E$42/100)*(Drivers!E$43/Drivers!$C$43)*(Drivers!E$44/Drivers!$C$44)*Supuestos!E$13</f>
        <v>19751204.0996337</v>
      </c>
      <c r="J112" s="24" t="n">
        <f aca="false">$G112*Supuestos!F$8*(Drivers!F$42/100)*(Drivers!F$43/Drivers!$C$43)*(Drivers!F$44/Drivers!$C$44)*Supuestos!F$13</f>
        <v>19600173.5934249</v>
      </c>
      <c r="K112" s="24" t="n">
        <f aca="false">$G112*Supuestos!G$8*(Drivers!G$42/100)*(Drivers!G$43/Drivers!$C$43)*(Drivers!G$44/Drivers!$C$44)*Supuestos!G$13</f>
        <v>19715894.6844835</v>
      </c>
      <c r="L112" s="24" t="n">
        <f aca="false">$G112*Supuestos!H$8*(Drivers!H$42/100)*(Drivers!H$43/Drivers!$C$43)*(Drivers!H$44/Drivers!$C$44)*Supuestos!H$13</f>
        <v>20228984.6233846</v>
      </c>
      <c r="M112" s="24" t="n">
        <f aca="false">$G112*Supuestos!I$8*(Drivers!I$42/100)*(Drivers!I$43/Drivers!$C$43)*(Drivers!I$44/Drivers!$C$44)*Supuestos!I$13</f>
        <v>21821218.5628132</v>
      </c>
      <c r="N112" s="24" t="n">
        <f aca="false">$G112*Supuestos!J$8*(Drivers!J$42/100)*(Drivers!J$43/Drivers!$C$43)*(Drivers!J$44/Drivers!$C$44)*Supuestos!J$13</f>
        <v>21731841.6057143</v>
      </c>
      <c r="O112" s="24" t="n">
        <f aca="false">$G112*Supuestos!K$8*(Drivers!K$42/100)*(Drivers!K$43/Drivers!$C$43)*(Drivers!K$44/Drivers!$C$44)*Supuestos!K$13</f>
        <v>21847700.6241758</v>
      </c>
      <c r="P112" s="24" t="n">
        <f aca="false">$G112*Supuestos!L$8*(Drivers!L$42/100)*(Drivers!L$43/Drivers!$C$43)*(Drivers!L$44/Drivers!$C$44)*Supuestos!L$13</f>
        <v>21956939.1272967</v>
      </c>
      <c r="Q112" s="24" t="n">
        <f aca="false">$G112*Supuestos!M$8*(Drivers!M$42/100)*(Drivers!M$43/Drivers!$C$43)*(Drivers!M$44/Drivers!$C$44)*Supuestos!M$13</f>
        <v>22495959.4179487</v>
      </c>
      <c r="R112" s="24" t="n">
        <f aca="false">$G112*Supuestos!N$8*(Drivers!N$42/100)*(Drivers!N$43/Drivers!$C$43)*(Drivers!N$44/Drivers!$C$44)*Supuestos!N$13</f>
        <v>23055255.0368315</v>
      </c>
      <c r="S112" s="24" t="n">
        <f aca="false">$G112*Supuestos!O$8*(Drivers!O$42/100)*(Drivers!O$43/Drivers!$C$43)*(Drivers!O$44/Drivers!$C$44)*Supuestos!O$13</f>
        <v>23621171.1710549</v>
      </c>
      <c r="T112" s="24" t="n">
        <f aca="false">$G112*Supuestos!P$8*(Drivers!P$42/100)*(Drivers!P$43/Drivers!$C$43)*(Drivers!P$44/Drivers!$C$44)*Supuestos!P$13</f>
        <v>23709996.4185421</v>
      </c>
      <c r="U112" s="24" t="n">
        <f aca="false">$G112*Supuestos!Q$8*(Drivers!Q$42/100)*(Drivers!Q$43/Drivers!$C$43)*(Drivers!Q$44/Drivers!$C$44)*Supuestos!Q$13</f>
        <v>23806269.7457875</v>
      </c>
      <c r="V112" s="24" t="n">
        <f aca="false">$G112*Supuestos!R$8*(Drivers!R$42/100)*(Drivers!R$43/Drivers!$C$43)*(Drivers!R$44/Drivers!$C$44)*Supuestos!R$13</f>
        <v>23413176.6474359</v>
      </c>
    </row>
    <row r="113" customFormat="false" ht="15" hidden="false" customHeight="false" outlineLevel="0" collapsed="false">
      <c r="A113" s="6" t="s">
        <v>175</v>
      </c>
      <c r="B113" s="6" t="s">
        <v>176</v>
      </c>
      <c r="C113" s="6" t="s">
        <v>140</v>
      </c>
      <c r="D113" s="6" t="s">
        <v>141</v>
      </c>
      <c r="E113" s="6" t="s">
        <v>142</v>
      </c>
      <c r="F113" s="6" t="s">
        <v>29</v>
      </c>
      <c r="G113" s="24" t="n">
        <v>-3552967.33</v>
      </c>
      <c r="H113" s="24" t="n">
        <f aca="false">$G113*Supuestos!D$10*(Drivers!D$45/Drivers!$C$45)</f>
        <v>-3766145.3698</v>
      </c>
      <c r="I113" s="24" t="n">
        <f aca="false">$G113*Supuestos!E$10*(Drivers!E$45/Drivers!$C$45)</f>
        <v>-3766145.3698</v>
      </c>
      <c r="J113" s="24" t="n">
        <f aca="false">$G113*Supuestos!F$10*(Drivers!F$45/Drivers!$C$45)</f>
        <v>-3766145.3698</v>
      </c>
      <c r="K113" s="24" t="n">
        <f aca="false">$G113*Supuestos!G$10*(Drivers!G$45/Drivers!$C$45)</f>
        <v>-3973283.365139</v>
      </c>
      <c r="L113" s="24" t="n">
        <f aca="false">$G113*Supuestos!H$10*(Drivers!H$45/Drivers!$C$45)</f>
        <v>-3973283.365139</v>
      </c>
      <c r="M113" s="24" t="n">
        <f aca="false">$G113*Supuestos!I$10*(Drivers!I$45/Drivers!$C$45)</f>
        <v>-3973283.365139</v>
      </c>
      <c r="N113" s="24" t="n">
        <f aca="false">$G113*Supuestos!J$10*(Drivers!J$45/Drivers!$C$45)</f>
        <v>-4191813.95022165</v>
      </c>
      <c r="O113" s="24" t="n">
        <f aca="false">$G113*Supuestos!K$10*(Drivers!K$45/Drivers!$C$45)</f>
        <v>-4191813.95022165</v>
      </c>
      <c r="P113" s="24" t="n">
        <f aca="false">$G113*Supuestos!L$10*(Drivers!L$45/Drivers!$C$45)</f>
        <v>-4191813.95022165</v>
      </c>
      <c r="Q113" s="24" t="n">
        <f aca="false">$G113*Supuestos!M$10*(Drivers!M$45/Drivers!$C$45)</f>
        <v>-4422363.71748384</v>
      </c>
      <c r="R113" s="24" t="n">
        <f aca="false">$G113*Supuestos!N$10*(Drivers!N$45/Drivers!$C$45)</f>
        <v>-4422363.71748384</v>
      </c>
      <c r="S113" s="24" t="n">
        <f aca="false">$G113*Supuestos!O$10*(Drivers!O$45/Drivers!$C$45)</f>
        <v>-4422363.71748384</v>
      </c>
      <c r="T113" s="24" t="n">
        <f aca="false">$G113*Supuestos!P$10*(Drivers!P$45/Drivers!$C$45)</f>
        <v>-4665593.72194545</v>
      </c>
      <c r="U113" s="24" t="n">
        <f aca="false">$G113*Supuestos!Q$10*(Drivers!Q$45/Drivers!$C$45)</f>
        <v>-4665593.72194545</v>
      </c>
      <c r="V113" s="24" t="n">
        <f aca="false">$G113*Supuestos!R$10*(Drivers!R$45/Drivers!$C$45)</f>
        <v>-4665593.72194545</v>
      </c>
    </row>
    <row r="114" customFormat="false" ht="15" hidden="false" customHeight="false" outlineLevel="0" collapsed="false">
      <c r="A114" s="6" t="s">
        <v>175</v>
      </c>
      <c r="B114" s="6" t="s">
        <v>176</v>
      </c>
      <c r="C114" s="6" t="s">
        <v>140</v>
      </c>
      <c r="D114" s="6" t="s">
        <v>141</v>
      </c>
      <c r="E114" s="6" t="s">
        <v>143</v>
      </c>
      <c r="F114" s="6" t="s">
        <v>29</v>
      </c>
      <c r="G114" s="24" t="n">
        <v>-556038.89</v>
      </c>
      <c r="H114" s="24" t="n">
        <f aca="false">$G114*Supuestos!D$10*(Drivers!D$45/Drivers!$C$45)</f>
        <v>-589401.2234</v>
      </c>
      <c r="I114" s="24" t="n">
        <f aca="false">$G114*Supuestos!E$10*(Drivers!E$45/Drivers!$C$45)</f>
        <v>-589401.2234</v>
      </c>
      <c r="J114" s="24" t="n">
        <f aca="false">$G114*Supuestos!F$10*(Drivers!F$45/Drivers!$C$45)</f>
        <v>-589401.2234</v>
      </c>
      <c r="K114" s="24" t="n">
        <f aca="false">$G114*Supuestos!G$10*(Drivers!G$45/Drivers!$C$45)</f>
        <v>-621818.290687</v>
      </c>
      <c r="L114" s="24" t="n">
        <f aca="false">$G114*Supuestos!H$10*(Drivers!H$45/Drivers!$C$45)</f>
        <v>-621818.290687</v>
      </c>
      <c r="M114" s="24" t="n">
        <f aca="false">$G114*Supuestos!I$10*(Drivers!I$45/Drivers!$C$45)</f>
        <v>-621818.290687</v>
      </c>
      <c r="N114" s="24" t="n">
        <f aca="false">$G114*Supuestos!J$10*(Drivers!J$45/Drivers!$C$45)</f>
        <v>-656018.296674785</v>
      </c>
      <c r="O114" s="24" t="n">
        <f aca="false">$G114*Supuestos!K$10*(Drivers!K$45/Drivers!$C$45)</f>
        <v>-656018.296674785</v>
      </c>
      <c r="P114" s="24" t="n">
        <f aca="false">$G114*Supuestos!L$10*(Drivers!L$45/Drivers!$C$45)</f>
        <v>-656018.296674785</v>
      </c>
      <c r="Q114" s="24" t="n">
        <f aca="false">$G114*Supuestos!M$10*(Drivers!M$45/Drivers!$C$45)</f>
        <v>-692099.302991898</v>
      </c>
      <c r="R114" s="24" t="n">
        <f aca="false">$G114*Supuestos!N$10*(Drivers!N$45/Drivers!$C$45)</f>
        <v>-692099.302991898</v>
      </c>
      <c r="S114" s="24" t="n">
        <f aca="false">$G114*Supuestos!O$10*(Drivers!O$45/Drivers!$C$45)</f>
        <v>-692099.302991898</v>
      </c>
      <c r="T114" s="24" t="n">
        <f aca="false">$G114*Supuestos!P$10*(Drivers!P$45/Drivers!$C$45)</f>
        <v>-730164.764656453</v>
      </c>
      <c r="U114" s="24" t="n">
        <f aca="false">$G114*Supuestos!Q$10*(Drivers!Q$45/Drivers!$C$45)</f>
        <v>-730164.764656453</v>
      </c>
      <c r="V114" s="24" t="n">
        <f aca="false">$G114*Supuestos!R$10*(Drivers!R$45/Drivers!$C$45)</f>
        <v>-730164.764656453</v>
      </c>
    </row>
    <row r="115" customFormat="false" ht="15" hidden="false" customHeight="false" outlineLevel="0" collapsed="false">
      <c r="A115" s="6" t="s">
        <v>175</v>
      </c>
      <c r="B115" s="6" t="s">
        <v>176</v>
      </c>
      <c r="C115" s="6" t="s">
        <v>140</v>
      </c>
      <c r="D115" s="6" t="s">
        <v>141</v>
      </c>
      <c r="E115" s="6" t="s">
        <v>144</v>
      </c>
      <c r="F115" s="6" t="s">
        <v>29</v>
      </c>
      <c r="G115" s="24" t="n">
        <v>-131535.97</v>
      </c>
      <c r="H115" s="24" t="n">
        <f aca="false">$G115*Supuestos!D$10*(Drivers!D$45/Drivers!$C$45)</f>
        <v>-139428.1282</v>
      </c>
      <c r="I115" s="24" t="n">
        <f aca="false">$G115*Supuestos!E$10*(Drivers!E$45/Drivers!$C$45)</f>
        <v>-139428.1282</v>
      </c>
      <c r="J115" s="24" t="n">
        <f aca="false">$G115*Supuestos!F$10*(Drivers!F$45/Drivers!$C$45)</f>
        <v>-139428.1282</v>
      </c>
      <c r="K115" s="24" t="n">
        <f aca="false">$G115*Supuestos!G$10*(Drivers!G$45/Drivers!$C$45)</f>
        <v>-147096.675251</v>
      </c>
      <c r="L115" s="24" t="n">
        <f aca="false">$G115*Supuestos!H$10*(Drivers!H$45/Drivers!$C$45)</f>
        <v>-147096.675251</v>
      </c>
      <c r="M115" s="24" t="n">
        <f aca="false">$G115*Supuestos!I$10*(Drivers!I$45/Drivers!$C$45)</f>
        <v>-147096.675251</v>
      </c>
      <c r="N115" s="24" t="n">
        <f aca="false">$G115*Supuestos!J$10*(Drivers!J$45/Drivers!$C$45)</f>
        <v>-155186.992389805</v>
      </c>
      <c r="O115" s="24" t="n">
        <f aca="false">$G115*Supuestos!K$10*(Drivers!K$45/Drivers!$C$45)</f>
        <v>-155186.992389805</v>
      </c>
      <c r="P115" s="24" t="n">
        <f aca="false">$G115*Supuestos!L$10*(Drivers!L$45/Drivers!$C$45)</f>
        <v>-155186.992389805</v>
      </c>
      <c r="Q115" s="24" t="n">
        <f aca="false">$G115*Supuestos!M$10*(Drivers!M$45/Drivers!$C$45)</f>
        <v>-163722.276971244</v>
      </c>
      <c r="R115" s="24" t="n">
        <f aca="false">$G115*Supuestos!N$10*(Drivers!N$45/Drivers!$C$45)</f>
        <v>-163722.276971244</v>
      </c>
      <c r="S115" s="24" t="n">
        <f aca="false">$G115*Supuestos!O$10*(Drivers!O$45/Drivers!$C$45)</f>
        <v>-163722.276971244</v>
      </c>
      <c r="T115" s="24" t="n">
        <f aca="false">$G115*Supuestos!P$10*(Drivers!P$45/Drivers!$C$45)</f>
        <v>-172727.002204663</v>
      </c>
      <c r="U115" s="24" t="n">
        <f aca="false">$G115*Supuestos!Q$10*(Drivers!Q$45/Drivers!$C$45)</f>
        <v>-172727.002204663</v>
      </c>
      <c r="V115" s="24" t="n">
        <f aca="false">$G115*Supuestos!R$10*(Drivers!R$45/Drivers!$C$45)</f>
        <v>-172727.002204663</v>
      </c>
    </row>
    <row r="116" customFormat="false" ht="15" hidden="false" customHeight="false" outlineLevel="0" collapsed="false">
      <c r="A116" s="6" t="s">
        <v>175</v>
      </c>
      <c r="B116" s="6" t="s">
        <v>176</v>
      </c>
      <c r="C116" s="6" t="s">
        <v>140</v>
      </c>
      <c r="D116" s="6" t="s">
        <v>141</v>
      </c>
      <c r="E116" s="6" t="s">
        <v>145</v>
      </c>
      <c r="F116" s="6" t="s">
        <v>29</v>
      </c>
      <c r="G116" s="24" t="n">
        <v>-89683.69</v>
      </c>
      <c r="H116" s="24" t="n">
        <f aca="false">$G116*Supuestos!D$10*(Drivers!D$45/Drivers!$C$45)</f>
        <v>-95064.7114</v>
      </c>
      <c r="I116" s="24" t="n">
        <f aca="false">$G116*Supuestos!E$10*(Drivers!E$45/Drivers!$C$45)</f>
        <v>-95064.7114</v>
      </c>
      <c r="J116" s="24" t="n">
        <f aca="false">$G116*Supuestos!F$10*(Drivers!F$45/Drivers!$C$45)</f>
        <v>-95064.7114</v>
      </c>
      <c r="K116" s="24" t="n">
        <f aca="false">$G116*Supuestos!G$10*(Drivers!G$45/Drivers!$C$45)</f>
        <v>-100293.270527</v>
      </c>
      <c r="L116" s="24" t="n">
        <f aca="false">$G116*Supuestos!H$10*(Drivers!H$45/Drivers!$C$45)</f>
        <v>-100293.270527</v>
      </c>
      <c r="M116" s="24" t="n">
        <f aca="false">$G116*Supuestos!I$10*(Drivers!I$45/Drivers!$C$45)</f>
        <v>-100293.270527</v>
      </c>
      <c r="N116" s="24" t="n">
        <f aca="false">$G116*Supuestos!J$10*(Drivers!J$45/Drivers!$C$45)</f>
        <v>-105809.400405985</v>
      </c>
      <c r="O116" s="24" t="n">
        <f aca="false">$G116*Supuestos!K$10*(Drivers!K$45/Drivers!$C$45)</f>
        <v>-105809.400405985</v>
      </c>
      <c r="P116" s="24" t="n">
        <f aca="false">$G116*Supuestos!L$10*(Drivers!L$45/Drivers!$C$45)</f>
        <v>-105809.400405985</v>
      </c>
      <c r="Q116" s="24" t="n">
        <f aca="false">$G116*Supuestos!M$10*(Drivers!M$45/Drivers!$C$45)</f>
        <v>-111628.917428314</v>
      </c>
      <c r="R116" s="24" t="n">
        <f aca="false">$G116*Supuestos!N$10*(Drivers!N$45/Drivers!$C$45)</f>
        <v>-111628.917428314</v>
      </c>
      <c r="S116" s="24" t="n">
        <f aca="false">$G116*Supuestos!O$10*(Drivers!O$45/Drivers!$C$45)</f>
        <v>-111628.917428314</v>
      </c>
      <c r="T116" s="24" t="n">
        <f aca="false">$G116*Supuestos!P$10*(Drivers!P$45/Drivers!$C$45)</f>
        <v>-117768.507886871</v>
      </c>
      <c r="U116" s="24" t="n">
        <f aca="false">$G116*Supuestos!Q$10*(Drivers!Q$45/Drivers!$C$45)</f>
        <v>-117768.507886871</v>
      </c>
      <c r="V116" s="24" t="n">
        <f aca="false">$G116*Supuestos!R$10*(Drivers!R$45/Drivers!$C$45)</f>
        <v>-117768.507886871</v>
      </c>
    </row>
    <row r="117" customFormat="false" ht="15" hidden="false" customHeight="false" outlineLevel="0" collapsed="false">
      <c r="A117" s="6" t="s">
        <v>175</v>
      </c>
      <c r="B117" s="6" t="s">
        <v>176</v>
      </c>
      <c r="C117" s="6" t="s">
        <v>140</v>
      </c>
      <c r="D117" s="6" t="s">
        <v>141</v>
      </c>
      <c r="E117" s="6" t="s">
        <v>146</v>
      </c>
      <c r="F117" s="6" t="s">
        <v>29</v>
      </c>
      <c r="G117" s="24" t="n">
        <v>-170399.01</v>
      </c>
      <c r="H117" s="24" t="n">
        <f aca="false">$G117*Supuestos!D$10*(Drivers!D$45/Drivers!$C$45)</f>
        <v>-180622.9506</v>
      </c>
      <c r="I117" s="24" t="n">
        <f aca="false">$G117*Supuestos!E$10*(Drivers!E$45/Drivers!$C$45)</f>
        <v>-180622.9506</v>
      </c>
      <c r="J117" s="24" t="n">
        <f aca="false">$G117*Supuestos!F$10*(Drivers!F$45/Drivers!$C$45)</f>
        <v>-180622.9506</v>
      </c>
      <c r="K117" s="24" t="n">
        <f aca="false">$G117*Supuestos!G$10*(Drivers!G$45/Drivers!$C$45)</f>
        <v>-190557.212883</v>
      </c>
      <c r="L117" s="24" t="n">
        <f aca="false">$G117*Supuestos!H$10*(Drivers!H$45/Drivers!$C$45)</f>
        <v>-190557.212883</v>
      </c>
      <c r="M117" s="24" t="n">
        <f aca="false">$G117*Supuestos!I$10*(Drivers!I$45/Drivers!$C$45)</f>
        <v>-190557.212883</v>
      </c>
      <c r="N117" s="24" t="n">
        <f aca="false">$G117*Supuestos!J$10*(Drivers!J$45/Drivers!$C$45)</f>
        <v>-201037.859591565</v>
      </c>
      <c r="O117" s="24" t="n">
        <f aca="false">$G117*Supuestos!K$10*(Drivers!K$45/Drivers!$C$45)</f>
        <v>-201037.859591565</v>
      </c>
      <c r="P117" s="24" t="n">
        <f aca="false">$G117*Supuestos!L$10*(Drivers!L$45/Drivers!$C$45)</f>
        <v>-201037.859591565</v>
      </c>
      <c r="Q117" s="24" t="n">
        <f aca="false">$G117*Supuestos!M$10*(Drivers!M$45/Drivers!$C$45)</f>
        <v>-212094.941869101</v>
      </c>
      <c r="R117" s="24" t="n">
        <f aca="false">$G117*Supuestos!N$10*(Drivers!N$45/Drivers!$C$45)</f>
        <v>-212094.941869101</v>
      </c>
      <c r="S117" s="24" t="n">
        <f aca="false">$G117*Supuestos!O$10*(Drivers!O$45/Drivers!$C$45)</f>
        <v>-212094.941869101</v>
      </c>
      <c r="T117" s="24" t="n">
        <f aca="false">$G117*Supuestos!P$10*(Drivers!P$45/Drivers!$C$45)</f>
        <v>-223760.163671902</v>
      </c>
      <c r="U117" s="24" t="n">
        <f aca="false">$G117*Supuestos!Q$10*(Drivers!Q$45/Drivers!$C$45)</f>
        <v>-223760.163671902</v>
      </c>
      <c r="V117" s="24" t="n">
        <f aca="false">$G117*Supuestos!R$10*(Drivers!R$45/Drivers!$C$45)</f>
        <v>-223760.163671902</v>
      </c>
    </row>
    <row r="118" customFormat="false" ht="15" hidden="false" customHeight="false" outlineLevel="0" collapsed="false">
      <c r="A118" s="6" t="s">
        <v>175</v>
      </c>
      <c r="B118" s="6" t="s">
        <v>176</v>
      </c>
      <c r="C118" s="6" t="s">
        <v>140</v>
      </c>
      <c r="D118" s="6" t="s">
        <v>141</v>
      </c>
      <c r="E118" s="6" t="s">
        <v>147</v>
      </c>
      <c r="F118" s="6" t="s">
        <v>29</v>
      </c>
      <c r="G118" s="24" t="n">
        <v>-191325.33</v>
      </c>
      <c r="H118" s="24" t="n">
        <f aca="false">$G118*Supuestos!D$10*(Drivers!D$45/Drivers!$C$45)</f>
        <v>-202804.8498</v>
      </c>
      <c r="I118" s="24" t="n">
        <f aca="false">$G118*Supuestos!E$10*(Drivers!E$45/Drivers!$C$45)</f>
        <v>-202804.8498</v>
      </c>
      <c r="J118" s="24" t="n">
        <f aca="false">$G118*Supuestos!F$10*(Drivers!F$45/Drivers!$C$45)</f>
        <v>-202804.8498</v>
      </c>
      <c r="K118" s="24" t="n">
        <f aca="false">$G118*Supuestos!G$10*(Drivers!G$45/Drivers!$C$45)</f>
        <v>-213959.116539</v>
      </c>
      <c r="L118" s="24" t="n">
        <f aca="false">$G118*Supuestos!H$10*(Drivers!H$45/Drivers!$C$45)</f>
        <v>-213959.116539</v>
      </c>
      <c r="M118" s="24" t="n">
        <f aca="false">$G118*Supuestos!I$10*(Drivers!I$45/Drivers!$C$45)</f>
        <v>-213959.116539</v>
      </c>
      <c r="N118" s="24" t="n">
        <f aca="false">$G118*Supuestos!J$10*(Drivers!J$45/Drivers!$C$45)</f>
        <v>-225726.867948645</v>
      </c>
      <c r="O118" s="24" t="n">
        <f aca="false">$G118*Supuestos!K$10*(Drivers!K$45/Drivers!$C$45)</f>
        <v>-225726.867948645</v>
      </c>
      <c r="P118" s="24" t="n">
        <f aca="false">$G118*Supuestos!L$10*(Drivers!L$45/Drivers!$C$45)</f>
        <v>-225726.867948645</v>
      </c>
      <c r="Q118" s="24" t="n">
        <f aca="false">$G118*Supuestos!M$10*(Drivers!M$45/Drivers!$C$45)</f>
        <v>-238141.84568582</v>
      </c>
      <c r="R118" s="24" t="n">
        <f aca="false">$G118*Supuestos!N$10*(Drivers!N$45/Drivers!$C$45)</f>
        <v>-238141.84568582</v>
      </c>
      <c r="S118" s="24" t="n">
        <f aca="false">$G118*Supuestos!O$10*(Drivers!O$45/Drivers!$C$45)</f>
        <v>-238141.84568582</v>
      </c>
      <c r="T118" s="24" t="n">
        <f aca="false">$G118*Supuestos!P$10*(Drivers!P$45/Drivers!$C$45)</f>
        <v>-251239.647198541</v>
      </c>
      <c r="U118" s="24" t="n">
        <f aca="false">$G118*Supuestos!Q$10*(Drivers!Q$45/Drivers!$C$45)</f>
        <v>-251239.647198541</v>
      </c>
      <c r="V118" s="24" t="n">
        <f aca="false">$G118*Supuestos!R$10*(Drivers!R$45/Drivers!$C$45)</f>
        <v>-251239.647198541</v>
      </c>
    </row>
    <row r="119" customFormat="false" ht="15" hidden="false" customHeight="false" outlineLevel="0" collapsed="false">
      <c r="A119" s="6" t="s">
        <v>175</v>
      </c>
      <c r="B119" s="6" t="s">
        <v>176</v>
      </c>
      <c r="C119" s="6" t="s">
        <v>140</v>
      </c>
      <c r="D119" s="6" t="s">
        <v>141</v>
      </c>
      <c r="E119" s="6" t="s">
        <v>148</v>
      </c>
      <c r="F119" s="6" t="s">
        <v>41</v>
      </c>
      <c r="G119" s="24" t="n">
        <v>-30035.48</v>
      </c>
      <c r="H119" s="24" t="n">
        <f aca="false">0</f>
        <v>0</v>
      </c>
      <c r="I119" s="24" t="n">
        <f aca="false">0</f>
        <v>0</v>
      </c>
      <c r="J119" s="24" t="n">
        <f aca="false">0</f>
        <v>0</v>
      </c>
      <c r="K119" s="24" t="n">
        <f aca="false">0</f>
        <v>0</v>
      </c>
      <c r="L119" s="24" t="n">
        <f aca="false">0</f>
        <v>0</v>
      </c>
      <c r="M119" s="24" t="n">
        <f aca="false">0</f>
        <v>0</v>
      </c>
      <c r="N119" s="24" t="n">
        <f aca="false">0</f>
        <v>0</v>
      </c>
      <c r="O119" s="24" t="n">
        <f aca="false">0</f>
        <v>0</v>
      </c>
      <c r="P119" s="24" t="n">
        <f aca="false">0</f>
        <v>0</v>
      </c>
      <c r="Q119" s="24" t="n">
        <f aca="false">0</f>
        <v>0</v>
      </c>
      <c r="R119" s="24" t="n">
        <f aca="false">0</f>
        <v>0</v>
      </c>
      <c r="S119" s="24" t="n">
        <f aca="false">0</f>
        <v>0</v>
      </c>
      <c r="T119" s="24" t="n">
        <f aca="false">0</f>
        <v>0</v>
      </c>
      <c r="U119" s="24" t="n">
        <f aca="false">0</f>
        <v>0</v>
      </c>
      <c r="V119" s="24" t="n">
        <f aca="false">0</f>
        <v>0</v>
      </c>
    </row>
    <row r="120" customFormat="false" ht="15" hidden="false" customHeight="false" outlineLevel="0" collapsed="false">
      <c r="A120" s="6" t="s">
        <v>175</v>
      </c>
      <c r="B120" s="6" t="s">
        <v>176</v>
      </c>
      <c r="C120" s="6" t="s">
        <v>140</v>
      </c>
      <c r="D120" s="6" t="s">
        <v>151</v>
      </c>
      <c r="E120" s="6" t="s">
        <v>152</v>
      </c>
      <c r="F120" s="6" t="s">
        <v>31</v>
      </c>
      <c r="G120" s="24" t="n">
        <v>-245700</v>
      </c>
      <c r="H120" s="24" t="n">
        <f aca="false">$G120*Supuestos!D$8*(Drivers!D$45/Drivers!$C$45)</f>
        <v>-251640</v>
      </c>
      <c r="I120" s="24" t="n">
        <f aca="false">$G120*Supuestos!E$8*(Drivers!E$45/Drivers!$C$45)</f>
        <v>-257760</v>
      </c>
      <c r="J120" s="24" t="n">
        <f aca="false">$G120*Supuestos!F$8*(Drivers!F$45/Drivers!$C$45)</f>
        <v>-263700</v>
      </c>
      <c r="K120" s="24" t="n">
        <f aca="false">$G120*Supuestos!G$8*(Drivers!G$45/Drivers!$C$45)</f>
        <v>-268020</v>
      </c>
      <c r="L120" s="24" t="n">
        <f aca="false">$G120*Supuestos!H$8*(Drivers!H$45/Drivers!$C$45)</f>
        <v>-272160</v>
      </c>
      <c r="M120" s="24" t="n">
        <f aca="false">$G120*Supuestos!I$8*(Drivers!I$45/Drivers!$C$45)</f>
        <v>-276480</v>
      </c>
      <c r="N120" s="24" t="n">
        <f aca="false">$G120*Supuestos!J$8*(Drivers!J$45/Drivers!$C$45)</f>
        <v>-280800</v>
      </c>
      <c r="O120" s="24" t="n">
        <f aca="false">$G120*Supuestos!K$8*(Drivers!K$45/Drivers!$C$45)</f>
        <v>-285120</v>
      </c>
      <c r="P120" s="24" t="n">
        <f aca="false">$G120*Supuestos!L$8*(Drivers!L$45/Drivers!$C$45)</f>
        <v>-289440</v>
      </c>
      <c r="Q120" s="24" t="n">
        <f aca="false">$G120*Supuestos!M$8*(Drivers!M$45/Drivers!$C$45)</f>
        <v>-293580</v>
      </c>
      <c r="R120" s="24" t="n">
        <f aca="false">$G120*Supuestos!N$8*(Drivers!N$45/Drivers!$C$45)</f>
        <v>-297900</v>
      </c>
      <c r="S120" s="24" t="n">
        <f aca="false">$G120*Supuestos!O$8*(Drivers!O$45/Drivers!$C$45)</f>
        <v>-302220</v>
      </c>
      <c r="T120" s="24" t="n">
        <f aca="false">$G120*Supuestos!P$8*(Drivers!P$45/Drivers!$C$45)</f>
        <v>-306360</v>
      </c>
      <c r="U120" s="24" t="n">
        <f aca="false">$G120*Supuestos!Q$8*(Drivers!Q$45/Drivers!$C$45)</f>
        <v>-310680</v>
      </c>
      <c r="V120" s="24" t="n">
        <f aca="false">$G120*Supuestos!R$8*(Drivers!R$45/Drivers!$C$45)</f>
        <v>-315000</v>
      </c>
    </row>
    <row r="121" customFormat="false" ht="15" hidden="false" customHeight="false" outlineLevel="0" collapsed="false">
      <c r="A121" s="6" t="s">
        <v>175</v>
      </c>
      <c r="B121" s="6" t="s">
        <v>176</v>
      </c>
      <c r="C121" s="6" t="s">
        <v>140</v>
      </c>
      <c r="D121" s="6" t="s">
        <v>153</v>
      </c>
      <c r="E121" s="6" t="s">
        <v>154</v>
      </c>
      <c r="F121" s="6" t="s">
        <v>33</v>
      </c>
      <c r="G121" s="24" t="n">
        <v>-103509.05</v>
      </c>
      <c r="H121" s="24" t="n">
        <f aca="false">$G121*Supuestos!D$6*(Drivers!D$45/Drivers!$C$45)</f>
        <v>-105889.75815</v>
      </c>
      <c r="I121" s="24" t="n">
        <f aca="false">$G121*Supuestos!E$6*(Drivers!E$45/Drivers!$C$45)</f>
        <v>-108325.22258745</v>
      </c>
      <c r="J121" s="24" t="n">
        <f aca="false">$G121*Supuestos!F$6*(Drivers!F$45/Drivers!$C$45)</f>
        <v>-110816.702706961</v>
      </c>
      <c r="K121" s="24" t="n">
        <f aca="false">$G121*Supuestos!G$6*(Drivers!G$45/Drivers!$C$45)</f>
        <v>-112922.220058394</v>
      </c>
      <c r="L121" s="24" t="n">
        <f aca="false">$G121*Supuestos!H$6*(Drivers!H$45/Drivers!$C$45)</f>
        <v>-115067.742239503</v>
      </c>
      <c r="M121" s="24" t="n">
        <f aca="false">$G121*Supuestos!I$6*(Drivers!I$45/Drivers!$C$45)</f>
        <v>-117254.029342054</v>
      </c>
      <c r="N121" s="24" t="n">
        <f aca="false">$G121*Supuestos!J$6*(Drivers!J$45/Drivers!$C$45)</f>
        <v>-119481.855899553</v>
      </c>
      <c r="O121" s="24" t="n">
        <f aca="false">$G121*Supuestos!K$6*(Drivers!K$45/Drivers!$C$45)</f>
        <v>-121752.011161644</v>
      </c>
      <c r="P121" s="24" t="n">
        <f aca="false">$G121*Supuestos!L$6*(Drivers!L$45/Drivers!$C$45)</f>
        <v>-124065.299373715</v>
      </c>
      <c r="Q121" s="24" t="n">
        <f aca="false">$G121*Supuestos!M$6*(Drivers!M$45/Drivers!$C$45)</f>
        <v>-126422.540061816</v>
      </c>
      <c r="R121" s="24" t="n">
        <f aca="false">$G121*Supuestos!N$6*(Drivers!N$45/Drivers!$C$45)</f>
        <v>-128824.56832299</v>
      </c>
      <c r="S121" s="24" t="n">
        <f aca="false">$G121*Supuestos!O$6*(Drivers!O$45/Drivers!$C$45)</f>
        <v>-131272.235121127</v>
      </c>
      <c r="T121" s="24" t="n">
        <f aca="false">$G121*Supuestos!P$6*(Drivers!P$45/Drivers!$C$45)</f>
        <v>-133766.407588429</v>
      </c>
      <c r="U121" s="24" t="n">
        <f aca="false">$G121*Supuestos!Q$6*(Drivers!Q$45/Drivers!$C$45)</f>
        <v>-136307.969332609</v>
      </c>
      <c r="V121" s="24" t="n">
        <f aca="false">$G121*Supuestos!R$6*(Drivers!R$45/Drivers!$C$45)</f>
        <v>-138897.820749928</v>
      </c>
    </row>
    <row r="122" customFormat="false" ht="15" hidden="false" customHeight="false" outlineLevel="0" collapsed="false">
      <c r="A122" s="6" t="s">
        <v>175</v>
      </c>
      <c r="B122" s="6" t="s">
        <v>176</v>
      </c>
      <c r="C122" s="6" t="s">
        <v>140</v>
      </c>
      <c r="D122" s="6" t="s">
        <v>153</v>
      </c>
      <c r="E122" s="6" t="s">
        <v>155</v>
      </c>
      <c r="F122" s="6" t="s">
        <v>33</v>
      </c>
      <c r="G122" s="24" t="n">
        <v>-26616.72</v>
      </c>
      <c r="H122" s="24" t="n">
        <f aca="false">$G122*Supuestos!D$6*(Drivers!D$45/Drivers!$C$45)</f>
        <v>-27228.90456</v>
      </c>
      <c r="I122" s="24" t="n">
        <f aca="false">$G122*Supuestos!E$6*(Drivers!E$45/Drivers!$C$45)</f>
        <v>-27855.16936488</v>
      </c>
      <c r="J122" s="24" t="n">
        <f aca="false">$G122*Supuestos!F$6*(Drivers!F$45/Drivers!$C$45)</f>
        <v>-28495.8382602722</v>
      </c>
      <c r="K122" s="24" t="n">
        <f aca="false">$G122*Supuestos!G$6*(Drivers!G$45/Drivers!$C$45)</f>
        <v>-29037.2591872174</v>
      </c>
      <c r="L122" s="24" t="n">
        <f aca="false">$G122*Supuestos!H$6*(Drivers!H$45/Drivers!$C$45)</f>
        <v>-29588.9671117745</v>
      </c>
      <c r="M122" s="24" t="n">
        <f aca="false">$G122*Supuestos!I$6*(Drivers!I$45/Drivers!$C$45)</f>
        <v>-30151.1574868982</v>
      </c>
      <c r="N122" s="24" t="n">
        <f aca="false">$G122*Supuestos!J$6*(Drivers!J$45/Drivers!$C$45)</f>
        <v>-30724.0294791493</v>
      </c>
      <c r="O122" s="24" t="n">
        <f aca="false">$G122*Supuestos!K$6*(Drivers!K$45/Drivers!$C$45)</f>
        <v>-31307.7860392531</v>
      </c>
      <c r="P122" s="24" t="n">
        <f aca="false">$G122*Supuestos!L$6*(Drivers!L$45/Drivers!$C$45)</f>
        <v>-31902.6339739989</v>
      </c>
      <c r="Q122" s="24" t="n">
        <f aca="false">$G122*Supuestos!M$6*(Drivers!M$45/Drivers!$C$45)</f>
        <v>-32508.7840195049</v>
      </c>
      <c r="R122" s="24" t="n">
        <f aca="false">$G122*Supuestos!N$6*(Drivers!N$45/Drivers!$C$45)</f>
        <v>-33126.4509158755</v>
      </c>
      <c r="S122" s="24" t="n">
        <f aca="false">$G122*Supuestos!O$6*(Drivers!O$45/Drivers!$C$45)</f>
        <v>-33755.8534832771</v>
      </c>
      <c r="T122" s="24" t="n">
        <f aca="false">$G122*Supuestos!P$6*(Drivers!P$45/Drivers!$C$45)</f>
        <v>-34397.2146994594</v>
      </c>
      <c r="U122" s="24" t="n">
        <f aca="false">$G122*Supuestos!Q$6*(Drivers!Q$45/Drivers!$C$45)</f>
        <v>-35050.7617787491</v>
      </c>
      <c r="V122" s="24" t="n">
        <f aca="false">$G122*Supuestos!R$6*(Drivers!R$45/Drivers!$C$45)</f>
        <v>-35716.7262525454</v>
      </c>
    </row>
    <row r="123" customFormat="false" ht="15" hidden="false" customHeight="false" outlineLevel="0" collapsed="false">
      <c r="A123" s="6" t="s">
        <v>175</v>
      </c>
      <c r="B123" s="6" t="s">
        <v>176</v>
      </c>
      <c r="C123" s="6" t="s">
        <v>140</v>
      </c>
      <c r="D123" s="6" t="s">
        <v>153</v>
      </c>
      <c r="E123" s="6" t="s">
        <v>156</v>
      </c>
      <c r="F123" s="6" t="s">
        <v>33</v>
      </c>
      <c r="G123" s="24" t="n">
        <v>-17744.6</v>
      </c>
      <c r="H123" s="24" t="n">
        <f aca="false">$G123*Supuestos!D$6*(Drivers!D$45/Drivers!$C$45)</f>
        <v>-18152.7258</v>
      </c>
      <c r="I123" s="24" t="n">
        <f aca="false">$G123*Supuestos!E$6*(Drivers!E$45/Drivers!$C$45)</f>
        <v>-18570.2384934</v>
      </c>
      <c r="J123" s="24" t="n">
        <f aca="false">$G123*Supuestos!F$6*(Drivers!F$45/Drivers!$C$45)</f>
        <v>-18997.3539787482</v>
      </c>
      <c r="K123" s="24" t="n">
        <f aca="false">$G123*Supuestos!G$6*(Drivers!G$45/Drivers!$C$45)</f>
        <v>-19358.3037043444</v>
      </c>
      <c r="L123" s="24" t="n">
        <f aca="false">$G123*Supuestos!H$6*(Drivers!H$45/Drivers!$C$45)</f>
        <v>-19726.1114747269</v>
      </c>
      <c r="M123" s="24" t="n">
        <f aca="false">$G123*Supuestos!I$6*(Drivers!I$45/Drivers!$C$45)</f>
        <v>-20100.9075927468</v>
      </c>
      <c r="N123" s="24" t="n">
        <f aca="false">$G123*Supuestos!J$6*(Drivers!J$45/Drivers!$C$45)</f>
        <v>-20482.8248370089</v>
      </c>
      <c r="O123" s="24" t="n">
        <f aca="false">$G123*Supuestos!K$6*(Drivers!K$45/Drivers!$C$45)</f>
        <v>-20871.9985089121</v>
      </c>
      <c r="P123" s="24" t="n">
        <f aca="false">$G123*Supuestos!L$6*(Drivers!L$45/Drivers!$C$45)</f>
        <v>-21268.5664805814</v>
      </c>
      <c r="Q123" s="24" t="n">
        <f aca="false">$G123*Supuestos!M$6*(Drivers!M$45/Drivers!$C$45)</f>
        <v>-21672.6692437125</v>
      </c>
      <c r="R123" s="24" t="n">
        <f aca="false">$G123*Supuestos!N$6*(Drivers!N$45/Drivers!$C$45)</f>
        <v>-22084.449959343</v>
      </c>
      <c r="S123" s="24" t="n">
        <f aca="false">$G123*Supuestos!O$6*(Drivers!O$45/Drivers!$C$45)</f>
        <v>-22504.0545085705</v>
      </c>
      <c r="T123" s="24" t="n">
        <f aca="false">$G123*Supuestos!P$6*(Drivers!P$45/Drivers!$C$45)</f>
        <v>-22931.6315442334</v>
      </c>
      <c r="U123" s="24" t="n">
        <f aca="false">$G123*Supuestos!Q$6*(Drivers!Q$45/Drivers!$C$45)</f>
        <v>-23367.3325435738</v>
      </c>
      <c r="V123" s="24" t="n">
        <f aca="false">$G123*Supuestos!R$6*(Drivers!R$45/Drivers!$C$45)</f>
        <v>-23811.3118619017</v>
      </c>
    </row>
    <row r="124" customFormat="false" ht="15" hidden="false" customHeight="false" outlineLevel="0" collapsed="false">
      <c r="A124" s="6" t="s">
        <v>175</v>
      </c>
      <c r="B124" s="6" t="s">
        <v>176</v>
      </c>
      <c r="C124" s="6" t="s">
        <v>140</v>
      </c>
      <c r="D124" s="6" t="s">
        <v>161</v>
      </c>
      <c r="E124" s="6" t="s">
        <v>162</v>
      </c>
      <c r="F124" s="6" t="s">
        <v>35</v>
      </c>
      <c r="G124" s="24" t="n">
        <v>-98424.97</v>
      </c>
      <c r="H124" s="24" t="n">
        <f aca="false">$G124*Supuestos!D$8*(Drivers!D$42/100)</f>
        <v>-100804.474769231</v>
      </c>
      <c r="I124" s="24" t="n">
        <f aca="false">$G124*Supuestos!E$8*(Drivers!E$42/100)</f>
        <v>-103256.08574359</v>
      </c>
      <c r="J124" s="24" t="n">
        <f aca="false">$G124*Supuestos!F$8*(Drivers!F$42/100)</f>
        <v>-105635.590512821</v>
      </c>
      <c r="K124" s="24" t="n">
        <f aca="false">$G124*Supuestos!G$8*(Drivers!G$42/100)</f>
        <v>-107366.139435897</v>
      </c>
      <c r="L124" s="24" t="n">
        <f aca="false">$G124*Supuestos!H$8*(Drivers!H$42/100)</f>
        <v>-109024.582153846</v>
      </c>
      <c r="M124" s="24" t="n">
        <f aca="false">$G124*Supuestos!I$8*(Drivers!I$42/100)</f>
        <v>-110755.131076923</v>
      </c>
      <c r="N124" s="24" t="n">
        <f aca="false">$G124*Supuestos!J$8*(Drivers!J$42/100)</f>
        <v>-112485.68</v>
      </c>
      <c r="O124" s="24" t="n">
        <f aca="false">$G124*Supuestos!K$8*(Drivers!K$42/100)</f>
        <v>-114216.228923077</v>
      </c>
      <c r="P124" s="24" t="n">
        <f aca="false">$G124*Supuestos!L$8*(Drivers!L$42/100)</f>
        <v>-115946.777846154</v>
      </c>
      <c r="Q124" s="24" t="n">
        <f aca="false">$G124*Supuestos!M$8*(Drivers!M$42/100)</f>
        <v>-117605.220564103</v>
      </c>
      <c r="R124" s="24" t="n">
        <f aca="false">$G124*Supuestos!N$8*(Drivers!N$42/100)</f>
        <v>-119335.769487179</v>
      </c>
      <c r="S124" s="24" t="n">
        <f aca="false">$G124*Supuestos!O$8*(Drivers!O$42/100)</f>
        <v>-121066.318410256</v>
      </c>
      <c r="T124" s="24" t="n">
        <f aca="false">$G124*Supuestos!P$8*(Drivers!P$42/100)</f>
        <v>-122724.761128205</v>
      </c>
      <c r="U124" s="24" t="n">
        <f aca="false">$G124*Supuestos!Q$8*(Drivers!Q$42/100)</f>
        <v>-124455.310051282</v>
      </c>
      <c r="V124" s="24" t="n">
        <f aca="false">$G124*Supuestos!R$8*(Drivers!R$42/100)</f>
        <v>-126185.858974359</v>
      </c>
    </row>
    <row r="125" customFormat="false" ht="15" hidden="false" customHeight="false" outlineLevel="0" collapsed="false">
      <c r="A125" s="6" t="s">
        <v>175</v>
      </c>
      <c r="B125" s="6" t="s">
        <v>176</v>
      </c>
      <c r="C125" s="6" t="s">
        <v>140</v>
      </c>
      <c r="D125" s="6" t="s">
        <v>163</v>
      </c>
      <c r="E125" s="6" t="s">
        <v>164</v>
      </c>
      <c r="F125" s="6" t="s">
        <v>37</v>
      </c>
      <c r="G125" s="24" t="n">
        <v>-77084.52</v>
      </c>
      <c r="H125" s="24" t="n">
        <f aca="false">$G125*Supuestos!D$6*(Drivers!D$42/100)</f>
        <v>-78857.46396</v>
      </c>
      <c r="I125" s="24" t="n">
        <f aca="false">$G125*Supuestos!E$6*(Drivers!E$42/100)</f>
        <v>-80671.18563108</v>
      </c>
      <c r="J125" s="24" t="n">
        <f aca="false">$G125*Supuestos!F$6*(Drivers!F$42/100)</f>
        <v>-82526.6229005948</v>
      </c>
      <c r="K125" s="24" t="n">
        <f aca="false">$G125*Supuestos!G$6*(Drivers!G$42/100)</f>
        <v>-84094.6287357061</v>
      </c>
      <c r="L125" s="24" t="n">
        <f aca="false">$G125*Supuestos!H$6*(Drivers!H$42/100)</f>
        <v>-85692.4266816845</v>
      </c>
      <c r="M125" s="24" t="n">
        <f aca="false">$G125*Supuestos!I$6*(Drivers!I$42/100)</f>
        <v>-87320.5827886365</v>
      </c>
      <c r="N125" s="24" t="n">
        <f aca="false">$G125*Supuestos!J$6*(Drivers!J$42/100)</f>
        <v>-88979.6738616206</v>
      </c>
      <c r="O125" s="24" t="n">
        <f aca="false">$G125*Supuestos!K$6*(Drivers!K$42/100)</f>
        <v>-90670.2876649914</v>
      </c>
      <c r="P125" s="24" t="n">
        <f aca="false">$G125*Supuestos!L$6*(Drivers!L$42/100)</f>
        <v>-92393.0231306262</v>
      </c>
      <c r="Q125" s="24" t="n">
        <f aca="false">$G125*Supuestos!M$6*(Drivers!M$42/100)</f>
        <v>-94148.4905701081</v>
      </c>
      <c r="R125" s="24" t="n">
        <f aca="false">$G125*Supuestos!N$6*(Drivers!N$42/100)</f>
        <v>-95937.3118909401</v>
      </c>
      <c r="S125" s="24" t="n">
        <f aca="false">$G125*Supuestos!O$6*(Drivers!O$42/100)</f>
        <v>-97760.120816868</v>
      </c>
      <c r="T125" s="24" t="n">
        <f aca="false">$G125*Supuestos!P$6*(Drivers!P$42/100)</f>
        <v>-99617.5631123885</v>
      </c>
      <c r="U125" s="24" t="n">
        <f aca="false">$G125*Supuestos!Q$6*(Drivers!Q$42/100)</f>
        <v>-101510.296811524</v>
      </c>
      <c r="V125" s="24" t="n">
        <f aca="false">$G125*Supuestos!R$6*(Drivers!R$42/100)</f>
        <v>-103438.992450943</v>
      </c>
    </row>
    <row r="126" customFormat="false" ht="15" hidden="false" customHeight="false" outlineLevel="0" collapsed="false">
      <c r="A126" s="6" t="s">
        <v>175</v>
      </c>
      <c r="B126" s="6" t="s">
        <v>176</v>
      </c>
      <c r="C126" s="6" t="s">
        <v>140</v>
      </c>
      <c r="D126" s="6" t="s">
        <v>165</v>
      </c>
      <c r="E126" s="6" t="s">
        <v>166</v>
      </c>
      <c r="F126" s="6" t="s">
        <v>35</v>
      </c>
      <c r="G126" s="24" t="n">
        <v>-208845</v>
      </c>
      <c r="H126" s="24" t="n">
        <f aca="false">$G126*Supuestos!D$8*(Drivers!D$42/100)</f>
        <v>-213894</v>
      </c>
      <c r="I126" s="24" t="n">
        <f aca="false">$G126*Supuestos!E$8*(Drivers!E$42/100)</f>
        <v>-219096</v>
      </c>
      <c r="J126" s="24" t="n">
        <f aca="false">$G126*Supuestos!F$8*(Drivers!F$42/100)</f>
        <v>-224145</v>
      </c>
      <c r="K126" s="24" t="n">
        <f aca="false">$G126*Supuestos!G$8*(Drivers!G$42/100)</f>
        <v>-227817</v>
      </c>
      <c r="L126" s="24" t="n">
        <f aca="false">$G126*Supuestos!H$8*(Drivers!H$42/100)</f>
        <v>-231336</v>
      </c>
      <c r="M126" s="24" t="n">
        <f aca="false">$G126*Supuestos!I$8*(Drivers!I$42/100)</f>
        <v>-235008</v>
      </c>
      <c r="N126" s="24" t="n">
        <f aca="false">$G126*Supuestos!J$8*(Drivers!J$42/100)</f>
        <v>-238680</v>
      </c>
      <c r="O126" s="24" t="n">
        <f aca="false">$G126*Supuestos!K$8*(Drivers!K$42/100)</f>
        <v>-242352</v>
      </c>
      <c r="P126" s="24" t="n">
        <f aca="false">$G126*Supuestos!L$8*(Drivers!L$42/100)</f>
        <v>-246024</v>
      </c>
      <c r="Q126" s="24" t="n">
        <f aca="false">$G126*Supuestos!M$8*(Drivers!M$42/100)</f>
        <v>-249543</v>
      </c>
      <c r="R126" s="24" t="n">
        <f aca="false">$G126*Supuestos!N$8*(Drivers!N$42/100)</f>
        <v>-253215</v>
      </c>
      <c r="S126" s="24" t="n">
        <f aca="false">$G126*Supuestos!O$8*(Drivers!O$42/100)</f>
        <v>-256887</v>
      </c>
      <c r="T126" s="24" t="n">
        <f aca="false">$G126*Supuestos!P$8*(Drivers!P$42/100)</f>
        <v>-260406</v>
      </c>
      <c r="U126" s="24" t="n">
        <f aca="false">$G126*Supuestos!Q$8*(Drivers!Q$42/100)</f>
        <v>-264078</v>
      </c>
      <c r="V126" s="24" t="n">
        <f aca="false">$G126*Supuestos!R$8*(Drivers!R$42/100)</f>
        <v>-267750</v>
      </c>
    </row>
    <row r="127" customFormat="false" ht="15" hidden="false" customHeight="false" outlineLevel="0" collapsed="false">
      <c r="A127" s="6" t="s">
        <v>177</v>
      </c>
      <c r="B127" s="6" t="s">
        <v>176</v>
      </c>
      <c r="C127" s="6" t="s">
        <v>137</v>
      </c>
      <c r="D127" s="6" t="s">
        <v>138</v>
      </c>
      <c r="E127" s="6" t="s">
        <v>139</v>
      </c>
      <c r="F127" s="6" t="s">
        <v>25</v>
      </c>
      <c r="G127" s="24" t="n">
        <v>7564864.27</v>
      </c>
      <c r="H127" s="24" t="n">
        <f aca="false">$G127*Supuestos!D$8*(Drivers!D$48/100)*(Drivers!D$49/Drivers!$C$49)*(Drivers!D$50/Drivers!$C$50)*Supuestos!D$13</f>
        <v>7825228.60949055</v>
      </c>
      <c r="I127" s="24" t="n">
        <f aca="false">$G127*Supuestos!E$8*(Drivers!E$48/100)*(Drivers!E$49/Drivers!$C$49)*(Drivers!E$50/Drivers!$C$50)*Supuestos!E$13</f>
        <v>7936179.95211722</v>
      </c>
      <c r="J127" s="24" t="n">
        <f aca="false">$G127*Supuestos!F$8*(Drivers!F$48/100)*(Drivers!F$49/Drivers!$C$49)*(Drivers!F$50/Drivers!$C$50)*Supuestos!F$13</f>
        <v>7875494.77720403</v>
      </c>
      <c r="K127" s="24" t="n">
        <f aca="false">$G127*Supuestos!G$8*(Drivers!G$48/100)*(Drivers!G$49/Drivers!$C$49)*(Drivers!G$50/Drivers!$C$50)*Supuestos!G$13</f>
        <v>7921992.36784527</v>
      </c>
      <c r="L127" s="24" t="n">
        <f aca="false">$G127*Supuestos!H$8*(Drivers!H$48/100)*(Drivers!H$49/Drivers!$C$49)*(Drivers!H$50/Drivers!$C$50)*Supuestos!H$13</f>
        <v>8128155.70179692</v>
      </c>
      <c r="M127" s="24" t="n">
        <f aca="false">$G127*Supuestos!I$8*(Drivers!I$48/100)*(Drivers!I$49/Drivers!$C$49)*(Drivers!I$50/Drivers!$C$50)*Supuestos!I$13</f>
        <v>8767927.08005978</v>
      </c>
      <c r="N127" s="24" t="n">
        <f aca="false">$G127*Supuestos!J$8*(Drivers!J$48/100)*(Drivers!J$49/Drivers!$C$49)*(Drivers!J$50/Drivers!$C$50)*Supuestos!J$13</f>
        <v>8732014.75737143</v>
      </c>
      <c r="O127" s="24" t="n">
        <f aca="false">$G127*Supuestos!K$8*(Drivers!K$48/100)*(Drivers!K$49/Drivers!$C$49)*(Drivers!K$50/Drivers!$C$50)*Supuestos!K$13</f>
        <v>8778567.76826374</v>
      </c>
      <c r="P127" s="24" t="n">
        <f aca="false">$G127*Supuestos!L$8*(Drivers!L$48/100)*(Drivers!L$49/Drivers!$C$49)*(Drivers!L$50/Drivers!$C$50)*Supuestos!L$13</f>
        <v>8822460.60710506</v>
      </c>
      <c r="Q127" s="24" t="n">
        <f aca="false">$G127*Supuestos!M$8*(Drivers!M$48/100)*(Drivers!M$49/Drivers!$C$49)*(Drivers!M$50/Drivers!$C$50)*Supuestos!M$13</f>
        <v>9039042.94825641</v>
      </c>
      <c r="R127" s="24" t="n">
        <f aca="false">$G127*Supuestos!N$8*(Drivers!N$48/100)*(Drivers!N$49/Drivers!$C$49)*(Drivers!N$50/Drivers!$C$50)*Supuestos!N$13</f>
        <v>9263772.06631392</v>
      </c>
      <c r="S127" s="24" t="n">
        <f aca="false">$G127*Supuestos!O$8*(Drivers!O$48/100)*(Drivers!O$49/Drivers!$C$49)*(Drivers!O$50/Drivers!$C$50)*Supuestos!O$13</f>
        <v>9491161.35642242</v>
      </c>
      <c r="T127" s="24" t="n">
        <f aca="false">$G127*Supuestos!P$8*(Drivers!P$48/100)*(Drivers!P$49/Drivers!$C$49)*(Drivers!P$50/Drivers!$C$50)*Supuestos!P$13</f>
        <v>9526851.99810652</v>
      </c>
      <c r="U127" s="24" t="n">
        <f aca="false">$G127*Supuestos!Q$8*(Drivers!Q$48/100)*(Drivers!Q$49/Drivers!$C$49)*(Drivers!Q$50/Drivers!$C$50)*Supuestos!Q$13</f>
        <v>9565535.33334798</v>
      </c>
      <c r="V127" s="24" t="n">
        <f aca="false">$G127*Supuestos!R$8*(Drivers!R$48/100)*(Drivers!R$49/Drivers!$C$49)*(Drivers!R$50/Drivers!$C$50)*Supuestos!R$13</f>
        <v>9407587.61782051</v>
      </c>
    </row>
    <row r="128" customFormat="false" ht="15" hidden="false" customHeight="false" outlineLevel="0" collapsed="false">
      <c r="A128" s="6" t="s">
        <v>177</v>
      </c>
      <c r="B128" s="6" t="s">
        <v>176</v>
      </c>
      <c r="C128" s="6" t="s">
        <v>140</v>
      </c>
      <c r="D128" s="6" t="s">
        <v>141</v>
      </c>
      <c r="E128" s="6" t="s">
        <v>142</v>
      </c>
      <c r="F128" s="6" t="s">
        <v>29</v>
      </c>
      <c r="G128" s="24" t="n">
        <v>-1776568.05</v>
      </c>
      <c r="H128" s="24" t="n">
        <f aca="false">$G128*Supuestos!D$10*(Drivers!D$51/Drivers!$C$51)</f>
        <v>-1883162.133</v>
      </c>
      <c r="I128" s="24" t="n">
        <f aca="false">$G128*Supuestos!E$10*(Drivers!E$51/Drivers!$C$51)</f>
        <v>-1883162.133</v>
      </c>
      <c r="J128" s="24" t="n">
        <f aca="false">$G128*Supuestos!F$10*(Drivers!F$51/Drivers!$C$51)</f>
        <v>-1883162.133</v>
      </c>
      <c r="K128" s="24" t="n">
        <f aca="false">$G128*Supuestos!G$10*(Drivers!G$51/Drivers!$C$51)</f>
        <v>-1986736.050315</v>
      </c>
      <c r="L128" s="24" t="n">
        <f aca="false">$G128*Supuestos!H$10*(Drivers!H$51/Drivers!$C$51)</f>
        <v>-1986736.050315</v>
      </c>
      <c r="M128" s="24" t="n">
        <f aca="false">$G128*Supuestos!I$10*(Drivers!I$51/Drivers!$C$51)</f>
        <v>-1986736.050315</v>
      </c>
      <c r="N128" s="24" t="n">
        <f aca="false">$G128*Supuestos!J$10*(Drivers!J$51/Drivers!$C$51)</f>
        <v>-2096006.53308233</v>
      </c>
      <c r="O128" s="24" t="n">
        <f aca="false">$G128*Supuestos!K$10*(Drivers!K$51/Drivers!$C$51)</f>
        <v>-2096006.53308233</v>
      </c>
      <c r="P128" s="24" t="n">
        <f aca="false">$G128*Supuestos!L$10*(Drivers!L$51/Drivers!$C$51)</f>
        <v>-2096006.53308233</v>
      </c>
      <c r="Q128" s="24" t="n">
        <f aca="false">$G128*Supuestos!M$10*(Drivers!M$51/Drivers!$C$51)</f>
        <v>-2211286.89240185</v>
      </c>
      <c r="R128" s="24" t="n">
        <f aca="false">$G128*Supuestos!N$10*(Drivers!N$51/Drivers!$C$51)</f>
        <v>-2211286.89240185</v>
      </c>
      <c r="S128" s="24" t="n">
        <f aca="false">$G128*Supuestos!O$10*(Drivers!O$51/Drivers!$C$51)</f>
        <v>-2211286.89240185</v>
      </c>
      <c r="T128" s="24" t="n">
        <f aca="false">$G128*Supuestos!P$10*(Drivers!P$51/Drivers!$C$51)</f>
        <v>-2332907.67148396</v>
      </c>
      <c r="U128" s="24" t="n">
        <f aca="false">$G128*Supuestos!Q$10*(Drivers!Q$51/Drivers!$C$51)</f>
        <v>-2332907.67148396</v>
      </c>
      <c r="V128" s="24" t="n">
        <f aca="false">$G128*Supuestos!R$10*(Drivers!R$51/Drivers!$C$51)</f>
        <v>-2332907.67148396</v>
      </c>
    </row>
    <row r="129" customFormat="false" ht="15" hidden="false" customHeight="false" outlineLevel="0" collapsed="false">
      <c r="A129" s="6" t="s">
        <v>177</v>
      </c>
      <c r="B129" s="6" t="s">
        <v>176</v>
      </c>
      <c r="C129" s="6" t="s">
        <v>140</v>
      </c>
      <c r="D129" s="6" t="s">
        <v>141</v>
      </c>
      <c r="E129" s="6" t="s">
        <v>143</v>
      </c>
      <c r="F129" s="6" t="s">
        <v>29</v>
      </c>
      <c r="G129" s="24" t="n">
        <v>-278019.45</v>
      </c>
      <c r="H129" s="24" t="n">
        <f aca="false">$G129*Supuestos!D$10*(Drivers!D$51/Drivers!$C$51)</f>
        <v>-294700.617</v>
      </c>
      <c r="I129" s="24" t="n">
        <f aca="false">$G129*Supuestos!E$10*(Drivers!E$51/Drivers!$C$51)</f>
        <v>-294700.617</v>
      </c>
      <c r="J129" s="24" t="n">
        <f aca="false">$G129*Supuestos!F$10*(Drivers!F$51/Drivers!$C$51)</f>
        <v>-294700.617</v>
      </c>
      <c r="K129" s="24" t="n">
        <f aca="false">$G129*Supuestos!G$10*(Drivers!G$51/Drivers!$C$51)</f>
        <v>-310909.150935</v>
      </c>
      <c r="L129" s="24" t="n">
        <f aca="false">$G129*Supuestos!H$10*(Drivers!H$51/Drivers!$C$51)</f>
        <v>-310909.150935</v>
      </c>
      <c r="M129" s="24" t="n">
        <f aca="false">$G129*Supuestos!I$10*(Drivers!I$51/Drivers!$C$51)</f>
        <v>-310909.150935</v>
      </c>
      <c r="N129" s="24" t="n">
        <f aca="false">$G129*Supuestos!J$10*(Drivers!J$51/Drivers!$C$51)</f>
        <v>-328009.154236425</v>
      </c>
      <c r="O129" s="24" t="n">
        <f aca="false">$G129*Supuestos!K$10*(Drivers!K$51/Drivers!$C$51)</f>
        <v>-328009.154236425</v>
      </c>
      <c r="P129" s="24" t="n">
        <f aca="false">$G129*Supuestos!L$10*(Drivers!L$51/Drivers!$C$51)</f>
        <v>-328009.154236425</v>
      </c>
      <c r="Q129" s="24" t="n">
        <f aca="false">$G129*Supuestos!M$10*(Drivers!M$51/Drivers!$C$51)</f>
        <v>-346049.657719428</v>
      </c>
      <c r="R129" s="24" t="n">
        <f aca="false">$G129*Supuestos!N$10*(Drivers!N$51/Drivers!$C$51)</f>
        <v>-346049.657719428</v>
      </c>
      <c r="S129" s="24" t="n">
        <f aca="false">$G129*Supuestos!O$10*(Drivers!O$51/Drivers!$C$51)</f>
        <v>-346049.657719428</v>
      </c>
      <c r="T129" s="24" t="n">
        <f aca="false">$G129*Supuestos!P$10*(Drivers!P$51/Drivers!$C$51)</f>
        <v>-365082.388893997</v>
      </c>
      <c r="U129" s="24" t="n">
        <f aca="false">$G129*Supuestos!Q$10*(Drivers!Q$51/Drivers!$C$51)</f>
        <v>-365082.388893997</v>
      </c>
      <c r="V129" s="24" t="n">
        <f aca="false">$G129*Supuestos!R$10*(Drivers!R$51/Drivers!$C$51)</f>
        <v>-365082.388893997</v>
      </c>
    </row>
    <row r="130" customFormat="false" ht="15" hidden="false" customHeight="false" outlineLevel="0" collapsed="false">
      <c r="A130" s="6" t="s">
        <v>177</v>
      </c>
      <c r="B130" s="6" t="s">
        <v>176</v>
      </c>
      <c r="C130" s="6" t="s">
        <v>140</v>
      </c>
      <c r="D130" s="6" t="s">
        <v>141</v>
      </c>
      <c r="E130" s="6" t="s">
        <v>144</v>
      </c>
      <c r="F130" s="6" t="s">
        <v>29</v>
      </c>
      <c r="G130" s="24" t="n">
        <v>-65767.81</v>
      </c>
      <c r="H130" s="24" t="n">
        <f aca="false">$G130*Supuestos!D$10*(Drivers!D$51/Drivers!$C$51)</f>
        <v>-69713.8786</v>
      </c>
      <c r="I130" s="24" t="n">
        <f aca="false">$G130*Supuestos!E$10*(Drivers!E$51/Drivers!$C$51)</f>
        <v>-69713.8786</v>
      </c>
      <c r="J130" s="24" t="n">
        <f aca="false">$G130*Supuestos!F$10*(Drivers!F$51/Drivers!$C$51)</f>
        <v>-69713.8786</v>
      </c>
      <c r="K130" s="24" t="n">
        <f aca="false">$G130*Supuestos!G$10*(Drivers!G$51/Drivers!$C$51)</f>
        <v>-73548.141923</v>
      </c>
      <c r="L130" s="24" t="n">
        <f aca="false">$G130*Supuestos!H$10*(Drivers!H$51/Drivers!$C$51)</f>
        <v>-73548.141923</v>
      </c>
      <c r="M130" s="24" t="n">
        <f aca="false">$G130*Supuestos!I$10*(Drivers!I$51/Drivers!$C$51)</f>
        <v>-73548.141923</v>
      </c>
      <c r="N130" s="24" t="n">
        <f aca="false">$G130*Supuestos!J$10*(Drivers!J$51/Drivers!$C$51)</f>
        <v>-77593.289728765</v>
      </c>
      <c r="O130" s="24" t="n">
        <f aca="false">$G130*Supuestos!K$10*(Drivers!K$51/Drivers!$C$51)</f>
        <v>-77593.289728765</v>
      </c>
      <c r="P130" s="24" t="n">
        <f aca="false">$G130*Supuestos!L$10*(Drivers!L$51/Drivers!$C$51)</f>
        <v>-77593.289728765</v>
      </c>
      <c r="Q130" s="24" t="n">
        <f aca="false">$G130*Supuestos!M$10*(Drivers!M$51/Drivers!$C$51)</f>
        <v>-81860.9206638471</v>
      </c>
      <c r="R130" s="24" t="n">
        <f aca="false">$G130*Supuestos!N$10*(Drivers!N$51/Drivers!$C$51)</f>
        <v>-81860.9206638471</v>
      </c>
      <c r="S130" s="24" t="n">
        <f aca="false">$G130*Supuestos!O$10*(Drivers!O$51/Drivers!$C$51)</f>
        <v>-81860.9206638471</v>
      </c>
      <c r="T130" s="24" t="n">
        <f aca="false">$G130*Supuestos!P$10*(Drivers!P$51/Drivers!$C$51)</f>
        <v>-86363.2713003587</v>
      </c>
      <c r="U130" s="24" t="n">
        <f aca="false">$G130*Supuestos!Q$10*(Drivers!Q$51/Drivers!$C$51)</f>
        <v>-86363.2713003587</v>
      </c>
      <c r="V130" s="24" t="n">
        <f aca="false">$G130*Supuestos!R$10*(Drivers!R$51/Drivers!$C$51)</f>
        <v>-86363.2713003587</v>
      </c>
    </row>
    <row r="131" customFormat="false" ht="15" hidden="false" customHeight="false" outlineLevel="0" collapsed="false">
      <c r="A131" s="6" t="s">
        <v>177</v>
      </c>
      <c r="B131" s="6" t="s">
        <v>176</v>
      </c>
      <c r="C131" s="6" t="s">
        <v>140</v>
      </c>
      <c r="D131" s="6" t="s">
        <v>141</v>
      </c>
      <c r="E131" s="6" t="s">
        <v>145</v>
      </c>
      <c r="F131" s="6" t="s">
        <v>29</v>
      </c>
      <c r="G131" s="24" t="n">
        <v>-44842.19</v>
      </c>
      <c r="H131" s="24" t="n">
        <f aca="false">$G131*Supuestos!D$10*(Drivers!D$51/Drivers!$C$51)</f>
        <v>-47532.7214</v>
      </c>
      <c r="I131" s="24" t="n">
        <f aca="false">$G131*Supuestos!E$10*(Drivers!E$51/Drivers!$C$51)</f>
        <v>-47532.7214</v>
      </c>
      <c r="J131" s="24" t="n">
        <f aca="false">$G131*Supuestos!F$10*(Drivers!F$51/Drivers!$C$51)</f>
        <v>-47532.7214</v>
      </c>
      <c r="K131" s="24" t="n">
        <f aca="false">$G131*Supuestos!G$10*(Drivers!G$51/Drivers!$C$51)</f>
        <v>-50147.021077</v>
      </c>
      <c r="L131" s="24" t="n">
        <f aca="false">$G131*Supuestos!H$10*(Drivers!H$51/Drivers!$C$51)</f>
        <v>-50147.021077</v>
      </c>
      <c r="M131" s="24" t="n">
        <f aca="false">$G131*Supuestos!I$10*(Drivers!I$51/Drivers!$C$51)</f>
        <v>-50147.021077</v>
      </c>
      <c r="N131" s="24" t="n">
        <f aca="false">$G131*Supuestos!J$10*(Drivers!J$51/Drivers!$C$51)</f>
        <v>-52905.107236235</v>
      </c>
      <c r="O131" s="24" t="n">
        <f aca="false">$G131*Supuestos!K$10*(Drivers!K$51/Drivers!$C$51)</f>
        <v>-52905.107236235</v>
      </c>
      <c r="P131" s="24" t="n">
        <f aca="false">$G131*Supuestos!L$10*(Drivers!L$51/Drivers!$C$51)</f>
        <v>-52905.107236235</v>
      </c>
      <c r="Q131" s="24" t="n">
        <f aca="false">$G131*Supuestos!M$10*(Drivers!M$51/Drivers!$C$51)</f>
        <v>-55814.8881342279</v>
      </c>
      <c r="R131" s="24" t="n">
        <f aca="false">$G131*Supuestos!N$10*(Drivers!N$51/Drivers!$C$51)</f>
        <v>-55814.8881342279</v>
      </c>
      <c r="S131" s="24" t="n">
        <f aca="false">$G131*Supuestos!O$10*(Drivers!O$51/Drivers!$C$51)</f>
        <v>-55814.8881342279</v>
      </c>
      <c r="T131" s="24" t="n">
        <f aca="false">$G131*Supuestos!P$10*(Drivers!P$51/Drivers!$C$51)</f>
        <v>-58884.7069816105</v>
      </c>
      <c r="U131" s="24" t="n">
        <f aca="false">$G131*Supuestos!Q$10*(Drivers!Q$51/Drivers!$C$51)</f>
        <v>-58884.7069816105</v>
      </c>
      <c r="V131" s="24" t="n">
        <f aca="false">$G131*Supuestos!R$10*(Drivers!R$51/Drivers!$C$51)</f>
        <v>-58884.7069816105</v>
      </c>
    </row>
    <row r="132" customFormat="false" ht="15" hidden="false" customHeight="false" outlineLevel="0" collapsed="false">
      <c r="A132" s="6" t="s">
        <v>177</v>
      </c>
      <c r="B132" s="6" t="s">
        <v>176</v>
      </c>
      <c r="C132" s="6" t="s">
        <v>140</v>
      </c>
      <c r="D132" s="6" t="s">
        <v>141</v>
      </c>
      <c r="E132" s="6" t="s">
        <v>146</v>
      </c>
      <c r="F132" s="6" t="s">
        <v>29</v>
      </c>
      <c r="G132" s="24" t="n">
        <v>-85199.67</v>
      </c>
      <c r="H132" s="24" t="n">
        <f aca="false">$G132*Supuestos!D$10*(Drivers!D$51/Drivers!$C$51)</f>
        <v>-90311.6502</v>
      </c>
      <c r="I132" s="24" t="n">
        <f aca="false">$G132*Supuestos!E$10*(Drivers!E$51/Drivers!$C$51)</f>
        <v>-90311.6502</v>
      </c>
      <c r="J132" s="24" t="n">
        <f aca="false">$G132*Supuestos!F$10*(Drivers!F$51/Drivers!$C$51)</f>
        <v>-90311.6502</v>
      </c>
      <c r="K132" s="24" t="n">
        <f aca="false">$G132*Supuestos!G$10*(Drivers!G$51/Drivers!$C$51)</f>
        <v>-95278.790961</v>
      </c>
      <c r="L132" s="24" t="n">
        <f aca="false">$G132*Supuestos!H$10*(Drivers!H$51/Drivers!$C$51)</f>
        <v>-95278.790961</v>
      </c>
      <c r="M132" s="24" t="n">
        <f aca="false">$G132*Supuestos!I$10*(Drivers!I$51/Drivers!$C$51)</f>
        <v>-95278.790961</v>
      </c>
      <c r="N132" s="24" t="n">
        <f aca="false">$G132*Supuestos!J$10*(Drivers!J$51/Drivers!$C$51)</f>
        <v>-100519.124463855</v>
      </c>
      <c r="O132" s="24" t="n">
        <f aca="false">$G132*Supuestos!K$10*(Drivers!K$51/Drivers!$C$51)</f>
        <v>-100519.124463855</v>
      </c>
      <c r="P132" s="24" t="n">
        <f aca="false">$G132*Supuestos!L$10*(Drivers!L$51/Drivers!$C$51)</f>
        <v>-100519.124463855</v>
      </c>
      <c r="Q132" s="24" t="n">
        <f aca="false">$G132*Supuestos!M$10*(Drivers!M$51/Drivers!$C$51)</f>
        <v>-106047.676309367</v>
      </c>
      <c r="R132" s="24" t="n">
        <f aca="false">$G132*Supuestos!N$10*(Drivers!N$51/Drivers!$C$51)</f>
        <v>-106047.676309367</v>
      </c>
      <c r="S132" s="24" t="n">
        <f aca="false">$G132*Supuestos!O$10*(Drivers!O$51/Drivers!$C$51)</f>
        <v>-106047.676309367</v>
      </c>
      <c r="T132" s="24" t="n">
        <f aca="false">$G132*Supuestos!P$10*(Drivers!P$51/Drivers!$C$51)</f>
        <v>-111880.298506382</v>
      </c>
      <c r="U132" s="24" t="n">
        <f aca="false">$G132*Supuestos!Q$10*(Drivers!Q$51/Drivers!$C$51)</f>
        <v>-111880.298506382</v>
      </c>
      <c r="V132" s="24" t="n">
        <f aca="false">$G132*Supuestos!R$10*(Drivers!R$51/Drivers!$C$51)</f>
        <v>-111880.298506382</v>
      </c>
    </row>
    <row r="133" customFormat="false" ht="15" hidden="false" customHeight="false" outlineLevel="0" collapsed="false">
      <c r="A133" s="6" t="s">
        <v>177</v>
      </c>
      <c r="B133" s="6" t="s">
        <v>176</v>
      </c>
      <c r="C133" s="6" t="s">
        <v>140</v>
      </c>
      <c r="D133" s="6" t="s">
        <v>141</v>
      </c>
      <c r="E133" s="6" t="s">
        <v>147</v>
      </c>
      <c r="F133" s="6" t="s">
        <v>29</v>
      </c>
      <c r="G133" s="24" t="n">
        <v>-95662.83</v>
      </c>
      <c r="H133" s="24" t="n">
        <f aca="false">$G133*Supuestos!D$10*(Drivers!D$51/Drivers!$C$51)</f>
        <v>-101402.5998</v>
      </c>
      <c r="I133" s="24" t="n">
        <f aca="false">$G133*Supuestos!E$10*(Drivers!E$51/Drivers!$C$51)</f>
        <v>-101402.5998</v>
      </c>
      <c r="J133" s="24" t="n">
        <f aca="false">$G133*Supuestos!F$10*(Drivers!F$51/Drivers!$C$51)</f>
        <v>-101402.5998</v>
      </c>
      <c r="K133" s="24" t="n">
        <f aca="false">$G133*Supuestos!G$10*(Drivers!G$51/Drivers!$C$51)</f>
        <v>-106979.742789</v>
      </c>
      <c r="L133" s="24" t="n">
        <f aca="false">$G133*Supuestos!H$10*(Drivers!H$51/Drivers!$C$51)</f>
        <v>-106979.742789</v>
      </c>
      <c r="M133" s="24" t="n">
        <f aca="false">$G133*Supuestos!I$10*(Drivers!I$51/Drivers!$C$51)</f>
        <v>-106979.742789</v>
      </c>
      <c r="N133" s="24" t="n">
        <f aca="false">$G133*Supuestos!J$10*(Drivers!J$51/Drivers!$C$51)</f>
        <v>-112863.628642395</v>
      </c>
      <c r="O133" s="24" t="n">
        <f aca="false">$G133*Supuestos!K$10*(Drivers!K$51/Drivers!$C$51)</f>
        <v>-112863.628642395</v>
      </c>
      <c r="P133" s="24" t="n">
        <f aca="false">$G133*Supuestos!L$10*(Drivers!L$51/Drivers!$C$51)</f>
        <v>-112863.628642395</v>
      </c>
      <c r="Q133" s="24" t="n">
        <f aca="false">$G133*Supuestos!M$10*(Drivers!M$51/Drivers!$C$51)</f>
        <v>-119071.128217727</v>
      </c>
      <c r="R133" s="24" t="n">
        <f aca="false">$G133*Supuestos!N$10*(Drivers!N$51/Drivers!$C$51)</f>
        <v>-119071.128217727</v>
      </c>
      <c r="S133" s="24" t="n">
        <f aca="false">$G133*Supuestos!O$10*(Drivers!O$51/Drivers!$C$51)</f>
        <v>-119071.128217727</v>
      </c>
      <c r="T133" s="24" t="n">
        <f aca="false">$G133*Supuestos!P$10*(Drivers!P$51/Drivers!$C$51)</f>
        <v>-125620.040269702</v>
      </c>
      <c r="U133" s="24" t="n">
        <f aca="false">$G133*Supuestos!Q$10*(Drivers!Q$51/Drivers!$C$51)</f>
        <v>-125620.040269702</v>
      </c>
      <c r="V133" s="24" t="n">
        <f aca="false">$G133*Supuestos!R$10*(Drivers!R$51/Drivers!$C$51)</f>
        <v>-125620.040269702</v>
      </c>
    </row>
    <row r="134" customFormat="false" ht="15" hidden="false" customHeight="false" outlineLevel="0" collapsed="false">
      <c r="A134" s="6" t="s">
        <v>177</v>
      </c>
      <c r="B134" s="6" t="s">
        <v>176</v>
      </c>
      <c r="C134" s="6" t="s">
        <v>140</v>
      </c>
      <c r="D134" s="6" t="s">
        <v>141</v>
      </c>
      <c r="E134" s="6" t="s">
        <v>148</v>
      </c>
      <c r="F134" s="6" t="s">
        <v>41</v>
      </c>
      <c r="G134" s="24" t="n">
        <v>-15017.75</v>
      </c>
      <c r="H134" s="24" t="n">
        <f aca="false">0</f>
        <v>0</v>
      </c>
      <c r="I134" s="24" t="n">
        <f aca="false">0</f>
        <v>0</v>
      </c>
      <c r="J134" s="24" t="n">
        <f aca="false">0</f>
        <v>0</v>
      </c>
      <c r="K134" s="24" t="n">
        <f aca="false">0</f>
        <v>0</v>
      </c>
      <c r="L134" s="24" t="n">
        <f aca="false">0</f>
        <v>0</v>
      </c>
      <c r="M134" s="24" t="n">
        <f aca="false">0</f>
        <v>0</v>
      </c>
      <c r="N134" s="24" t="n">
        <f aca="false">0</f>
        <v>0</v>
      </c>
      <c r="O134" s="24" t="n">
        <f aca="false">0</f>
        <v>0</v>
      </c>
      <c r="P134" s="24" t="n">
        <f aca="false">0</f>
        <v>0</v>
      </c>
      <c r="Q134" s="24" t="n">
        <f aca="false">0</f>
        <v>0</v>
      </c>
      <c r="R134" s="24" t="n">
        <f aca="false">0</f>
        <v>0</v>
      </c>
      <c r="S134" s="24" t="n">
        <f aca="false">0</f>
        <v>0</v>
      </c>
      <c r="T134" s="24" t="n">
        <f aca="false">0</f>
        <v>0</v>
      </c>
      <c r="U134" s="24" t="n">
        <f aca="false">0</f>
        <v>0</v>
      </c>
      <c r="V134" s="24" t="n">
        <f aca="false">0</f>
        <v>0</v>
      </c>
    </row>
    <row r="135" customFormat="false" ht="15" hidden="false" customHeight="false" outlineLevel="0" collapsed="false">
      <c r="A135" s="6" t="s">
        <v>177</v>
      </c>
      <c r="B135" s="6" t="s">
        <v>176</v>
      </c>
      <c r="C135" s="6" t="s">
        <v>140</v>
      </c>
      <c r="D135" s="6" t="s">
        <v>151</v>
      </c>
      <c r="E135" s="6" t="s">
        <v>152</v>
      </c>
      <c r="F135" s="6" t="s">
        <v>31</v>
      </c>
      <c r="G135" s="24" t="n">
        <v>-122850</v>
      </c>
      <c r="H135" s="24" t="n">
        <f aca="false">$G135*Supuestos!D$8*(Drivers!D$51/Drivers!$C$51)</f>
        <v>-125820</v>
      </c>
      <c r="I135" s="24" t="n">
        <f aca="false">$G135*Supuestos!E$8*(Drivers!E$51/Drivers!$C$51)</f>
        <v>-128880</v>
      </c>
      <c r="J135" s="24" t="n">
        <f aca="false">$G135*Supuestos!F$8*(Drivers!F$51/Drivers!$C$51)</f>
        <v>-131850</v>
      </c>
      <c r="K135" s="24" t="n">
        <f aca="false">$G135*Supuestos!G$8*(Drivers!G$51/Drivers!$C$51)</f>
        <v>-134010</v>
      </c>
      <c r="L135" s="24" t="n">
        <f aca="false">$G135*Supuestos!H$8*(Drivers!H$51/Drivers!$C$51)</f>
        <v>-136080</v>
      </c>
      <c r="M135" s="24" t="n">
        <f aca="false">$G135*Supuestos!I$8*(Drivers!I$51/Drivers!$C$51)</f>
        <v>-138240</v>
      </c>
      <c r="N135" s="24" t="n">
        <f aca="false">$G135*Supuestos!J$8*(Drivers!J$51/Drivers!$C$51)</f>
        <v>-140400</v>
      </c>
      <c r="O135" s="24" t="n">
        <f aca="false">$G135*Supuestos!K$8*(Drivers!K$51/Drivers!$C$51)</f>
        <v>-142560</v>
      </c>
      <c r="P135" s="24" t="n">
        <f aca="false">$G135*Supuestos!L$8*(Drivers!L$51/Drivers!$C$51)</f>
        <v>-144720</v>
      </c>
      <c r="Q135" s="24" t="n">
        <f aca="false">$G135*Supuestos!M$8*(Drivers!M$51/Drivers!$C$51)</f>
        <v>-146790</v>
      </c>
      <c r="R135" s="24" t="n">
        <f aca="false">$G135*Supuestos!N$8*(Drivers!N$51/Drivers!$C$51)</f>
        <v>-148950</v>
      </c>
      <c r="S135" s="24" t="n">
        <f aca="false">$G135*Supuestos!O$8*(Drivers!O$51/Drivers!$C$51)</f>
        <v>-151110</v>
      </c>
      <c r="T135" s="24" t="n">
        <f aca="false">$G135*Supuestos!P$8*(Drivers!P$51/Drivers!$C$51)</f>
        <v>-153180</v>
      </c>
      <c r="U135" s="24" t="n">
        <f aca="false">$G135*Supuestos!Q$8*(Drivers!Q$51/Drivers!$C$51)</f>
        <v>-155340</v>
      </c>
      <c r="V135" s="24" t="n">
        <f aca="false">$G135*Supuestos!R$8*(Drivers!R$51/Drivers!$C$51)</f>
        <v>-157500</v>
      </c>
    </row>
    <row r="136" customFormat="false" ht="15" hidden="false" customHeight="false" outlineLevel="0" collapsed="false">
      <c r="A136" s="6" t="s">
        <v>177</v>
      </c>
      <c r="B136" s="6" t="s">
        <v>176</v>
      </c>
      <c r="C136" s="6" t="s">
        <v>140</v>
      </c>
      <c r="D136" s="6" t="s">
        <v>153</v>
      </c>
      <c r="E136" s="6" t="s">
        <v>154</v>
      </c>
      <c r="F136" s="6" t="s">
        <v>33</v>
      </c>
      <c r="G136" s="24" t="n">
        <v>-52566.24</v>
      </c>
      <c r="H136" s="24" t="n">
        <f aca="false">$G136*Supuestos!D$6*(Drivers!D$51/Drivers!$C$51)</f>
        <v>-53775.26352</v>
      </c>
      <c r="I136" s="24" t="n">
        <f aca="false">$G136*Supuestos!E$6*(Drivers!E$51/Drivers!$C$51)</f>
        <v>-55012.09458096</v>
      </c>
      <c r="J136" s="24" t="n">
        <f aca="false">$G136*Supuestos!F$6*(Drivers!F$51/Drivers!$C$51)</f>
        <v>-56277.3727563221</v>
      </c>
      <c r="K136" s="24" t="n">
        <f aca="false">$G136*Supuestos!G$6*(Drivers!G$51/Drivers!$C$51)</f>
        <v>-57346.6428386922</v>
      </c>
      <c r="L136" s="24" t="n">
        <f aca="false">$G136*Supuestos!H$6*(Drivers!H$51/Drivers!$C$51)</f>
        <v>-58436.2290526273</v>
      </c>
      <c r="M136" s="24" t="n">
        <f aca="false">$G136*Supuestos!I$6*(Drivers!I$51/Drivers!$C$51)</f>
        <v>-59546.5174046272</v>
      </c>
      <c r="N136" s="24" t="n">
        <f aca="false">$G136*Supuestos!J$6*(Drivers!J$51/Drivers!$C$51)</f>
        <v>-60677.9012353151</v>
      </c>
      <c r="O136" s="24" t="n">
        <f aca="false">$G136*Supuestos!K$6*(Drivers!K$51/Drivers!$C$51)</f>
        <v>-61830.7813587861</v>
      </c>
      <c r="P136" s="24" t="n">
        <f aca="false">$G136*Supuestos!L$6*(Drivers!L$51/Drivers!$C$51)</f>
        <v>-63005.566204603</v>
      </c>
      <c r="Q136" s="24" t="n">
        <f aca="false">$G136*Supuestos!M$6*(Drivers!M$51/Drivers!$C$51)</f>
        <v>-64202.6719624905</v>
      </c>
      <c r="R136" s="24" t="n">
        <f aca="false">$G136*Supuestos!N$6*(Drivers!N$51/Drivers!$C$51)</f>
        <v>-65422.5227297778</v>
      </c>
      <c r="S136" s="24" t="n">
        <f aca="false">$G136*Supuestos!O$6*(Drivers!O$51/Drivers!$C$51)</f>
        <v>-66665.5506616436</v>
      </c>
      <c r="T136" s="24" t="n">
        <f aca="false">$G136*Supuestos!P$6*(Drivers!P$51/Drivers!$C$51)</f>
        <v>-67932.1961242148</v>
      </c>
      <c r="U136" s="24" t="n">
        <f aca="false">$G136*Supuestos!Q$6*(Drivers!Q$51/Drivers!$C$51)</f>
        <v>-69222.9078505749</v>
      </c>
      <c r="V136" s="24" t="n">
        <f aca="false">$G136*Supuestos!R$6*(Drivers!R$51/Drivers!$C$51)</f>
        <v>-70538.1430997358</v>
      </c>
    </row>
    <row r="137" customFormat="false" ht="15" hidden="false" customHeight="false" outlineLevel="0" collapsed="false">
      <c r="A137" s="6" t="s">
        <v>177</v>
      </c>
      <c r="B137" s="6" t="s">
        <v>176</v>
      </c>
      <c r="C137" s="6" t="s">
        <v>140</v>
      </c>
      <c r="D137" s="6" t="s">
        <v>153</v>
      </c>
      <c r="E137" s="6" t="s">
        <v>155</v>
      </c>
      <c r="F137" s="6" t="s">
        <v>33</v>
      </c>
      <c r="G137" s="24" t="n">
        <v>-13517.12</v>
      </c>
      <c r="H137" s="24" t="n">
        <f aca="false">$G137*Supuestos!D$6*(Drivers!D$51/Drivers!$C$51)</f>
        <v>-13828.01376</v>
      </c>
      <c r="I137" s="24" t="n">
        <f aca="false">$G137*Supuestos!E$6*(Drivers!E$51/Drivers!$C$51)</f>
        <v>-14146.05807648</v>
      </c>
      <c r="J137" s="24" t="n">
        <f aca="false">$G137*Supuestos!F$6*(Drivers!F$51/Drivers!$C$51)</f>
        <v>-14471.417412239</v>
      </c>
      <c r="K137" s="24" t="n">
        <f aca="false">$G137*Supuestos!G$6*(Drivers!G$51/Drivers!$C$51)</f>
        <v>-14746.3743430716</v>
      </c>
      <c r="L137" s="24" t="n">
        <f aca="false">$G137*Supuestos!H$6*(Drivers!H$51/Drivers!$C$51)</f>
        <v>-15026.5554555899</v>
      </c>
      <c r="M137" s="24" t="n">
        <f aca="false">$G137*Supuestos!I$6*(Drivers!I$51/Drivers!$C$51)</f>
        <v>-15312.0600092461</v>
      </c>
      <c r="N137" s="24" t="n">
        <f aca="false">$G137*Supuestos!J$6*(Drivers!J$51/Drivers!$C$51)</f>
        <v>-15602.9891494218</v>
      </c>
      <c r="O137" s="24" t="n">
        <f aca="false">$G137*Supuestos!K$6*(Drivers!K$51/Drivers!$C$51)</f>
        <v>-15899.4459432608</v>
      </c>
      <c r="P137" s="24" t="n">
        <f aca="false">$G137*Supuestos!L$6*(Drivers!L$51/Drivers!$C$51)</f>
        <v>-16201.5354161828</v>
      </c>
      <c r="Q137" s="24" t="n">
        <f aca="false">$G137*Supuestos!M$6*(Drivers!M$51/Drivers!$C$51)</f>
        <v>-16509.3645890903</v>
      </c>
      <c r="R137" s="24" t="n">
        <f aca="false">$G137*Supuestos!N$6*(Drivers!N$51/Drivers!$C$51)</f>
        <v>-16823.042516283</v>
      </c>
      <c r="S137" s="24" t="n">
        <f aca="false">$G137*Supuestos!O$6*(Drivers!O$51/Drivers!$C$51)</f>
        <v>-17142.6803240923</v>
      </c>
      <c r="T137" s="24" t="n">
        <f aca="false">$G137*Supuestos!P$6*(Drivers!P$51/Drivers!$C$51)</f>
        <v>-17468.3912502501</v>
      </c>
      <c r="U137" s="24" t="n">
        <f aca="false">$G137*Supuestos!Q$6*(Drivers!Q$51/Drivers!$C$51)</f>
        <v>-17800.2906840048</v>
      </c>
      <c r="V137" s="24" t="n">
        <f aca="false">$G137*Supuestos!R$6*(Drivers!R$51/Drivers!$C$51)</f>
        <v>-18138.4962070009</v>
      </c>
    </row>
    <row r="138" customFormat="false" ht="15" hidden="false" customHeight="false" outlineLevel="0" collapsed="false">
      <c r="A138" s="6" t="s">
        <v>177</v>
      </c>
      <c r="B138" s="6" t="s">
        <v>176</v>
      </c>
      <c r="C138" s="6" t="s">
        <v>140</v>
      </c>
      <c r="D138" s="6" t="s">
        <v>153</v>
      </c>
      <c r="E138" s="6" t="s">
        <v>156</v>
      </c>
      <c r="F138" s="6" t="s">
        <v>33</v>
      </c>
      <c r="G138" s="24" t="n">
        <v>-9011.41</v>
      </c>
      <c r="H138" s="24" t="n">
        <f aca="false">$G138*Supuestos!D$6*(Drivers!D$51/Drivers!$C$51)</f>
        <v>-9218.67243</v>
      </c>
      <c r="I138" s="24" t="n">
        <f aca="false">$G138*Supuestos!E$6*(Drivers!E$51/Drivers!$C$51)</f>
        <v>-9430.70189589</v>
      </c>
      <c r="J138" s="24" t="n">
        <f aca="false">$G138*Supuestos!F$6*(Drivers!F$51/Drivers!$C$51)</f>
        <v>-9647.60803949547</v>
      </c>
      <c r="K138" s="24" t="n">
        <f aca="false">$G138*Supuestos!G$6*(Drivers!G$51/Drivers!$C$51)</f>
        <v>-9830.91259224588</v>
      </c>
      <c r="L138" s="24" t="n">
        <f aca="false">$G138*Supuestos!H$6*(Drivers!H$51/Drivers!$C$51)</f>
        <v>-10017.6999314986</v>
      </c>
      <c r="M138" s="24" t="n">
        <f aca="false">$G138*Supuestos!I$6*(Drivers!I$51/Drivers!$C$51)</f>
        <v>-10208.036230197</v>
      </c>
      <c r="N138" s="24" t="n">
        <f aca="false">$G138*Supuestos!J$6*(Drivers!J$51/Drivers!$C$51)</f>
        <v>-10401.9889185708</v>
      </c>
      <c r="O138" s="24" t="n">
        <f aca="false">$G138*Supuestos!K$6*(Drivers!K$51/Drivers!$C$51)</f>
        <v>-10599.6267080236</v>
      </c>
      <c r="P138" s="24" t="n">
        <f aca="false">$G138*Supuestos!L$6*(Drivers!L$51/Drivers!$C$51)</f>
        <v>-10801.0196154761</v>
      </c>
      <c r="Q138" s="24" t="n">
        <f aca="false">$G138*Supuestos!M$6*(Drivers!M$51/Drivers!$C$51)</f>
        <v>-11006.2389881701</v>
      </c>
      <c r="R138" s="24" t="n">
        <f aca="false">$G138*Supuestos!N$6*(Drivers!N$51/Drivers!$C$51)</f>
        <v>-11215.3575289453</v>
      </c>
      <c r="S138" s="24" t="n">
        <f aca="false">$G138*Supuestos!O$6*(Drivers!O$51/Drivers!$C$51)</f>
        <v>-11428.4493219953</v>
      </c>
      <c r="T138" s="24" t="n">
        <f aca="false">$G138*Supuestos!P$6*(Drivers!P$51/Drivers!$C$51)</f>
        <v>-11645.5898591132</v>
      </c>
      <c r="U138" s="24" t="n">
        <f aca="false">$G138*Supuestos!Q$6*(Drivers!Q$51/Drivers!$C$51)</f>
        <v>-11866.8560664363</v>
      </c>
      <c r="V138" s="24" t="n">
        <f aca="false">$G138*Supuestos!R$6*(Drivers!R$51/Drivers!$C$51)</f>
        <v>-12092.3263316986</v>
      </c>
    </row>
    <row r="139" customFormat="false" ht="15" hidden="false" customHeight="false" outlineLevel="0" collapsed="false">
      <c r="A139" s="6" t="s">
        <v>177</v>
      </c>
      <c r="B139" s="6" t="s">
        <v>176</v>
      </c>
      <c r="C139" s="6" t="s">
        <v>140</v>
      </c>
      <c r="D139" s="6" t="s">
        <v>161</v>
      </c>
      <c r="E139" s="6" t="s">
        <v>162</v>
      </c>
      <c r="F139" s="6" t="s">
        <v>35</v>
      </c>
      <c r="G139" s="24" t="n">
        <v>-57455.59</v>
      </c>
      <c r="H139" s="24" t="n">
        <f aca="false">$G139*Supuestos!D$8*(Drivers!D$48/100)</f>
        <v>-58844.6262417582</v>
      </c>
      <c r="I139" s="24" t="n">
        <f aca="false">$G139*Supuestos!E$8*(Drivers!E$48/100)</f>
        <v>-60275.7544908425</v>
      </c>
      <c r="J139" s="24" t="n">
        <f aca="false">$G139*Supuestos!F$8*(Drivers!F$48/100)</f>
        <v>-61664.7907326007</v>
      </c>
      <c r="K139" s="24" t="n">
        <f aca="false">$G139*Supuestos!G$8*(Drivers!G$48/100)</f>
        <v>-62674.9989084249</v>
      </c>
      <c r="L139" s="24" t="n">
        <f aca="false">$G139*Supuestos!H$8*(Drivers!H$48/100)</f>
        <v>-63643.1150769231</v>
      </c>
      <c r="M139" s="24" t="n">
        <f aca="false">$G139*Supuestos!I$8*(Drivers!I$48/100)</f>
        <v>-64653.3232527473</v>
      </c>
      <c r="N139" s="24" t="n">
        <f aca="false">$G139*Supuestos!J$8*(Drivers!J$48/100)</f>
        <v>-65663.5314285714</v>
      </c>
      <c r="O139" s="24" t="n">
        <f aca="false">$G139*Supuestos!K$8*(Drivers!K$48/100)</f>
        <v>-66673.7396043956</v>
      </c>
      <c r="P139" s="24" t="n">
        <f aca="false">$G139*Supuestos!L$8*(Drivers!L$48/100)</f>
        <v>-67683.9477802198</v>
      </c>
      <c r="Q139" s="24" t="n">
        <f aca="false">$G139*Supuestos!M$8*(Drivers!M$48/100)</f>
        <v>-68652.0639487179</v>
      </c>
      <c r="R139" s="24" t="n">
        <f aca="false">$G139*Supuestos!N$8*(Drivers!N$48/100)</f>
        <v>-69662.2721245421</v>
      </c>
      <c r="S139" s="24" t="n">
        <f aca="false">$G139*Supuestos!O$8*(Drivers!O$48/100)</f>
        <v>-70672.4803003663</v>
      </c>
      <c r="T139" s="24" t="n">
        <f aca="false">$G139*Supuestos!P$8*(Drivers!P$48/100)</f>
        <v>-71640.5964688645</v>
      </c>
      <c r="U139" s="24" t="n">
        <f aca="false">$G139*Supuestos!Q$8*(Drivers!Q$48/100)</f>
        <v>-72650.8046446886</v>
      </c>
      <c r="V139" s="24" t="n">
        <f aca="false">$G139*Supuestos!R$8*(Drivers!R$48/100)</f>
        <v>-73661.0128205128</v>
      </c>
    </row>
    <row r="140" customFormat="false" ht="15" hidden="false" customHeight="false" outlineLevel="0" collapsed="false">
      <c r="A140" s="6" t="s">
        <v>178</v>
      </c>
      <c r="B140" s="6" t="s">
        <v>136</v>
      </c>
      <c r="C140" s="6" t="s">
        <v>137</v>
      </c>
      <c r="D140" s="6" t="s">
        <v>138</v>
      </c>
      <c r="E140" s="6" t="s">
        <v>139</v>
      </c>
      <c r="F140" s="6" t="s">
        <v>25</v>
      </c>
      <c r="G140" s="24" t="n">
        <v>22400577.86</v>
      </c>
      <c r="H140" s="24" t="n">
        <f aca="false">$G140*Supuestos!D$6*(Drivers!D$54/100)*(Drivers!D$55/Drivers!$C$55)*(Drivers!D$56/Drivers!$C$56)*Supuestos!D$13</f>
        <v>23144949.0622878</v>
      </c>
      <c r="I140" s="24" t="n">
        <f aca="false">$G140*Supuestos!E$6*(Drivers!E$54/100)*(Drivers!E$55/Drivers!$C$55)*(Drivers!E$56/Drivers!$C$56)*Supuestos!E$13</f>
        <v>23442854.3472479</v>
      </c>
      <c r="J140" s="24" t="n">
        <f aca="false">$G140*Supuestos!F$6*(Drivers!F$54/100)*(Drivers!F$55/Drivers!$C$55)*(Drivers!F$56/Drivers!$C$56)*Supuestos!F$13</f>
        <v>23262578.7973176</v>
      </c>
      <c r="K140" s="24" t="n">
        <f aca="false">$G140*Supuestos!G$6*(Drivers!G$54/100)*(Drivers!G$55/Drivers!$C$55)*(Drivers!G$56/Drivers!$C$56)*Supuestos!G$13</f>
        <v>23460190.8068948</v>
      </c>
      <c r="L140" s="24" t="n">
        <f aca="false">$G140*Supuestos!H$6*(Drivers!H$54/100)*(Drivers!H$55/Drivers!$C$55)*(Drivers!H$56/Drivers!$C$56)*Supuestos!H$13</f>
        <v>24154954.5825615</v>
      </c>
      <c r="M140" s="24" t="n">
        <f aca="false">$G140*Supuestos!I$6*(Drivers!I$54/100)*(Drivers!I$55/Drivers!$C$55)*(Drivers!I$56/Drivers!$C$56)*Supuestos!I$13</f>
        <v>26136407.9187825</v>
      </c>
      <c r="N140" s="24" t="n">
        <f aca="false">$G140*Supuestos!J$6*(Drivers!J$54/100)*(Drivers!J$55/Drivers!$C$55)*(Drivers!J$56/Drivers!$C$56)*Supuestos!J$13</f>
        <v>26115854.044594</v>
      </c>
      <c r="O140" s="24" t="n">
        <f aca="false">$G140*Supuestos!K$6*(Drivers!K$54/100)*(Drivers!K$55/Drivers!$C$55)*(Drivers!K$56/Drivers!$C$56)*Supuestos!K$13</f>
        <v>26348569.5756844</v>
      </c>
      <c r="P140" s="24" t="n">
        <f aca="false">$G140*Supuestos!L$6*(Drivers!L$54/100)*(Drivers!L$55/Drivers!$C$55)*(Drivers!L$56/Drivers!$C$56)*Supuestos!L$13</f>
        <v>26580700.4736462</v>
      </c>
      <c r="Q140" s="24" t="n">
        <f aca="false">$G140*Supuestos!M$6*(Drivers!M$54/100)*(Drivers!M$55/Drivers!$C$55)*(Drivers!M$56/Drivers!$C$56)*Supuestos!M$13</f>
        <v>27359327.0531772</v>
      </c>
      <c r="R140" s="24" t="n">
        <f aca="false">$G140*Supuestos!N$6*(Drivers!N$54/100)*(Drivers!N$55/Drivers!$C$55)*(Drivers!N$56/Drivers!$C$56)*Supuestos!N$13</f>
        <v>28157945.8098595</v>
      </c>
      <c r="S140" s="24" t="n">
        <f aca="false">$G140*Supuestos!O$6*(Drivers!O$54/100)*(Drivers!O$55/Drivers!$C$55)*(Drivers!O$56/Drivers!$C$56)*Supuestos!O$13</f>
        <v>28977035.3622294</v>
      </c>
      <c r="T140" s="24" t="n">
        <f aca="false">$G140*Supuestos!P$6*(Drivers!P$54/100)*(Drivers!P$55/Drivers!$C$55)*(Drivers!P$56/Drivers!$C$56)*Supuestos!P$13</f>
        <v>29238112.7690715</v>
      </c>
      <c r="U140" s="24" t="n">
        <f aca="false">$G140*Supuestos!Q$6*(Drivers!Q$54/100)*(Drivers!Q$55/Drivers!$C$55)*(Drivers!Q$56/Drivers!$C$56)*Supuestos!Q$13</f>
        <v>29498650.4076078</v>
      </c>
      <c r="V140" s="24" t="n">
        <f aca="false">$G140*Supuestos!R$6*(Drivers!R$54/100)*(Drivers!R$55/Drivers!$C$55)*(Drivers!R$56/Drivers!$C$56)*Supuestos!R$13</f>
        <v>29157351.0223917</v>
      </c>
    </row>
    <row r="141" customFormat="false" ht="15" hidden="false" customHeight="false" outlineLevel="0" collapsed="false">
      <c r="A141" s="6" t="s">
        <v>178</v>
      </c>
      <c r="B141" s="6" t="s">
        <v>136</v>
      </c>
      <c r="C141" s="6" t="s">
        <v>140</v>
      </c>
      <c r="D141" s="6" t="s">
        <v>141</v>
      </c>
      <c r="E141" s="6" t="s">
        <v>142</v>
      </c>
      <c r="F141" s="6" t="s">
        <v>29</v>
      </c>
      <c r="G141" s="24" t="n">
        <v>-6203475.77</v>
      </c>
      <c r="H141" s="24" t="n">
        <f aca="false">$G141*Supuestos!D$10*(Drivers!D$57/Drivers!$C$57)</f>
        <v>-6575684.3162</v>
      </c>
      <c r="I141" s="24" t="n">
        <f aca="false">$G141*Supuestos!E$10*(Drivers!E$57/Drivers!$C$57)</f>
        <v>-6575684.3162</v>
      </c>
      <c r="J141" s="24" t="n">
        <f aca="false">$G141*Supuestos!F$10*(Drivers!F$57/Drivers!$C$57)</f>
        <v>-6575684.3162</v>
      </c>
      <c r="K141" s="24" t="n">
        <f aca="false">$G141*Supuestos!G$10*(Drivers!G$57/Drivers!$C$57)</f>
        <v>-6937346.953591</v>
      </c>
      <c r="L141" s="24" t="n">
        <f aca="false">$G141*Supuestos!H$10*(Drivers!H$57/Drivers!$C$57)</f>
        <v>-6937346.953591</v>
      </c>
      <c r="M141" s="24" t="n">
        <f aca="false">$G141*Supuestos!I$10*(Drivers!I$57/Drivers!$C$57)</f>
        <v>-6937346.953591</v>
      </c>
      <c r="N141" s="24" t="n">
        <f aca="false">$G141*Supuestos!J$10*(Drivers!J$57/Drivers!$C$57)</f>
        <v>-7318901.0360385</v>
      </c>
      <c r="O141" s="24" t="n">
        <f aca="false">$G141*Supuestos!K$10*(Drivers!K$57/Drivers!$C$57)</f>
        <v>-7318901.0360385</v>
      </c>
      <c r="P141" s="24" t="n">
        <f aca="false">$G141*Supuestos!L$10*(Drivers!L$57/Drivers!$C$57)</f>
        <v>-7318901.0360385</v>
      </c>
      <c r="Q141" s="24" t="n">
        <f aca="false">$G141*Supuestos!M$10*(Drivers!M$57/Drivers!$C$57)</f>
        <v>-7721440.59302062</v>
      </c>
      <c r="R141" s="24" t="n">
        <f aca="false">$G141*Supuestos!N$10*(Drivers!N$57/Drivers!$C$57)</f>
        <v>-7721440.59302062</v>
      </c>
      <c r="S141" s="24" t="n">
        <f aca="false">$G141*Supuestos!O$10*(Drivers!O$57/Drivers!$C$57)</f>
        <v>-7721440.59302062</v>
      </c>
      <c r="T141" s="24" t="n">
        <f aca="false">$G141*Supuestos!P$10*(Drivers!P$57/Drivers!$C$57)</f>
        <v>-8146119.82563676</v>
      </c>
      <c r="U141" s="24" t="n">
        <f aca="false">$G141*Supuestos!Q$10*(Drivers!Q$57/Drivers!$C$57)</f>
        <v>-8146119.82563676</v>
      </c>
      <c r="V141" s="24" t="n">
        <f aca="false">$G141*Supuestos!R$10*(Drivers!R$57/Drivers!$C$57)</f>
        <v>-8146119.82563676</v>
      </c>
    </row>
    <row r="142" customFormat="false" ht="15" hidden="false" customHeight="false" outlineLevel="0" collapsed="false">
      <c r="A142" s="6" t="s">
        <v>178</v>
      </c>
      <c r="B142" s="6" t="s">
        <v>136</v>
      </c>
      <c r="C142" s="6" t="s">
        <v>140</v>
      </c>
      <c r="D142" s="6" t="s">
        <v>141</v>
      </c>
      <c r="E142" s="6" t="s">
        <v>143</v>
      </c>
      <c r="F142" s="6" t="s">
        <v>29</v>
      </c>
      <c r="G142" s="24" t="n">
        <v>-1390097.23</v>
      </c>
      <c r="H142" s="24" t="n">
        <f aca="false">$G142*Supuestos!D$10*(Drivers!D$57/Drivers!$C$57)</f>
        <v>-1473503.0638</v>
      </c>
      <c r="I142" s="24" t="n">
        <f aca="false">$G142*Supuestos!E$10*(Drivers!E$57/Drivers!$C$57)</f>
        <v>-1473503.0638</v>
      </c>
      <c r="J142" s="24" t="n">
        <f aca="false">$G142*Supuestos!F$10*(Drivers!F$57/Drivers!$C$57)</f>
        <v>-1473503.0638</v>
      </c>
      <c r="K142" s="24" t="n">
        <f aca="false">$G142*Supuestos!G$10*(Drivers!G$57/Drivers!$C$57)</f>
        <v>-1554545.732309</v>
      </c>
      <c r="L142" s="24" t="n">
        <f aca="false">$G142*Supuestos!H$10*(Drivers!H$57/Drivers!$C$57)</f>
        <v>-1554545.732309</v>
      </c>
      <c r="M142" s="24" t="n">
        <f aca="false">$G142*Supuestos!I$10*(Drivers!I$57/Drivers!$C$57)</f>
        <v>-1554545.732309</v>
      </c>
      <c r="N142" s="24" t="n">
        <f aca="false">$G142*Supuestos!J$10*(Drivers!J$57/Drivers!$C$57)</f>
        <v>-1640045.747586</v>
      </c>
      <c r="O142" s="24" t="n">
        <f aca="false">$G142*Supuestos!K$10*(Drivers!K$57/Drivers!$C$57)</f>
        <v>-1640045.747586</v>
      </c>
      <c r="P142" s="24" t="n">
        <f aca="false">$G142*Supuestos!L$10*(Drivers!L$57/Drivers!$C$57)</f>
        <v>-1640045.747586</v>
      </c>
      <c r="Q142" s="24" t="n">
        <f aca="false">$G142*Supuestos!M$10*(Drivers!M$57/Drivers!$C$57)</f>
        <v>-1730248.26370322</v>
      </c>
      <c r="R142" s="24" t="n">
        <f aca="false">$G142*Supuestos!N$10*(Drivers!N$57/Drivers!$C$57)</f>
        <v>-1730248.26370322</v>
      </c>
      <c r="S142" s="24" t="n">
        <f aca="false">$G142*Supuestos!O$10*(Drivers!O$57/Drivers!$C$57)</f>
        <v>-1730248.26370322</v>
      </c>
      <c r="T142" s="24" t="n">
        <f aca="false">$G142*Supuestos!P$10*(Drivers!P$57/Drivers!$C$57)</f>
        <v>-1825411.9182069</v>
      </c>
      <c r="U142" s="24" t="n">
        <f aca="false">$G142*Supuestos!Q$10*(Drivers!Q$57/Drivers!$C$57)</f>
        <v>-1825411.9182069</v>
      </c>
      <c r="V142" s="24" t="n">
        <f aca="false">$G142*Supuestos!R$10*(Drivers!R$57/Drivers!$C$57)</f>
        <v>-1825411.9182069</v>
      </c>
    </row>
    <row r="143" customFormat="false" ht="15" hidden="false" customHeight="false" outlineLevel="0" collapsed="false">
      <c r="A143" s="6" t="s">
        <v>178</v>
      </c>
      <c r="B143" s="6" t="s">
        <v>136</v>
      </c>
      <c r="C143" s="6" t="s">
        <v>140</v>
      </c>
      <c r="D143" s="6" t="s">
        <v>141</v>
      </c>
      <c r="E143" s="6" t="s">
        <v>144</v>
      </c>
      <c r="F143" s="6" t="s">
        <v>29</v>
      </c>
      <c r="G143" s="24" t="n">
        <v>-328840.09</v>
      </c>
      <c r="H143" s="24" t="n">
        <f aca="false">$G143*Supuestos!D$10*(Drivers!D$57/Drivers!$C$57)</f>
        <v>-348570.4954</v>
      </c>
      <c r="I143" s="24" t="n">
        <f aca="false">$G143*Supuestos!E$10*(Drivers!E$57/Drivers!$C$57)</f>
        <v>-348570.4954</v>
      </c>
      <c r="J143" s="24" t="n">
        <f aca="false">$G143*Supuestos!F$10*(Drivers!F$57/Drivers!$C$57)</f>
        <v>-348570.4954</v>
      </c>
      <c r="K143" s="24" t="n">
        <f aca="false">$G143*Supuestos!G$10*(Drivers!G$57/Drivers!$C$57)</f>
        <v>-367741.872647</v>
      </c>
      <c r="L143" s="24" t="n">
        <f aca="false">$G143*Supuestos!H$10*(Drivers!H$57/Drivers!$C$57)</f>
        <v>-367741.872647</v>
      </c>
      <c r="M143" s="24" t="n">
        <f aca="false">$G143*Supuestos!I$10*(Drivers!I$57/Drivers!$C$57)</f>
        <v>-367741.872647</v>
      </c>
      <c r="N143" s="24" t="n">
        <f aca="false">$G143*Supuestos!J$10*(Drivers!J$57/Drivers!$C$57)</f>
        <v>-387967.675642585</v>
      </c>
      <c r="O143" s="24" t="n">
        <f aca="false">$G143*Supuestos!K$10*(Drivers!K$57/Drivers!$C$57)</f>
        <v>-387967.675642585</v>
      </c>
      <c r="P143" s="24" t="n">
        <f aca="false">$G143*Supuestos!L$10*(Drivers!L$57/Drivers!$C$57)</f>
        <v>-387967.675642585</v>
      </c>
      <c r="Q143" s="24" t="n">
        <f aca="false">$G143*Supuestos!M$10*(Drivers!M$57/Drivers!$C$57)</f>
        <v>-409305.897802927</v>
      </c>
      <c r="R143" s="24" t="n">
        <f aca="false">$G143*Supuestos!N$10*(Drivers!N$57/Drivers!$C$57)</f>
        <v>-409305.897802927</v>
      </c>
      <c r="S143" s="24" t="n">
        <f aca="false">$G143*Supuestos!O$10*(Drivers!O$57/Drivers!$C$57)</f>
        <v>-409305.897802927</v>
      </c>
      <c r="T143" s="24" t="n">
        <f aca="false">$G143*Supuestos!P$10*(Drivers!P$57/Drivers!$C$57)</f>
        <v>-431817.722182088</v>
      </c>
      <c r="U143" s="24" t="n">
        <f aca="false">$G143*Supuestos!Q$10*(Drivers!Q$57/Drivers!$C$57)</f>
        <v>-431817.722182088</v>
      </c>
      <c r="V143" s="24" t="n">
        <f aca="false">$G143*Supuestos!R$10*(Drivers!R$57/Drivers!$C$57)</f>
        <v>-431817.722182088</v>
      </c>
    </row>
    <row r="144" customFormat="false" ht="15" hidden="false" customHeight="false" outlineLevel="0" collapsed="false">
      <c r="A144" s="6" t="s">
        <v>178</v>
      </c>
      <c r="B144" s="6" t="s">
        <v>136</v>
      </c>
      <c r="C144" s="6" t="s">
        <v>140</v>
      </c>
      <c r="D144" s="6" t="s">
        <v>141</v>
      </c>
      <c r="E144" s="6" t="s">
        <v>145</v>
      </c>
      <c r="F144" s="6" t="s">
        <v>29</v>
      </c>
      <c r="G144" s="24" t="n">
        <v>-224209.23</v>
      </c>
      <c r="H144" s="24" t="n">
        <f aca="false">$G144*Supuestos!D$10*(Drivers!D$57/Drivers!$C$57)</f>
        <v>-237661.7838</v>
      </c>
      <c r="I144" s="24" t="n">
        <f aca="false">$G144*Supuestos!E$10*(Drivers!E$57/Drivers!$C$57)</f>
        <v>-237661.7838</v>
      </c>
      <c r="J144" s="24" t="n">
        <f aca="false">$G144*Supuestos!F$10*(Drivers!F$57/Drivers!$C$57)</f>
        <v>-237661.7838</v>
      </c>
      <c r="K144" s="24" t="n">
        <f aca="false">$G144*Supuestos!G$10*(Drivers!G$57/Drivers!$C$57)</f>
        <v>-250733.181909</v>
      </c>
      <c r="L144" s="24" t="n">
        <f aca="false">$G144*Supuestos!H$10*(Drivers!H$57/Drivers!$C$57)</f>
        <v>-250733.181909</v>
      </c>
      <c r="M144" s="24" t="n">
        <f aca="false">$G144*Supuestos!I$10*(Drivers!I$57/Drivers!$C$57)</f>
        <v>-250733.181909</v>
      </c>
      <c r="N144" s="24" t="n">
        <f aca="false">$G144*Supuestos!J$10*(Drivers!J$57/Drivers!$C$57)</f>
        <v>-264523.506913995</v>
      </c>
      <c r="O144" s="24" t="n">
        <f aca="false">$G144*Supuestos!K$10*(Drivers!K$57/Drivers!$C$57)</f>
        <v>-264523.506913995</v>
      </c>
      <c r="P144" s="24" t="n">
        <f aca="false">$G144*Supuestos!L$10*(Drivers!L$57/Drivers!$C$57)</f>
        <v>-264523.506913995</v>
      </c>
      <c r="Q144" s="24" t="n">
        <f aca="false">$G144*Supuestos!M$10*(Drivers!M$57/Drivers!$C$57)</f>
        <v>-279072.299794265</v>
      </c>
      <c r="R144" s="24" t="n">
        <f aca="false">$G144*Supuestos!N$10*(Drivers!N$57/Drivers!$C$57)</f>
        <v>-279072.299794265</v>
      </c>
      <c r="S144" s="24" t="n">
        <f aca="false">$G144*Supuestos!O$10*(Drivers!O$57/Drivers!$C$57)</f>
        <v>-279072.299794265</v>
      </c>
      <c r="T144" s="24" t="n">
        <f aca="false">$G144*Supuestos!P$10*(Drivers!P$57/Drivers!$C$57)</f>
        <v>-294421.276282949</v>
      </c>
      <c r="U144" s="24" t="n">
        <f aca="false">$G144*Supuestos!Q$10*(Drivers!Q$57/Drivers!$C$57)</f>
        <v>-294421.276282949</v>
      </c>
      <c r="V144" s="24" t="n">
        <f aca="false">$G144*Supuestos!R$10*(Drivers!R$57/Drivers!$C$57)</f>
        <v>-294421.276282949</v>
      </c>
    </row>
    <row r="145" customFormat="false" ht="15" hidden="false" customHeight="false" outlineLevel="0" collapsed="false">
      <c r="A145" s="6" t="s">
        <v>178</v>
      </c>
      <c r="B145" s="6" t="s">
        <v>136</v>
      </c>
      <c r="C145" s="6" t="s">
        <v>140</v>
      </c>
      <c r="D145" s="6" t="s">
        <v>141</v>
      </c>
      <c r="E145" s="6" t="s">
        <v>146</v>
      </c>
      <c r="F145" s="6" t="s">
        <v>29</v>
      </c>
      <c r="G145" s="24" t="n">
        <v>-425998.05</v>
      </c>
      <c r="H145" s="24" t="n">
        <f aca="false">$G145*Supuestos!D$10*(Drivers!D$57/Drivers!$C$57)</f>
        <v>-451557.933</v>
      </c>
      <c r="I145" s="24" t="n">
        <f aca="false">$G145*Supuestos!E$10*(Drivers!E$57/Drivers!$C$57)</f>
        <v>-451557.933</v>
      </c>
      <c r="J145" s="24" t="n">
        <f aca="false">$G145*Supuestos!F$10*(Drivers!F$57/Drivers!$C$57)</f>
        <v>-451557.933</v>
      </c>
      <c r="K145" s="24" t="n">
        <f aca="false">$G145*Supuestos!G$10*(Drivers!G$57/Drivers!$C$57)</f>
        <v>-476393.619315</v>
      </c>
      <c r="L145" s="24" t="n">
        <f aca="false">$G145*Supuestos!H$10*(Drivers!H$57/Drivers!$C$57)</f>
        <v>-476393.619315</v>
      </c>
      <c r="M145" s="24" t="n">
        <f aca="false">$G145*Supuestos!I$10*(Drivers!I$57/Drivers!$C$57)</f>
        <v>-476393.619315</v>
      </c>
      <c r="N145" s="24" t="n">
        <f aca="false">$G145*Supuestos!J$10*(Drivers!J$57/Drivers!$C$57)</f>
        <v>-502595.268377325</v>
      </c>
      <c r="O145" s="24" t="n">
        <f aca="false">$G145*Supuestos!K$10*(Drivers!K$57/Drivers!$C$57)</f>
        <v>-502595.268377325</v>
      </c>
      <c r="P145" s="24" t="n">
        <f aca="false">$G145*Supuestos!L$10*(Drivers!L$57/Drivers!$C$57)</f>
        <v>-502595.268377325</v>
      </c>
      <c r="Q145" s="24" t="n">
        <f aca="false">$G145*Supuestos!M$10*(Drivers!M$57/Drivers!$C$57)</f>
        <v>-530238.008138078</v>
      </c>
      <c r="R145" s="24" t="n">
        <f aca="false">$G145*Supuestos!N$10*(Drivers!N$57/Drivers!$C$57)</f>
        <v>-530238.008138078</v>
      </c>
      <c r="S145" s="24" t="n">
        <f aca="false">$G145*Supuestos!O$10*(Drivers!O$57/Drivers!$C$57)</f>
        <v>-530238.008138078</v>
      </c>
      <c r="T145" s="24" t="n">
        <f aca="false">$G145*Supuestos!P$10*(Drivers!P$57/Drivers!$C$57)</f>
        <v>-559401.098585672</v>
      </c>
      <c r="U145" s="24" t="n">
        <f aca="false">$G145*Supuestos!Q$10*(Drivers!Q$57/Drivers!$C$57)</f>
        <v>-559401.098585672</v>
      </c>
      <c r="V145" s="24" t="n">
        <f aca="false">$G145*Supuestos!R$10*(Drivers!R$57/Drivers!$C$57)</f>
        <v>-559401.098585672</v>
      </c>
    </row>
    <row r="146" customFormat="false" ht="15" hidden="false" customHeight="false" outlineLevel="0" collapsed="false">
      <c r="A146" s="6" t="s">
        <v>178</v>
      </c>
      <c r="B146" s="6" t="s">
        <v>136</v>
      </c>
      <c r="C146" s="6" t="s">
        <v>140</v>
      </c>
      <c r="D146" s="6" t="s">
        <v>141</v>
      </c>
      <c r="E146" s="6" t="s">
        <v>147</v>
      </c>
      <c r="F146" s="6" t="s">
        <v>29</v>
      </c>
      <c r="G146" s="24" t="n">
        <v>-478313.14</v>
      </c>
      <c r="H146" s="24" t="n">
        <f aca="false">$G146*Supuestos!D$10*(Drivers!D$57/Drivers!$C$57)</f>
        <v>-507011.9284</v>
      </c>
      <c r="I146" s="24" t="n">
        <f aca="false">$G146*Supuestos!E$10*(Drivers!E$57/Drivers!$C$57)</f>
        <v>-507011.9284</v>
      </c>
      <c r="J146" s="24" t="n">
        <f aca="false">$G146*Supuestos!F$10*(Drivers!F$57/Drivers!$C$57)</f>
        <v>-507011.9284</v>
      </c>
      <c r="K146" s="24" t="n">
        <f aca="false">$G146*Supuestos!G$10*(Drivers!G$57/Drivers!$C$57)</f>
        <v>-534897.584462</v>
      </c>
      <c r="L146" s="24" t="n">
        <f aca="false">$G146*Supuestos!H$10*(Drivers!H$57/Drivers!$C$57)</f>
        <v>-534897.584462</v>
      </c>
      <c r="M146" s="24" t="n">
        <f aca="false">$G146*Supuestos!I$10*(Drivers!I$57/Drivers!$C$57)</f>
        <v>-534897.584462</v>
      </c>
      <c r="N146" s="24" t="n">
        <f aca="false">$G146*Supuestos!J$10*(Drivers!J$57/Drivers!$C$57)</f>
        <v>-564316.95160741</v>
      </c>
      <c r="O146" s="24" t="n">
        <f aca="false">$G146*Supuestos!K$10*(Drivers!K$57/Drivers!$C$57)</f>
        <v>-564316.95160741</v>
      </c>
      <c r="P146" s="24" t="n">
        <f aca="false">$G146*Supuestos!L$10*(Drivers!L$57/Drivers!$C$57)</f>
        <v>-564316.95160741</v>
      </c>
      <c r="Q146" s="24" t="n">
        <f aca="false">$G146*Supuestos!M$10*(Drivers!M$57/Drivers!$C$57)</f>
        <v>-595354.383945818</v>
      </c>
      <c r="R146" s="24" t="n">
        <f aca="false">$G146*Supuestos!N$10*(Drivers!N$57/Drivers!$C$57)</f>
        <v>-595354.383945818</v>
      </c>
      <c r="S146" s="24" t="n">
        <f aca="false">$G146*Supuestos!O$10*(Drivers!O$57/Drivers!$C$57)</f>
        <v>-595354.383945818</v>
      </c>
      <c r="T146" s="24" t="n">
        <f aca="false">$G146*Supuestos!P$10*(Drivers!P$57/Drivers!$C$57)</f>
        <v>-628098.875062838</v>
      </c>
      <c r="U146" s="24" t="n">
        <f aca="false">$G146*Supuestos!Q$10*(Drivers!Q$57/Drivers!$C$57)</f>
        <v>-628098.875062838</v>
      </c>
      <c r="V146" s="24" t="n">
        <f aca="false">$G146*Supuestos!R$10*(Drivers!R$57/Drivers!$C$57)</f>
        <v>-628098.875062838</v>
      </c>
    </row>
    <row r="147" customFormat="false" ht="15" hidden="false" customHeight="false" outlineLevel="0" collapsed="false">
      <c r="A147" s="6" t="s">
        <v>178</v>
      </c>
      <c r="B147" s="6" t="s">
        <v>136</v>
      </c>
      <c r="C147" s="6" t="s">
        <v>140</v>
      </c>
      <c r="D147" s="6" t="s">
        <v>141</v>
      </c>
      <c r="E147" s="6" t="s">
        <v>148</v>
      </c>
      <c r="F147" s="6" t="s">
        <v>41</v>
      </c>
      <c r="G147" s="24" t="n">
        <v>-75088.38</v>
      </c>
      <c r="H147" s="24" t="n">
        <f aca="false">0</f>
        <v>0</v>
      </c>
      <c r="I147" s="24" t="n">
        <f aca="false">0</f>
        <v>0</v>
      </c>
      <c r="J147" s="24" t="n">
        <f aca="false">0</f>
        <v>0</v>
      </c>
      <c r="K147" s="24" t="n">
        <f aca="false">0</f>
        <v>0</v>
      </c>
      <c r="L147" s="24" t="n">
        <f aca="false">0</f>
        <v>0</v>
      </c>
      <c r="M147" s="24" t="n">
        <f aca="false">0</f>
        <v>0</v>
      </c>
      <c r="N147" s="24" t="n">
        <f aca="false">0</f>
        <v>0</v>
      </c>
      <c r="O147" s="24" t="n">
        <f aca="false">0</f>
        <v>0</v>
      </c>
      <c r="P147" s="24" t="n">
        <f aca="false">0</f>
        <v>0</v>
      </c>
      <c r="Q147" s="24" t="n">
        <f aca="false">0</f>
        <v>0</v>
      </c>
      <c r="R147" s="24" t="n">
        <f aca="false">0</f>
        <v>0</v>
      </c>
      <c r="S147" s="24" t="n">
        <f aca="false">0</f>
        <v>0</v>
      </c>
      <c r="T147" s="24" t="n">
        <f aca="false">0</f>
        <v>0</v>
      </c>
      <c r="U147" s="24" t="n">
        <f aca="false">0</f>
        <v>0</v>
      </c>
      <c r="V147" s="24" t="n">
        <f aca="false">0</f>
        <v>0</v>
      </c>
    </row>
    <row r="148" customFormat="false" ht="15" hidden="false" customHeight="false" outlineLevel="0" collapsed="false">
      <c r="A148" s="6" t="s">
        <v>178</v>
      </c>
      <c r="B148" s="6" t="s">
        <v>136</v>
      </c>
      <c r="C148" s="6" t="s">
        <v>140</v>
      </c>
      <c r="D148" s="6" t="s">
        <v>149</v>
      </c>
      <c r="E148" s="6" t="s">
        <v>150</v>
      </c>
      <c r="F148" s="6" t="s">
        <v>31</v>
      </c>
      <c r="G148" s="24" t="n">
        <v>-2661750</v>
      </c>
      <c r="H148" s="24" t="n">
        <f aca="false">$G148*Supuestos!D$8*(Drivers!D$57/Drivers!$C$57)</f>
        <v>-2726100</v>
      </c>
      <c r="I148" s="24" t="n">
        <f aca="false">$G148*Supuestos!E$8*(Drivers!E$57/Drivers!$C$57)</f>
        <v>-2792400</v>
      </c>
      <c r="J148" s="24" t="n">
        <f aca="false">$G148*Supuestos!F$8*(Drivers!F$57/Drivers!$C$57)</f>
        <v>-2856750</v>
      </c>
      <c r="K148" s="24" t="n">
        <f aca="false">$G148*Supuestos!G$8*(Drivers!G$57/Drivers!$C$57)</f>
        <v>-2903550</v>
      </c>
      <c r="L148" s="24" t="n">
        <f aca="false">$G148*Supuestos!H$8*(Drivers!H$57/Drivers!$C$57)</f>
        <v>-2948400</v>
      </c>
      <c r="M148" s="24" t="n">
        <f aca="false">$G148*Supuestos!I$8*(Drivers!I$57/Drivers!$C$57)</f>
        <v>-2995200</v>
      </c>
      <c r="N148" s="24" t="n">
        <f aca="false">$G148*Supuestos!J$8*(Drivers!J$57/Drivers!$C$57)</f>
        <v>-3042000</v>
      </c>
      <c r="O148" s="24" t="n">
        <f aca="false">$G148*Supuestos!K$8*(Drivers!K$57/Drivers!$C$57)</f>
        <v>-3088800</v>
      </c>
      <c r="P148" s="24" t="n">
        <f aca="false">$G148*Supuestos!L$8*(Drivers!L$57/Drivers!$C$57)</f>
        <v>-3135600</v>
      </c>
      <c r="Q148" s="24" t="n">
        <f aca="false">$G148*Supuestos!M$8*(Drivers!M$57/Drivers!$C$57)</f>
        <v>-3180450</v>
      </c>
      <c r="R148" s="24" t="n">
        <f aca="false">$G148*Supuestos!N$8*(Drivers!N$57/Drivers!$C$57)</f>
        <v>-3227250</v>
      </c>
      <c r="S148" s="24" t="n">
        <f aca="false">$G148*Supuestos!O$8*(Drivers!O$57/Drivers!$C$57)</f>
        <v>-3274050</v>
      </c>
      <c r="T148" s="24" t="n">
        <f aca="false">$G148*Supuestos!P$8*(Drivers!P$57/Drivers!$C$57)</f>
        <v>-3318900</v>
      </c>
      <c r="U148" s="24" t="n">
        <f aca="false">$G148*Supuestos!Q$8*(Drivers!Q$57/Drivers!$C$57)</f>
        <v>-3365700</v>
      </c>
      <c r="V148" s="24" t="n">
        <f aca="false">$G148*Supuestos!R$8*(Drivers!R$57/Drivers!$C$57)</f>
        <v>-3412500</v>
      </c>
    </row>
    <row r="149" customFormat="false" ht="15" hidden="false" customHeight="false" outlineLevel="0" collapsed="false">
      <c r="A149" s="6" t="s">
        <v>178</v>
      </c>
      <c r="B149" s="6" t="s">
        <v>136</v>
      </c>
      <c r="C149" s="6" t="s">
        <v>140</v>
      </c>
      <c r="D149" s="6" t="s">
        <v>151</v>
      </c>
      <c r="E149" s="6" t="s">
        <v>152</v>
      </c>
      <c r="F149" s="6" t="s">
        <v>31</v>
      </c>
      <c r="G149" s="24" t="n">
        <v>-614250</v>
      </c>
      <c r="H149" s="24" t="n">
        <f aca="false">$G149*Supuestos!D$8*(Drivers!D$57/Drivers!$C$57)</f>
        <v>-629100</v>
      </c>
      <c r="I149" s="24" t="n">
        <f aca="false">$G149*Supuestos!E$8*(Drivers!E$57/Drivers!$C$57)</f>
        <v>-644400</v>
      </c>
      <c r="J149" s="24" t="n">
        <f aca="false">$G149*Supuestos!F$8*(Drivers!F$57/Drivers!$C$57)</f>
        <v>-659250</v>
      </c>
      <c r="K149" s="24" t="n">
        <f aca="false">$G149*Supuestos!G$8*(Drivers!G$57/Drivers!$C$57)</f>
        <v>-670050</v>
      </c>
      <c r="L149" s="24" t="n">
        <f aca="false">$G149*Supuestos!H$8*(Drivers!H$57/Drivers!$C$57)</f>
        <v>-680400</v>
      </c>
      <c r="M149" s="24" t="n">
        <f aca="false">$G149*Supuestos!I$8*(Drivers!I$57/Drivers!$C$57)</f>
        <v>-691200</v>
      </c>
      <c r="N149" s="24" t="n">
        <f aca="false">$G149*Supuestos!J$8*(Drivers!J$57/Drivers!$C$57)</f>
        <v>-702000</v>
      </c>
      <c r="O149" s="24" t="n">
        <f aca="false">$G149*Supuestos!K$8*(Drivers!K$57/Drivers!$C$57)</f>
        <v>-712800</v>
      </c>
      <c r="P149" s="24" t="n">
        <f aca="false">$G149*Supuestos!L$8*(Drivers!L$57/Drivers!$C$57)</f>
        <v>-723600</v>
      </c>
      <c r="Q149" s="24" t="n">
        <f aca="false">$G149*Supuestos!M$8*(Drivers!M$57/Drivers!$C$57)</f>
        <v>-733950</v>
      </c>
      <c r="R149" s="24" t="n">
        <f aca="false">$G149*Supuestos!N$8*(Drivers!N$57/Drivers!$C$57)</f>
        <v>-744750</v>
      </c>
      <c r="S149" s="24" t="n">
        <f aca="false">$G149*Supuestos!O$8*(Drivers!O$57/Drivers!$C$57)</f>
        <v>-755550</v>
      </c>
      <c r="T149" s="24" t="n">
        <f aca="false">$G149*Supuestos!P$8*(Drivers!P$57/Drivers!$C$57)</f>
        <v>-765900</v>
      </c>
      <c r="U149" s="24" t="n">
        <f aca="false">$G149*Supuestos!Q$8*(Drivers!Q$57/Drivers!$C$57)</f>
        <v>-776700</v>
      </c>
      <c r="V149" s="24" t="n">
        <f aca="false">$G149*Supuestos!R$8*(Drivers!R$57/Drivers!$C$57)</f>
        <v>-787500</v>
      </c>
    </row>
    <row r="150" customFormat="false" ht="15" hidden="false" customHeight="false" outlineLevel="0" collapsed="false">
      <c r="A150" s="6" t="s">
        <v>178</v>
      </c>
      <c r="B150" s="6" t="s">
        <v>136</v>
      </c>
      <c r="C150" s="6" t="s">
        <v>140</v>
      </c>
      <c r="D150" s="6" t="s">
        <v>153</v>
      </c>
      <c r="E150" s="6" t="s">
        <v>154</v>
      </c>
      <c r="F150" s="6" t="s">
        <v>33</v>
      </c>
      <c r="G150" s="24" t="n">
        <v>-390381.48</v>
      </c>
      <c r="H150" s="24" t="n">
        <f aca="false">$G150*Supuestos!D$6*(Drivers!D$57/Drivers!$C$57)</f>
        <v>-399360.25404</v>
      </c>
      <c r="I150" s="24" t="n">
        <f aca="false">$G150*Supuestos!E$6*(Drivers!E$57/Drivers!$C$57)</f>
        <v>-408545.53988292</v>
      </c>
      <c r="J150" s="24" t="n">
        <f aca="false">$G150*Supuestos!F$6*(Drivers!F$57/Drivers!$C$57)</f>
        <v>-417942.087300227</v>
      </c>
      <c r="K150" s="24" t="n">
        <f aca="false">$G150*Supuestos!G$6*(Drivers!G$57/Drivers!$C$57)</f>
        <v>-425882.986958931</v>
      </c>
      <c r="L150" s="24" t="n">
        <f aca="false">$G150*Supuestos!H$6*(Drivers!H$57/Drivers!$C$57)</f>
        <v>-433974.763711151</v>
      </c>
      <c r="M150" s="24" t="n">
        <f aca="false">$G150*Supuestos!I$6*(Drivers!I$57/Drivers!$C$57)</f>
        <v>-442220.284221663</v>
      </c>
      <c r="N150" s="24" t="n">
        <f aca="false">$G150*Supuestos!J$6*(Drivers!J$57/Drivers!$C$57)</f>
        <v>-450622.469621874</v>
      </c>
      <c r="O150" s="24" t="n">
        <f aca="false">$G150*Supuestos!K$6*(Drivers!K$57/Drivers!$C$57)</f>
        <v>-459184.29654469</v>
      </c>
      <c r="P150" s="24" t="n">
        <f aca="false">$G150*Supuestos!L$6*(Drivers!L$57/Drivers!$C$57)</f>
        <v>-467908.798179039</v>
      </c>
      <c r="Q150" s="24" t="n">
        <f aca="false">$G150*Supuestos!M$6*(Drivers!M$57/Drivers!$C$57)</f>
        <v>-476799.065344441</v>
      </c>
      <c r="R150" s="24" t="n">
        <f aca="false">$G150*Supuestos!N$6*(Drivers!N$57/Drivers!$C$57)</f>
        <v>-485858.247585985</v>
      </c>
      <c r="S150" s="24" t="n">
        <f aca="false">$G150*Supuestos!O$6*(Drivers!O$57/Drivers!$C$57)</f>
        <v>-495089.554290119</v>
      </c>
      <c r="T150" s="24" t="n">
        <f aca="false">$G150*Supuestos!P$6*(Drivers!P$57/Drivers!$C$57)</f>
        <v>-504496.255821631</v>
      </c>
      <c r="U150" s="24" t="n">
        <f aca="false">$G150*Supuestos!Q$6*(Drivers!Q$57/Drivers!$C$57)</f>
        <v>-514081.684682242</v>
      </c>
      <c r="V150" s="24" t="n">
        <f aca="false">$G150*Supuestos!R$6*(Drivers!R$57/Drivers!$C$57)</f>
        <v>-523849.236691204</v>
      </c>
    </row>
    <row r="151" customFormat="false" ht="15" hidden="false" customHeight="false" outlineLevel="0" collapsed="false">
      <c r="A151" s="6" t="s">
        <v>178</v>
      </c>
      <c r="B151" s="6" t="s">
        <v>136</v>
      </c>
      <c r="C151" s="6" t="s">
        <v>140</v>
      </c>
      <c r="D151" s="6" t="s">
        <v>153</v>
      </c>
      <c r="E151" s="6" t="s">
        <v>155</v>
      </c>
      <c r="F151" s="6" t="s">
        <v>33</v>
      </c>
      <c r="G151" s="24" t="n">
        <v>-100383.86</v>
      </c>
      <c r="H151" s="24" t="n">
        <f aca="false">$G151*Supuestos!D$6*(Drivers!D$57/Drivers!$C$57)</f>
        <v>-102692.68878</v>
      </c>
      <c r="I151" s="24" t="n">
        <f aca="false">$G151*Supuestos!E$6*(Drivers!E$57/Drivers!$C$57)</f>
        <v>-105054.62062194</v>
      </c>
      <c r="J151" s="24" t="n">
        <f aca="false">$G151*Supuestos!F$6*(Drivers!F$57/Drivers!$C$57)</f>
        <v>-107470.876896245</v>
      </c>
      <c r="K151" s="24" t="n">
        <f aca="false">$G151*Supuestos!G$6*(Drivers!G$57/Drivers!$C$57)</f>
        <v>-109512.823557273</v>
      </c>
      <c r="L151" s="24" t="n">
        <f aca="false">$G151*Supuestos!H$6*(Drivers!H$57/Drivers!$C$57)</f>
        <v>-111593.567204861</v>
      </c>
      <c r="M151" s="24" t="n">
        <f aca="false">$G151*Supuestos!I$6*(Drivers!I$57/Drivers!$C$57)</f>
        <v>-113713.844981754</v>
      </c>
      <c r="N151" s="24" t="n">
        <f aca="false">$G151*Supuestos!J$6*(Drivers!J$57/Drivers!$C$57)</f>
        <v>-115874.408036407</v>
      </c>
      <c r="O151" s="24" t="n">
        <f aca="false">$G151*Supuestos!K$6*(Drivers!K$57/Drivers!$C$57)</f>
        <v>-118076.021789099</v>
      </c>
      <c r="P151" s="24" t="n">
        <f aca="false">$G151*Supuestos!L$6*(Drivers!L$57/Drivers!$C$57)</f>
        <v>-120319.466203092</v>
      </c>
      <c r="Q151" s="24" t="n">
        <f aca="false">$G151*Supuestos!M$6*(Drivers!M$57/Drivers!$C$57)</f>
        <v>-122605.53606095</v>
      </c>
      <c r="R151" s="24" t="n">
        <f aca="false">$G151*Supuestos!N$6*(Drivers!N$57/Drivers!$C$57)</f>
        <v>-124935.041246108</v>
      </c>
      <c r="S151" s="24" t="n">
        <f aca="false">$G151*Supuestos!O$6*(Drivers!O$57/Drivers!$C$57)</f>
        <v>-127308.807029784</v>
      </c>
      <c r="T151" s="24" t="n">
        <f aca="false">$G151*Supuestos!P$6*(Drivers!P$57/Drivers!$C$57)</f>
        <v>-129727.67436335</v>
      </c>
      <c r="U151" s="24" t="n">
        <f aca="false">$G151*Supuestos!Q$6*(Drivers!Q$57/Drivers!$C$57)</f>
        <v>-132192.500176254</v>
      </c>
      <c r="V151" s="24" t="n">
        <f aca="false">$G151*Supuestos!R$6*(Drivers!R$57/Drivers!$C$57)</f>
        <v>-134704.157679603</v>
      </c>
    </row>
    <row r="152" customFormat="false" ht="15" hidden="false" customHeight="false" outlineLevel="0" collapsed="false">
      <c r="A152" s="6" t="s">
        <v>178</v>
      </c>
      <c r="B152" s="6" t="s">
        <v>136</v>
      </c>
      <c r="C152" s="6" t="s">
        <v>140</v>
      </c>
      <c r="D152" s="6" t="s">
        <v>153</v>
      </c>
      <c r="E152" s="6" t="s">
        <v>156</v>
      </c>
      <c r="F152" s="6" t="s">
        <v>33</v>
      </c>
      <c r="G152" s="24" t="n">
        <v>-66922.34</v>
      </c>
      <c r="H152" s="24" t="n">
        <f aca="false">$G152*Supuestos!D$6*(Drivers!D$57/Drivers!$C$57)</f>
        <v>-68461.55382</v>
      </c>
      <c r="I152" s="24" t="n">
        <f aca="false">$G152*Supuestos!E$6*(Drivers!E$57/Drivers!$C$57)</f>
        <v>-70036.16955786</v>
      </c>
      <c r="J152" s="24" t="n">
        <f aca="false">$G152*Supuestos!F$6*(Drivers!F$57/Drivers!$C$57)</f>
        <v>-71647.0014576908</v>
      </c>
      <c r="K152" s="24" t="n">
        <f aca="false">$G152*Supuestos!G$6*(Drivers!G$57/Drivers!$C$57)</f>
        <v>-73008.2944853869</v>
      </c>
      <c r="L152" s="24" t="n">
        <f aca="false">$G152*Supuestos!H$6*(Drivers!H$57/Drivers!$C$57)</f>
        <v>-74395.4520806092</v>
      </c>
      <c r="M152" s="24" t="n">
        <f aca="false">$G152*Supuestos!I$6*(Drivers!I$57/Drivers!$C$57)</f>
        <v>-75808.9656701408</v>
      </c>
      <c r="N152" s="24" t="n">
        <f aca="false">$G152*Supuestos!J$6*(Drivers!J$57/Drivers!$C$57)</f>
        <v>-77249.3360178734</v>
      </c>
      <c r="O152" s="24" t="n">
        <f aca="false">$G152*Supuestos!K$6*(Drivers!K$57/Drivers!$C$57)</f>
        <v>-78717.073402213</v>
      </c>
      <c r="P152" s="24" t="n">
        <f aca="false">$G152*Supuestos!L$6*(Drivers!L$57/Drivers!$C$57)</f>
        <v>-80212.6977968551</v>
      </c>
      <c r="Q152" s="24" t="n">
        <f aca="false">$G152*Supuestos!M$6*(Drivers!M$57/Drivers!$C$57)</f>
        <v>-81736.7390549953</v>
      </c>
      <c r="R152" s="24" t="n">
        <f aca="false">$G152*Supuestos!N$6*(Drivers!N$57/Drivers!$C$57)</f>
        <v>-83289.7370970402</v>
      </c>
      <c r="S152" s="24" t="n">
        <f aca="false">$G152*Supuestos!O$6*(Drivers!O$57/Drivers!$C$57)</f>
        <v>-84872.242101884</v>
      </c>
      <c r="T152" s="24" t="n">
        <f aca="false">$G152*Supuestos!P$6*(Drivers!P$57/Drivers!$C$57)</f>
        <v>-86484.8147018198</v>
      </c>
      <c r="U152" s="24" t="n">
        <f aca="false">$G152*Supuestos!Q$6*(Drivers!Q$57/Drivers!$C$57)</f>
        <v>-88128.0261811543</v>
      </c>
      <c r="V152" s="24" t="n">
        <f aca="false">$G152*Supuestos!R$6*(Drivers!R$57/Drivers!$C$57)</f>
        <v>-89802.4586785963</v>
      </c>
    </row>
    <row r="153" customFormat="false" ht="15" hidden="false" customHeight="false" outlineLevel="0" collapsed="false">
      <c r="A153" s="6" t="s">
        <v>178</v>
      </c>
      <c r="B153" s="6" t="s">
        <v>136</v>
      </c>
      <c r="C153" s="6" t="s">
        <v>140</v>
      </c>
      <c r="D153" s="6" t="s">
        <v>157</v>
      </c>
      <c r="E153" s="6" t="s">
        <v>158</v>
      </c>
      <c r="F153" s="6" t="s">
        <v>39</v>
      </c>
      <c r="G153" s="24" t="n">
        <v>-588093.3</v>
      </c>
      <c r="H153" s="24" t="n">
        <f aca="false">$G153*Supuestos!D$12*(Drivers!D$54/100)</f>
        <v>-601619.4459</v>
      </c>
      <c r="I153" s="24" t="n">
        <f aca="false">$G153*Supuestos!E$12*(Drivers!E$54/100)</f>
        <v>-615456.6931557</v>
      </c>
      <c r="J153" s="24" t="n">
        <f aca="false">$G153*Supuestos!F$12*(Drivers!F$54/100)</f>
        <v>-629612.197098281</v>
      </c>
      <c r="K153" s="24" t="n">
        <f aca="false">$G153*Supuestos!G$12*(Drivers!G$54/100)</f>
        <v>-641574.828843148</v>
      </c>
      <c r="L153" s="24" t="n">
        <f aca="false">$G153*Supuestos!H$12*(Drivers!H$54/100)</f>
        <v>-653764.750591168</v>
      </c>
      <c r="M153" s="24" t="n">
        <f aca="false">$G153*Supuestos!I$12*(Drivers!I$54/100)</f>
        <v>-666186.2808524</v>
      </c>
      <c r="N153" s="24" t="n">
        <f aca="false">$G153*Supuestos!J$12*(Drivers!J$54/100)</f>
        <v>-678843.820188596</v>
      </c>
      <c r="O153" s="24" t="n">
        <f aca="false">$G153*Supuestos!K$12*(Drivers!K$54/100)</f>
        <v>-691741.852772179</v>
      </c>
      <c r="P153" s="24" t="n">
        <f aca="false">$G153*Supuestos!L$12*(Drivers!L$54/100)</f>
        <v>-704884.94797485</v>
      </c>
      <c r="Q153" s="24" t="n">
        <f aca="false">$G153*Supuestos!M$12*(Drivers!M$54/100)</f>
        <v>-718277.761986372</v>
      </c>
      <c r="R153" s="24" t="n">
        <f aca="false">$G153*Supuestos!N$12*(Drivers!N$54/100)</f>
        <v>-731925.039464113</v>
      </c>
      <c r="S153" s="24" t="n">
        <f aca="false">$G153*Supuestos!O$12*(Drivers!O$54/100)</f>
        <v>-745831.615213931</v>
      </c>
      <c r="T153" s="24" t="n">
        <f aca="false">$G153*Supuestos!P$12*(Drivers!P$54/100)</f>
        <v>-760002.415902996</v>
      </c>
      <c r="U153" s="24" t="n">
        <f aca="false">$G153*Supuestos!Q$12*(Drivers!Q$54/100)</f>
        <v>-774442.461805153</v>
      </c>
      <c r="V153" s="24" t="n">
        <f aca="false">$G153*Supuestos!R$12*(Drivers!R$54/100)</f>
        <v>-789156.868579451</v>
      </c>
    </row>
    <row r="154" customFormat="false" ht="15" hidden="false" customHeight="false" outlineLevel="0" collapsed="false">
      <c r="A154" s="6" t="s">
        <v>178</v>
      </c>
      <c r="B154" s="6" t="s">
        <v>136</v>
      </c>
      <c r="C154" s="6" t="s">
        <v>140</v>
      </c>
      <c r="D154" s="6" t="s">
        <v>159</v>
      </c>
      <c r="E154" s="6" t="s">
        <v>160</v>
      </c>
      <c r="F154" s="6" t="s">
        <v>37</v>
      </c>
      <c r="G154" s="24" t="n">
        <v>-261029.28</v>
      </c>
      <c r="H154" s="24" t="n">
        <f aca="false">$G154*Supuestos!D$6*(Drivers!D$54/100)</f>
        <v>-267032.95344</v>
      </c>
      <c r="I154" s="24" t="n">
        <f aca="false">$G154*Supuestos!E$6*(Drivers!E$54/100)</f>
        <v>-273174.71136912</v>
      </c>
      <c r="J154" s="24" t="n">
        <f aca="false">$G154*Supuestos!F$6*(Drivers!F$54/100)</f>
        <v>-279457.72973061</v>
      </c>
      <c r="K154" s="24" t="n">
        <f aca="false">$G154*Supuestos!G$6*(Drivers!G$54/100)</f>
        <v>-284767.426595491</v>
      </c>
      <c r="L154" s="24" t="n">
        <f aca="false">$G154*Supuestos!H$6*(Drivers!H$54/100)</f>
        <v>-290178.007700806</v>
      </c>
      <c r="M154" s="24" t="n">
        <f aca="false">$G154*Supuestos!I$6*(Drivers!I$54/100)</f>
        <v>-295691.389847121</v>
      </c>
      <c r="N154" s="24" t="n">
        <f aca="false">$G154*Supuestos!J$6*(Drivers!J$54/100)</f>
        <v>-301309.526254216</v>
      </c>
      <c r="O154" s="24" t="n">
        <f aca="false">$G154*Supuestos!K$6*(Drivers!K$54/100)</f>
        <v>-307034.407253046</v>
      </c>
      <c r="P154" s="24" t="n">
        <f aca="false">$G154*Supuestos!L$6*(Drivers!L$54/100)</f>
        <v>-312868.060990854</v>
      </c>
      <c r="Q154" s="24" t="n">
        <f aca="false">$G154*Supuestos!M$6*(Drivers!M$54/100)</f>
        <v>-318812.55414968</v>
      </c>
      <c r="R154" s="24" t="n">
        <f aca="false">$G154*Supuestos!N$6*(Drivers!N$54/100)</f>
        <v>-324869.992678524</v>
      </c>
      <c r="S154" s="24" t="n">
        <f aca="false">$G154*Supuestos!O$6*(Drivers!O$54/100)</f>
        <v>-331042.522539416</v>
      </c>
      <c r="T154" s="24" t="n">
        <f aca="false">$G154*Supuestos!P$6*(Drivers!P$54/100)</f>
        <v>-337332.330467665</v>
      </c>
      <c r="U154" s="24" t="n">
        <f aca="false">$G154*Supuestos!Q$6*(Drivers!Q$54/100)</f>
        <v>-343741.64474655</v>
      </c>
      <c r="V154" s="24" t="n">
        <f aca="false">$G154*Supuestos!R$6*(Drivers!R$54/100)</f>
        <v>-350272.735996735</v>
      </c>
    </row>
    <row r="155" customFormat="false" ht="15" hidden="false" customHeight="false" outlineLevel="0" collapsed="false">
      <c r="A155" s="6" t="s">
        <v>178</v>
      </c>
      <c r="B155" s="6" t="s">
        <v>136</v>
      </c>
      <c r="C155" s="6" t="s">
        <v>140</v>
      </c>
      <c r="D155" s="6" t="s">
        <v>161</v>
      </c>
      <c r="E155" s="6" t="s">
        <v>162</v>
      </c>
      <c r="F155" s="6" t="s">
        <v>35</v>
      </c>
      <c r="G155" s="24" t="n">
        <v>-178130.23</v>
      </c>
      <c r="H155" s="24" t="n">
        <f aca="false">$G155*Supuestos!D$8*(Drivers!D$54/100)</f>
        <v>-182436.675120879</v>
      </c>
      <c r="I155" s="24" t="n">
        <f aca="false">$G155*Supuestos!E$8*(Drivers!E$54/100)</f>
        <v>-186873.618578755</v>
      </c>
      <c r="J155" s="24" t="n">
        <f aca="false">$G155*Supuestos!F$8*(Drivers!F$54/100)</f>
        <v>-191180.063699634</v>
      </c>
      <c r="K155" s="24" t="n">
        <f aca="false">$G155*Supuestos!G$8*(Drivers!G$54/100)</f>
        <v>-194312.023787546</v>
      </c>
      <c r="L155" s="24" t="n">
        <f aca="false">$G155*Supuestos!H$8*(Drivers!H$54/100)</f>
        <v>-197313.485538462</v>
      </c>
      <c r="M155" s="24" t="n">
        <f aca="false">$G155*Supuestos!I$8*(Drivers!I$54/100)</f>
        <v>-200445.445626374</v>
      </c>
      <c r="N155" s="24" t="n">
        <f aca="false">$G155*Supuestos!J$8*(Drivers!J$54/100)</f>
        <v>-203577.405714286</v>
      </c>
      <c r="O155" s="24" t="n">
        <f aca="false">$G155*Supuestos!K$8*(Drivers!K$54/100)</f>
        <v>-206709.365802198</v>
      </c>
      <c r="P155" s="24" t="n">
        <f aca="false">$G155*Supuestos!L$8*(Drivers!L$54/100)</f>
        <v>-209841.32589011</v>
      </c>
      <c r="Q155" s="24" t="n">
        <f aca="false">$G155*Supuestos!M$8*(Drivers!M$54/100)</f>
        <v>-212842.787641026</v>
      </c>
      <c r="R155" s="24" t="n">
        <f aca="false">$G155*Supuestos!N$8*(Drivers!N$54/100)</f>
        <v>-215974.747728938</v>
      </c>
      <c r="S155" s="24" t="n">
        <f aca="false">$G155*Supuestos!O$8*(Drivers!O$54/100)</f>
        <v>-219106.70781685</v>
      </c>
      <c r="T155" s="24" t="n">
        <f aca="false">$G155*Supuestos!P$8*(Drivers!P$54/100)</f>
        <v>-222108.169567766</v>
      </c>
      <c r="U155" s="24" t="n">
        <f aca="false">$G155*Supuestos!Q$8*(Drivers!Q$54/100)</f>
        <v>-225240.129655678</v>
      </c>
      <c r="V155" s="24" t="n">
        <f aca="false">$G155*Supuestos!R$8*(Drivers!R$54/100)</f>
        <v>-228372.08974359</v>
      </c>
    </row>
    <row r="156" customFormat="false" ht="15" hidden="false" customHeight="false" outlineLevel="0" collapsed="false">
      <c r="A156" s="6" t="s">
        <v>178</v>
      </c>
      <c r="B156" s="6" t="s">
        <v>136</v>
      </c>
      <c r="C156" s="6" t="s">
        <v>140</v>
      </c>
      <c r="D156" s="6" t="s">
        <v>163</v>
      </c>
      <c r="E156" s="6" t="s">
        <v>164</v>
      </c>
      <c r="F156" s="6" t="s">
        <v>37</v>
      </c>
      <c r="G156" s="24" t="n">
        <v>-385739.74</v>
      </c>
      <c r="H156" s="24" t="n">
        <f aca="false">$G156*Supuestos!D$6*(Drivers!D$54/100)</f>
        <v>-394611.75402</v>
      </c>
      <c r="I156" s="24" t="n">
        <f aca="false">$G156*Supuestos!E$6*(Drivers!E$54/100)</f>
        <v>-403687.82436246</v>
      </c>
      <c r="J156" s="24" t="n">
        <f aca="false">$G156*Supuestos!F$6*(Drivers!F$54/100)</f>
        <v>-412972.644322796</v>
      </c>
      <c r="K156" s="24" t="n">
        <f aca="false">$G156*Supuestos!G$6*(Drivers!G$54/100)</f>
        <v>-420819.12456493</v>
      </c>
      <c r="L156" s="24" t="n">
        <f aca="false">$G156*Supuestos!H$6*(Drivers!H$54/100)</f>
        <v>-428814.687931663</v>
      </c>
      <c r="M156" s="24" t="n">
        <f aca="false">$G156*Supuestos!I$6*(Drivers!I$54/100)</f>
        <v>-436962.167002365</v>
      </c>
      <c r="N156" s="24" t="n">
        <f aca="false">$G156*Supuestos!J$6*(Drivers!J$54/100)</f>
        <v>-445264.44817541</v>
      </c>
      <c r="O156" s="24" t="n">
        <f aca="false">$G156*Supuestos!K$6*(Drivers!K$54/100)</f>
        <v>-453724.472690742</v>
      </c>
      <c r="P156" s="24" t="n">
        <f aca="false">$G156*Supuestos!L$6*(Drivers!L$54/100)</f>
        <v>-462345.237671866</v>
      </c>
      <c r="Q156" s="24" t="n">
        <f aca="false">$G156*Supuestos!M$6*(Drivers!M$54/100)</f>
        <v>-471129.797187632</v>
      </c>
      <c r="R156" s="24" t="n">
        <f aca="false">$G156*Supuestos!N$6*(Drivers!N$54/100)</f>
        <v>-480081.263334197</v>
      </c>
      <c r="S156" s="24" t="n">
        <f aca="false">$G156*Supuestos!O$6*(Drivers!O$54/100)</f>
        <v>-489202.807337546</v>
      </c>
      <c r="T156" s="24" t="n">
        <f aca="false">$G156*Supuestos!P$6*(Drivers!P$54/100)</f>
        <v>-498497.66067696</v>
      </c>
      <c r="U156" s="24" t="n">
        <f aca="false">$G156*Supuestos!Q$6*(Drivers!Q$54/100)</f>
        <v>-507969.116229822</v>
      </c>
      <c r="V156" s="24" t="n">
        <f aca="false">$G156*Supuestos!R$6*(Drivers!R$54/100)</f>
        <v>-517620.529438189</v>
      </c>
    </row>
    <row r="157" customFormat="false" ht="15" hidden="false" customHeight="false" outlineLevel="0" collapsed="false">
      <c r="A157" s="6" t="s">
        <v>178</v>
      </c>
      <c r="B157" s="6" t="s">
        <v>136</v>
      </c>
      <c r="C157" s="6" t="s">
        <v>167</v>
      </c>
      <c r="D157" s="6" t="s">
        <v>168</v>
      </c>
      <c r="E157" s="6" t="s">
        <v>169</v>
      </c>
      <c r="F157" s="6" t="s">
        <v>27</v>
      </c>
      <c r="G157" s="24" t="n">
        <v>-672017.23</v>
      </c>
      <c r="H157" s="24" t="n">
        <f aca="false">$G157*Supuestos!D$6*(Drivers!D$54/100)*(Drivers!D$55/Drivers!$C$55)*(Drivers!D$56/Drivers!$C$56)*Supuestos!D$13</f>
        <v>-694348.3625529</v>
      </c>
      <c r="I157" s="24" t="n">
        <f aca="false">$G157*Supuestos!E$6*(Drivers!E$54/100)*(Drivers!E$55/Drivers!$C$55)*(Drivers!E$56/Drivers!$C$56)*Supuestos!E$13</f>
        <v>-703285.51969467</v>
      </c>
      <c r="J157" s="24" t="n">
        <f aca="false">$G157*Supuestos!F$6*(Drivers!F$54/100)*(Drivers!F$55/Drivers!$C$55)*(Drivers!F$56/Drivers!$C$56)*Supuestos!F$13</f>
        <v>-697877.254048218</v>
      </c>
      <c r="K157" s="24" t="n">
        <f aca="false">$G157*Supuestos!G$6*(Drivers!G$54/100)*(Drivers!G$55/Drivers!$C$55)*(Drivers!G$56/Drivers!$C$56)*Supuestos!G$13</f>
        <v>-703805.613402194</v>
      </c>
      <c r="L157" s="24" t="n">
        <f aca="false">$G157*Supuestos!H$6*(Drivers!H$54/100)*(Drivers!H$55/Drivers!$C$55)*(Drivers!H$56/Drivers!$C$56)*Supuestos!H$13</f>
        <v>-724648.523390761</v>
      </c>
      <c r="M157" s="24" t="n">
        <f aca="false">$G157*Supuestos!I$6*(Drivers!I$54/100)*(Drivers!I$55/Drivers!$C$55)*(Drivers!I$56/Drivers!$C$56)*Supuestos!I$13</f>
        <v>-784092.114118805</v>
      </c>
      <c r="N157" s="24" t="n">
        <f aca="false">$G157*Supuestos!J$6*(Drivers!J$54/100)*(Drivers!J$55/Drivers!$C$55)*(Drivers!J$56/Drivers!$C$56)*Supuestos!J$13</f>
        <v>-783475.497990226</v>
      </c>
      <c r="O157" s="24" t="n">
        <f aca="false">$G157*Supuestos!K$6*(Drivers!K$54/100)*(Drivers!K$55/Drivers!$C$55)*(Drivers!K$56/Drivers!$C$56)*Supuestos!K$13</f>
        <v>-790456.962823803</v>
      </c>
      <c r="P157" s="24" t="n">
        <f aca="false">$G157*Supuestos!L$6*(Drivers!L$54/100)*(Drivers!L$55/Drivers!$C$55)*(Drivers!L$56/Drivers!$C$56)*Supuestos!L$13</f>
        <v>-797420.88866628</v>
      </c>
      <c r="Q157" s="24" t="n">
        <f aca="false">$G157*Supuestos!M$6*(Drivers!M$54/100)*(Drivers!M$55/Drivers!$C$55)*(Drivers!M$56/Drivers!$C$56)*Supuestos!M$13</f>
        <v>-820779.682374686</v>
      </c>
      <c r="R157" s="24" t="n">
        <f aca="false">$G157*Supuestos!N$6*(Drivers!N$54/100)*(Drivers!N$55/Drivers!$C$55)*(Drivers!N$56/Drivers!$C$56)*Supuestos!N$13</f>
        <v>-844738.241303203</v>
      </c>
      <c r="S157" s="24" t="n">
        <f aca="false">$G157*Supuestos!O$6*(Drivers!O$54/100)*(Drivers!O$55/Drivers!$C$55)*(Drivers!O$56/Drivers!$C$56)*Supuestos!O$13</f>
        <v>-869310.924005667</v>
      </c>
      <c r="T157" s="24" t="n">
        <f aca="false">$G157*Supuestos!P$6*(Drivers!P$54/100)*(Drivers!P$55/Drivers!$C$55)*(Drivers!P$56/Drivers!$C$56)*Supuestos!P$13</f>
        <v>-877143.244977835</v>
      </c>
      <c r="U157" s="24" t="n">
        <f aca="false">$G157*Supuestos!Q$6*(Drivers!Q$54/100)*(Drivers!Q$55/Drivers!$C$55)*(Drivers!Q$56/Drivers!$C$56)*Supuestos!Q$13</f>
        <v>-884959.37290338</v>
      </c>
      <c r="V157" s="24" t="n">
        <f aca="false">$G157*Supuestos!R$6*(Drivers!R$54/100)*(Drivers!R$55/Drivers!$C$55)*(Drivers!R$56/Drivers!$C$56)*Supuestos!R$13</f>
        <v>-874720.392958888</v>
      </c>
    </row>
    <row r="158" customFormat="false" ht="15" hidden="false" customHeight="false" outlineLevel="0" collapsed="false">
      <c r="A158" s="6" t="s">
        <v>179</v>
      </c>
      <c r="B158" s="6" t="s">
        <v>136</v>
      </c>
      <c r="C158" s="6" t="s">
        <v>137</v>
      </c>
      <c r="D158" s="6" t="s">
        <v>138</v>
      </c>
      <c r="E158" s="6" t="s">
        <v>139</v>
      </c>
      <c r="F158" s="6" t="s">
        <v>25</v>
      </c>
      <c r="G158" s="24" t="n">
        <v>13845255.36</v>
      </c>
      <c r="H158" s="24" t="n">
        <f aca="false">$G158*Supuestos!D$6*(Drivers!D$60/100)*(Drivers!D$61/Drivers!$C$61)*(Drivers!D$62/Drivers!$C$62)*Supuestos!D$13</f>
        <v>14305333.1956128</v>
      </c>
      <c r="I158" s="24" t="n">
        <f aca="false">$G158*Supuestos!E$6*(Drivers!E$60/100)*(Drivers!E$61/Drivers!$C$61)*(Drivers!E$62/Drivers!$C$62)*Supuestos!E$13</f>
        <v>14489461.2466454</v>
      </c>
      <c r="J158" s="24" t="n">
        <f aca="false">$G158*Supuestos!F$6*(Drivers!F$60/100)*(Drivers!F$61/Drivers!$C$61)*(Drivers!F$62/Drivers!$C$62)*Supuestos!F$13</f>
        <v>14378037.2896587</v>
      </c>
      <c r="K158" s="24" t="n">
        <f aca="false">$G158*Supuestos!G$6*(Drivers!G$60/100)*(Drivers!G$61/Drivers!$C$61)*(Drivers!G$62/Drivers!$C$62)*Supuestos!G$13</f>
        <v>14500176.4930266</v>
      </c>
      <c r="L158" s="24" t="n">
        <f aca="false">$G158*Supuestos!H$6*(Drivers!H$60/100)*(Drivers!H$61/Drivers!$C$61)*(Drivers!H$62/Drivers!$C$62)*Supuestos!H$13</f>
        <v>14929593.1781273</v>
      </c>
      <c r="M158" s="24" t="n">
        <f aca="false">$G158*Supuestos!I$6*(Drivers!I$60/100)*(Drivers!I$61/Drivers!$C$61)*(Drivers!I$62/Drivers!$C$62)*Supuestos!I$13</f>
        <v>16154281.558729</v>
      </c>
      <c r="N158" s="24" t="n">
        <f aca="false">$G158*Supuestos!J$6*(Drivers!J$60/100)*(Drivers!J$61/Drivers!$C$61)*(Drivers!J$62/Drivers!$C$62)*Supuestos!J$13</f>
        <v>16141577.706241</v>
      </c>
      <c r="O158" s="24" t="n">
        <f aca="false">$G158*Supuestos!K$6*(Drivers!K$60/100)*(Drivers!K$61/Drivers!$C$61)*(Drivers!K$62/Drivers!$C$62)*Supuestos!K$13</f>
        <v>16285413.5471877</v>
      </c>
      <c r="P158" s="24" t="n">
        <f aca="false">$G158*Supuestos!L$6*(Drivers!L$60/100)*(Drivers!L$61/Drivers!$C$61)*(Drivers!L$62/Drivers!$C$62)*Supuestos!L$13</f>
        <v>16428888.0405385</v>
      </c>
      <c r="Q158" s="24" t="n">
        <f aca="false">$G158*Supuestos!M$6*(Drivers!M$60/100)*(Drivers!M$61/Drivers!$C$61)*(Drivers!M$62/Drivers!$C$62)*Supuestos!M$13</f>
        <v>16910138.2962714</v>
      </c>
      <c r="R158" s="24" t="n">
        <f aca="false">$G158*Supuestos!N$6*(Drivers!N$60/100)*(Drivers!N$61/Drivers!$C$61)*(Drivers!N$62/Drivers!$C$62)*Supuestos!N$13</f>
        <v>17403745.2331396</v>
      </c>
      <c r="S158" s="24" t="n">
        <f aca="false">$G158*Supuestos!O$6*(Drivers!O$60/100)*(Drivers!O$61/Drivers!$C$61)*(Drivers!O$62/Drivers!$C$62)*Supuestos!O$13</f>
        <v>17910004.6736838</v>
      </c>
      <c r="T158" s="24" t="n">
        <f aca="false">$G158*Supuestos!P$6*(Drivers!P$60/100)*(Drivers!P$61/Drivers!$C$61)*(Drivers!P$62/Drivers!$C$62)*Supuestos!P$13</f>
        <v>18071370.304028</v>
      </c>
      <c r="U158" s="24" t="n">
        <f aca="false">$G158*Supuestos!Q$6*(Drivers!Q$60/100)*(Drivers!Q$61/Drivers!$C$61)*(Drivers!Q$62/Drivers!$C$62)*Supuestos!Q$13</f>
        <v>18232402.3166382</v>
      </c>
      <c r="V158" s="24" t="n">
        <f aca="false">$G158*Supuestos!R$6*(Drivers!R$60/100)*(Drivers!R$61/Drivers!$C$61)*(Drivers!R$62/Drivers!$C$62)*Supuestos!R$13</f>
        <v>18021453.4218347</v>
      </c>
    </row>
    <row r="159" customFormat="false" ht="15" hidden="false" customHeight="false" outlineLevel="0" collapsed="false">
      <c r="A159" s="6" t="s">
        <v>179</v>
      </c>
      <c r="B159" s="6" t="s">
        <v>136</v>
      </c>
      <c r="C159" s="6" t="s">
        <v>140</v>
      </c>
      <c r="D159" s="6" t="s">
        <v>141</v>
      </c>
      <c r="E159" s="6" t="s">
        <v>142</v>
      </c>
      <c r="F159" s="6" t="s">
        <v>29</v>
      </c>
      <c r="G159" s="24" t="n">
        <v>-4463253.57</v>
      </c>
      <c r="H159" s="24" t="n">
        <f aca="false">$G159*Supuestos!D$10*(Drivers!D$63/Drivers!$C$63)</f>
        <v>-4731048.7842</v>
      </c>
      <c r="I159" s="24" t="n">
        <f aca="false">$G159*Supuestos!E$10*(Drivers!E$63/Drivers!$C$63)</f>
        <v>-4731048.7842</v>
      </c>
      <c r="J159" s="24" t="n">
        <f aca="false">$G159*Supuestos!F$10*(Drivers!F$63/Drivers!$C$63)</f>
        <v>-4731048.7842</v>
      </c>
      <c r="K159" s="24" t="n">
        <f aca="false">$G159*Supuestos!G$10*(Drivers!G$63/Drivers!$C$63)</f>
        <v>-4991256.467331</v>
      </c>
      <c r="L159" s="24" t="n">
        <f aca="false">$G159*Supuestos!H$10*(Drivers!H$63/Drivers!$C$63)</f>
        <v>-4991256.467331</v>
      </c>
      <c r="M159" s="24" t="n">
        <f aca="false">$G159*Supuestos!I$10*(Drivers!I$63/Drivers!$C$63)</f>
        <v>-4991256.467331</v>
      </c>
      <c r="N159" s="24" t="n">
        <f aca="false">$G159*Supuestos!J$10*(Drivers!J$63/Drivers!$C$63)</f>
        <v>-5265775.57303421</v>
      </c>
      <c r="O159" s="24" t="n">
        <f aca="false">$G159*Supuestos!K$10*(Drivers!K$63/Drivers!$C$63)</f>
        <v>-5265775.57303421</v>
      </c>
      <c r="P159" s="24" t="n">
        <f aca="false">$G159*Supuestos!L$10*(Drivers!L$63/Drivers!$C$63)</f>
        <v>-5265775.57303421</v>
      </c>
      <c r="Q159" s="24" t="n">
        <f aca="false">$G159*Supuestos!M$10*(Drivers!M$63/Drivers!$C$63)</f>
        <v>-5555393.22955109</v>
      </c>
      <c r="R159" s="24" t="n">
        <f aca="false">$G159*Supuestos!N$10*(Drivers!N$63/Drivers!$C$63)</f>
        <v>-5555393.22955109</v>
      </c>
      <c r="S159" s="24" t="n">
        <f aca="false">$G159*Supuestos!O$10*(Drivers!O$63/Drivers!$C$63)</f>
        <v>-5555393.22955109</v>
      </c>
      <c r="T159" s="24" t="n">
        <f aca="false">$G159*Supuestos!P$10*(Drivers!P$63/Drivers!$C$63)</f>
        <v>-5860939.8571764</v>
      </c>
      <c r="U159" s="24" t="n">
        <f aca="false">$G159*Supuestos!Q$10*(Drivers!Q$63/Drivers!$C$63)</f>
        <v>-5860939.8571764</v>
      </c>
      <c r="V159" s="24" t="n">
        <f aca="false">$G159*Supuestos!R$10*(Drivers!R$63/Drivers!$C$63)</f>
        <v>-5860939.8571764</v>
      </c>
    </row>
    <row r="160" customFormat="false" ht="15" hidden="false" customHeight="false" outlineLevel="0" collapsed="false">
      <c r="A160" s="6" t="s">
        <v>179</v>
      </c>
      <c r="B160" s="6" t="s">
        <v>136</v>
      </c>
      <c r="C160" s="6" t="s">
        <v>140</v>
      </c>
      <c r="D160" s="6" t="s">
        <v>141</v>
      </c>
      <c r="E160" s="6" t="s">
        <v>143</v>
      </c>
      <c r="F160" s="6" t="s">
        <v>29</v>
      </c>
      <c r="G160" s="24" t="n">
        <v>-1251087.34</v>
      </c>
      <c r="H160" s="24" t="n">
        <f aca="false">$G160*Supuestos!D$10*(Drivers!D$63/Drivers!$C$63)</f>
        <v>-1326152.5804</v>
      </c>
      <c r="I160" s="24" t="n">
        <f aca="false">$G160*Supuestos!E$10*(Drivers!E$63/Drivers!$C$63)</f>
        <v>-1326152.5804</v>
      </c>
      <c r="J160" s="24" t="n">
        <f aca="false">$G160*Supuestos!F$10*(Drivers!F$63/Drivers!$C$63)</f>
        <v>-1326152.5804</v>
      </c>
      <c r="K160" s="24" t="n">
        <f aca="false">$G160*Supuestos!G$10*(Drivers!G$63/Drivers!$C$63)</f>
        <v>-1399090.972322</v>
      </c>
      <c r="L160" s="24" t="n">
        <f aca="false">$G160*Supuestos!H$10*(Drivers!H$63/Drivers!$C$63)</f>
        <v>-1399090.972322</v>
      </c>
      <c r="M160" s="24" t="n">
        <f aca="false">$G160*Supuestos!I$10*(Drivers!I$63/Drivers!$C$63)</f>
        <v>-1399090.972322</v>
      </c>
      <c r="N160" s="24" t="n">
        <f aca="false">$G160*Supuestos!J$10*(Drivers!J$63/Drivers!$C$63)</f>
        <v>-1476040.97579971</v>
      </c>
      <c r="O160" s="24" t="n">
        <f aca="false">$G160*Supuestos!K$10*(Drivers!K$63/Drivers!$C$63)</f>
        <v>-1476040.97579971</v>
      </c>
      <c r="P160" s="24" t="n">
        <f aca="false">$G160*Supuestos!L$10*(Drivers!L$63/Drivers!$C$63)</f>
        <v>-1476040.97579971</v>
      </c>
      <c r="Q160" s="24" t="n">
        <f aca="false">$G160*Supuestos!M$10*(Drivers!M$63/Drivers!$C$63)</f>
        <v>-1557223.22946869</v>
      </c>
      <c r="R160" s="24" t="n">
        <f aca="false">$G160*Supuestos!N$10*(Drivers!N$63/Drivers!$C$63)</f>
        <v>-1557223.22946869</v>
      </c>
      <c r="S160" s="24" t="n">
        <f aca="false">$G160*Supuestos!O$10*(Drivers!O$63/Drivers!$C$63)</f>
        <v>-1557223.22946869</v>
      </c>
      <c r="T160" s="24" t="n">
        <f aca="false">$G160*Supuestos!P$10*(Drivers!P$63/Drivers!$C$63)</f>
        <v>-1642870.50708947</v>
      </c>
      <c r="U160" s="24" t="n">
        <f aca="false">$G160*Supuestos!Q$10*(Drivers!Q$63/Drivers!$C$63)</f>
        <v>-1642870.50708947</v>
      </c>
      <c r="V160" s="24" t="n">
        <f aca="false">$G160*Supuestos!R$10*(Drivers!R$63/Drivers!$C$63)</f>
        <v>-1642870.50708947</v>
      </c>
    </row>
    <row r="161" customFormat="false" ht="15" hidden="false" customHeight="false" outlineLevel="0" collapsed="false">
      <c r="A161" s="6" t="s">
        <v>179</v>
      </c>
      <c r="B161" s="6" t="s">
        <v>136</v>
      </c>
      <c r="C161" s="6" t="s">
        <v>140</v>
      </c>
      <c r="D161" s="6" t="s">
        <v>141</v>
      </c>
      <c r="E161" s="6" t="s">
        <v>144</v>
      </c>
      <c r="F161" s="6" t="s">
        <v>29</v>
      </c>
      <c r="G161" s="24" t="n">
        <v>-295956.19</v>
      </c>
      <c r="H161" s="24" t="n">
        <f aca="false">$G161*Supuestos!D$10*(Drivers!D$63/Drivers!$C$63)</f>
        <v>-313713.5614</v>
      </c>
      <c r="I161" s="24" t="n">
        <f aca="false">$G161*Supuestos!E$10*(Drivers!E$63/Drivers!$C$63)</f>
        <v>-313713.5614</v>
      </c>
      <c r="J161" s="24" t="n">
        <f aca="false">$G161*Supuestos!F$10*(Drivers!F$63/Drivers!$C$63)</f>
        <v>-313713.5614</v>
      </c>
      <c r="K161" s="24" t="n">
        <f aca="false">$G161*Supuestos!G$10*(Drivers!G$63/Drivers!$C$63)</f>
        <v>-330967.807277</v>
      </c>
      <c r="L161" s="24" t="n">
        <f aca="false">$G161*Supuestos!H$10*(Drivers!H$63/Drivers!$C$63)</f>
        <v>-330967.807277</v>
      </c>
      <c r="M161" s="24" t="n">
        <f aca="false">$G161*Supuestos!I$10*(Drivers!I$63/Drivers!$C$63)</f>
        <v>-330967.807277</v>
      </c>
      <c r="N161" s="24" t="n">
        <f aca="false">$G161*Supuestos!J$10*(Drivers!J$63/Drivers!$C$63)</f>
        <v>-349171.036677235</v>
      </c>
      <c r="O161" s="24" t="n">
        <f aca="false">$G161*Supuestos!K$10*(Drivers!K$63/Drivers!$C$63)</f>
        <v>-349171.036677235</v>
      </c>
      <c r="P161" s="24" t="n">
        <f aca="false">$G161*Supuestos!L$10*(Drivers!L$63/Drivers!$C$63)</f>
        <v>-349171.036677235</v>
      </c>
      <c r="Q161" s="24" t="n">
        <f aca="false">$G161*Supuestos!M$10*(Drivers!M$63/Drivers!$C$63)</f>
        <v>-368375.443694483</v>
      </c>
      <c r="R161" s="24" t="n">
        <f aca="false">$G161*Supuestos!N$10*(Drivers!N$63/Drivers!$C$63)</f>
        <v>-368375.443694483</v>
      </c>
      <c r="S161" s="24" t="n">
        <f aca="false">$G161*Supuestos!O$10*(Drivers!O$63/Drivers!$C$63)</f>
        <v>-368375.443694483</v>
      </c>
      <c r="T161" s="24" t="n">
        <f aca="false">$G161*Supuestos!P$10*(Drivers!P$63/Drivers!$C$63)</f>
        <v>-388636.09309768</v>
      </c>
      <c r="U161" s="24" t="n">
        <f aca="false">$G161*Supuestos!Q$10*(Drivers!Q$63/Drivers!$C$63)</f>
        <v>-388636.09309768</v>
      </c>
      <c r="V161" s="24" t="n">
        <f aca="false">$G161*Supuestos!R$10*(Drivers!R$63/Drivers!$C$63)</f>
        <v>-388636.09309768</v>
      </c>
    </row>
    <row r="162" customFormat="false" ht="15" hidden="false" customHeight="false" outlineLevel="0" collapsed="false">
      <c r="A162" s="6" t="s">
        <v>179</v>
      </c>
      <c r="B162" s="6" t="s">
        <v>136</v>
      </c>
      <c r="C162" s="6" t="s">
        <v>140</v>
      </c>
      <c r="D162" s="6" t="s">
        <v>141</v>
      </c>
      <c r="E162" s="6" t="s">
        <v>145</v>
      </c>
      <c r="F162" s="6" t="s">
        <v>29</v>
      </c>
      <c r="G162" s="24" t="n">
        <v>-201788.48</v>
      </c>
      <c r="H162" s="24" t="n">
        <f aca="false">$G162*Supuestos!D$10*(Drivers!D$63/Drivers!$C$63)</f>
        <v>-213895.7888</v>
      </c>
      <c r="I162" s="24" t="n">
        <f aca="false">$G162*Supuestos!E$10*(Drivers!E$63/Drivers!$C$63)</f>
        <v>-213895.7888</v>
      </c>
      <c r="J162" s="24" t="n">
        <f aca="false">$G162*Supuestos!F$10*(Drivers!F$63/Drivers!$C$63)</f>
        <v>-213895.7888</v>
      </c>
      <c r="K162" s="24" t="n">
        <f aca="false">$G162*Supuestos!G$10*(Drivers!G$63/Drivers!$C$63)</f>
        <v>-225660.057184</v>
      </c>
      <c r="L162" s="24" t="n">
        <f aca="false">$G162*Supuestos!H$10*(Drivers!H$63/Drivers!$C$63)</f>
        <v>-225660.057184</v>
      </c>
      <c r="M162" s="24" t="n">
        <f aca="false">$G162*Supuestos!I$10*(Drivers!I$63/Drivers!$C$63)</f>
        <v>-225660.057184</v>
      </c>
      <c r="N162" s="24" t="n">
        <f aca="false">$G162*Supuestos!J$10*(Drivers!J$63/Drivers!$C$63)</f>
        <v>-238071.36032912</v>
      </c>
      <c r="O162" s="24" t="n">
        <f aca="false">$G162*Supuestos!K$10*(Drivers!K$63/Drivers!$C$63)</f>
        <v>-238071.36032912</v>
      </c>
      <c r="P162" s="24" t="n">
        <f aca="false">$G162*Supuestos!L$10*(Drivers!L$63/Drivers!$C$63)</f>
        <v>-238071.36032912</v>
      </c>
      <c r="Q162" s="24" t="n">
        <f aca="false">$G162*Supuestos!M$10*(Drivers!M$63/Drivers!$C$63)</f>
        <v>-251165.285147222</v>
      </c>
      <c r="R162" s="24" t="n">
        <f aca="false">$G162*Supuestos!N$10*(Drivers!N$63/Drivers!$C$63)</f>
        <v>-251165.285147222</v>
      </c>
      <c r="S162" s="24" t="n">
        <f aca="false">$G162*Supuestos!O$10*(Drivers!O$63/Drivers!$C$63)</f>
        <v>-251165.285147222</v>
      </c>
      <c r="T162" s="24" t="n">
        <f aca="false">$G162*Supuestos!P$10*(Drivers!P$63/Drivers!$C$63)</f>
        <v>-264979.375830319</v>
      </c>
      <c r="U162" s="24" t="n">
        <f aca="false">$G162*Supuestos!Q$10*(Drivers!Q$63/Drivers!$C$63)</f>
        <v>-264979.375830319</v>
      </c>
      <c r="V162" s="24" t="n">
        <f aca="false">$G162*Supuestos!R$10*(Drivers!R$63/Drivers!$C$63)</f>
        <v>-264979.375830319</v>
      </c>
    </row>
    <row r="163" customFormat="false" ht="15" hidden="false" customHeight="false" outlineLevel="0" collapsed="false">
      <c r="A163" s="6" t="s">
        <v>179</v>
      </c>
      <c r="B163" s="6" t="s">
        <v>136</v>
      </c>
      <c r="C163" s="6" t="s">
        <v>140</v>
      </c>
      <c r="D163" s="6" t="s">
        <v>141</v>
      </c>
      <c r="E163" s="6" t="s">
        <v>146</v>
      </c>
      <c r="F163" s="6" t="s">
        <v>29</v>
      </c>
      <c r="G163" s="24" t="n">
        <v>-383397.87</v>
      </c>
      <c r="H163" s="24" t="n">
        <f aca="false">$G163*Supuestos!D$10*(Drivers!D$63/Drivers!$C$63)</f>
        <v>-406401.7422</v>
      </c>
      <c r="I163" s="24" t="n">
        <f aca="false">$G163*Supuestos!E$10*(Drivers!E$63/Drivers!$C$63)</f>
        <v>-406401.7422</v>
      </c>
      <c r="J163" s="24" t="n">
        <f aca="false">$G163*Supuestos!F$10*(Drivers!F$63/Drivers!$C$63)</f>
        <v>-406401.7422</v>
      </c>
      <c r="K163" s="24" t="n">
        <f aca="false">$G163*Supuestos!G$10*(Drivers!G$63/Drivers!$C$63)</f>
        <v>-428753.838021</v>
      </c>
      <c r="L163" s="24" t="n">
        <f aca="false">$G163*Supuestos!H$10*(Drivers!H$63/Drivers!$C$63)</f>
        <v>-428753.838021</v>
      </c>
      <c r="M163" s="24" t="n">
        <f aca="false">$G163*Supuestos!I$10*(Drivers!I$63/Drivers!$C$63)</f>
        <v>-428753.838021</v>
      </c>
      <c r="N163" s="24" t="n">
        <f aca="false">$G163*Supuestos!J$10*(Drivers!J$63/Drivers!$C$63)</f>
        <v>-452335.299112155</v>
      </c>
      <c r="O163" s="24" t="n">
        <f aca="false">$G163*Supuestos!K$10*(Drivers!K$63/Drivers!$C$63)</f>
        <v>-452335.299112155</v>
      </c>
      <c r="P163" s="24" t="n">
        <f aca="false">$G163*Supuestos!L$10*(Drivers!L$63/Drivers!$C$63)</f>
        <v>-452335.299112155</v>
      </c>
      <c r="Q163" s="24" t="n">
        <f aca="false">$G163*Supuestos!M$10*(Drivers!M$63/Drivers!$C$63)</f>
        <v>-477213.740563324</v>
      </c>
      <c r="R163" s="24" t="n">
        <f aca="false">$G163*Supuestos!N$10*(Drivers!N$63/Drivers!$C$63)</f>
        <v>-477213.740563324</v>
      </c>
      <c r="S163" s="24" t="n">
        <f aca="false">$G163*Supuestos!O$10*(Drivers!O$63/Drivers!$C$63)</f>
        <v>-477213.740563324</v>
      </c>
      <c r="T163" s="24" t="n">
        <f aca="false">$G163*Supuestos!P$10*(Drivers!P$63/Drivers!$C$63)</f>
        <v>-503460.496294306</v>
      </c>
      <c r="U163" s="24" t="n">
        <f aca="false">$G163*Supuestos!Q$10*(Drivers!Q$63/Drivers!$C$63)</f>
        <v>-503460.496294306</v>
      </c>
      <c r="V163" s="24" t="n">
        <f aca="false">$G163*Supuestos!R$10*(Drivers!R$63/Drivers!$C$63)</f>
        <v>-503460.496294306</v>
      </c>
    </row>
    <row r="164" customFormat="false" ht="15" hidden="false" customHeight="false" outlineLevel="0" collapsed="false">
      <c r="A164" s="6" t="s">
        <v>179</v>
      </c>
      <c r="B164" s="6" t="s">
        <v>136</v>
      </c>
      <c r="C164" s="6" t="s">
        <v>140</v>
      </c>
      <c r="D164" s="6" t="s">
        <v>141</v>
      </c>
      <c r="E164" s="6" t="s">
        <v>147</v>
      </c>
      <c r="F164" s="6" t="s">
        <v>29</v>
      </c>
      <c r="G164" s="24" t="n">
        <v>-430482.06</v>
      </c>
      <c r="H164" s="24" t="n">
        <f aca="false">$G164*Supuestos!D$10*(Drivers!D$63/Drivers!$C$63)</f>
        <v>-456310.9836</v>
      </c>
      <c r="I164" s="24" t="n">
        <f aca="false">$G164*Supuestos!E$10*(Drivers!E$63/Drivers!$C$63)</f>
        <v>-456310.9836</v>
      </c>
      <c r="J164" s="24" t="n">
        <f aca="false">$G164*Supuestos!F$10*(Drivers!F$63/Drivers!$C$63)</f>
        <v>-456310.9836</v>
      </c>
      <c r="K164" s="24" t="n">
        <f aca="false">$G164*Supuestos!G$10*(Drivers!G$63/Drivers!$C$63)</f>
        <v>-481408.087698</v>
      </c>
      <c r="L164" s="24" t="n">
        <f aca="false">$G164*Supuestos!H$10*(Drivers!H$63/Drivers!$C$63)</f>
        <v>-481408.087698</v>
      </c>
      <c r="M164" s="24" t="n">
        <f aca="false">$G164*Supuestos!I$10*(Drivers!I$63/Drivers!$C$63)</f>
        <v>-481408.087698</v>
      </c>
      <c r="N164" s="24" t="n">
        <f aca="false">$G164*Supuestos!J$10*(Drivers!J$63/Drivers!$C$63)</f>
        <v>-507885.53252139</v>
      </c>
      <c r="O164" s="24" t="n">
        <f aca="false">$G164*Supuestos!K$10*(Drivers!K$63/Drivers!$C$63)</f>
        <v>-507885.53252139</v>
      </c>
      <c r="P164" s="24" t="n">
        <f aca="false">$G164*Supuestos!L$10*(Drivers!L$63/Drivers!$C$63)</f>
        <v>-507885.53252139</v>
      </c>
      <c r="Q164" s="24" t="n">
        <f aca="false">$G164*Supuestos!M$10*(Drivers!M$63/Drivers!$C$63)</f>
        <v>-535819.236810067</v>
      </c>
      <c r="R164" s="24" t="n">
        <f aca="false">$G164*Supuestos!N$10*(Drivers!N$63/Drivers!$C$63)</f>
        <v>-535819.236810067</v>
      </c>
      <c r="S164" s="24" t="n">
        <f aca="false">$G164*Supuestos!O$10*(Drivers!O$63/Drivers!$C$63)</f>
        <v>-535819.236810067</v>
      </c>
      <c r="T164" s="24" t="n">
        <f aca="false">$G164*Supuestos!P$10*(Drivers!P$63/Drivers!$C$63)</f>
        <v>-565289.29483462</v>
      </c>
      <c r="U164" s="24" t="n">
        <f aca="false">$G164*Supuestos!Q$10*(Drivers!Q$63/Drivers!$C$63)</f>
        <v>-565289.29483462</v>
      </c>
      <c r="V164" s="24" t="n">
        <f aca="false">$G164*Supuestos!R$10*(Drivers!R$63/Drivers!$C$63)</f>
        <v>-565289.29483462</v>
      </c>
    </row>
    <row r="165" customFormat="false" ht="15" hidden="false" customHeight="false" outlineLevel="0" collapsed="false">
      <c r="A165" s="6" t="s">
        <v>179</v>
      </c>
      <c r="B165" s="6" t="s">
        <v>136</v>
      </c>
      <c r="C165" s="6" t="s">
        <v>140</v>
      </c>
      <c r="D165" s="6" t="s">
        <v>141</v>
      </c>
      <c r="E165" s="6" t="s">
        <v>148</v>
      </c>
      <c r="F165" s="6" t="s">
        <v>41</v>
      </c>
      <c r="G165" s="24" t="n">
        <v>-67579.51</v>
      </c>
      <c r="H165" s="24" t="n">
        <f aca="false">0</f>
        <v>0</v>
      </c>
      <c r="I165" s="24" t="n">
        <f aca="false">0</f>
        <v>0</v>
      </c>
      <c r="J165" s="24" t="n">
        <f aca="false">0</f>
        <v>0</v>
      </c>
      <c r="K165" s="24" t="n">
        <f aca="false">0</f>
        <v>0</v>
      </c>
      <c r="L165" s="24" t="n">
        <f aca="false">0</f>
        <v>0</v>
      </c>
      <c r="M165" s="24" t="n">
        <f aca="false">0</f>
        <v>0</v>
      </c>
      <c r="N165" s="24" t="n">
        <f aca="false">0</f>
        <v>0</v>
      </c>
      <c r="O165" s="24" t="n">
        <f aca="false">0</f>
        <v>0</v>
      </c>
      <c r="P165" s="24" t="n">
        <f aca="false">0</f>
        <v>0</v>
      </c>
      <c r="Q165" s="24" t="n">
        <f aca="false">0</f>
        <v>0</v>
      </c>
      <c r="R165" s="24" t="n">
        <f aca="false">0</f>
        <v>0</v>
      </c>
      <c r="S165" s="24" t="n">
        <f aca="false">0</f>
        <v>0</v>
      </c>
      <c r="T165" s="24" t="n">
        <f aca="false">0</f>
        <v>0</v>
      </c>
      <c r="U165" s="24" t="n">
        <f aca="false">0</f>
        <v>0</v>
      </c>
      <c r="V165" s="24" t="n">
        <f aca="false">0</f>
        <v>0</v>
      </c>
    </row>
    <row r="166" customFormat="false" ht="15" hidden="false" customHeight="false" outlineLevel="0" collapsed="false">
      <c r="A166" s="6" t="s">
        <v>179</v>
      </c>
      <c r="B166" s="6" t="s">
        <v>136</v>
      </c>
      <c r="C166" s="6" t="s">
        <v>140</v>
      </c>
      <c r="D166" s="6" t="s">
        <v>149</v>
      </c>
      <c r="E166" s="6" t="s">
        <v>150</v>
      </c>
      <c r="F166" s="6" t="s">
        <v>31</v>
      </c>
      <c r="G166" s="24" t="n">
        <v>-3549000</v>
      </c>
      <c r="H166" s="24" t="n">
        <f aca="false">$G166*Supuestos!D$8*(Drivers!D$63/Drivers!$C$63)</f>
        <v>-3634800</v>
      </c>
      <c r="I166" s="24" t="n">
        <f aca="false">$G166*Supuestos!E$8*(Drivers!E$63/Drivers!$C$63)</f>
        <v>-3723200</v>
      </c>
      <c r="J166" s="24" t="n">
        <f aca="false">$G166*Supuestos!F$8*(Drivers!F$63/Drivers!$C$63)</f>
        <v>-3809000</v>
      </c>
      <c r="K166" s="24" t="n">
        <f aca="false">$G166*Supuestos!G$8*(Drivers!G$63/Drivers!$C$63)</f>
        <v>-3871400</v>
      </c>
      <c r="L166" s="24" t="n">
        <f aca="false">$G166*Supuestos!H$8*(Drivers!H$63/Drivers!$C$63)</f>
        <v>-3931200</v>
      </c>
      <c r="M166" s="24" t="n">
        <f aca="false">$G166*Supuestos!I$8*(Drivers!I$63/Drivers!$C$63)</f>
        <v>-3993600</v>
      </c>
      <c r="N166" s="24" t="n">
        <f aca="false">$G166*Supuestos!J$8*(Drivers!J$63/Drivers!$C$63)</f>
        <v>-4056000</v>
      </c>
      <c r="O166" s="24" t="n">
        <f aca="false">$G166*Supuestos!K$8*(Drivers!K$63/Drivers!$C$63)</f>
        <v>-4118400</v>
      </c>
      <c r="P166" s="24" t="n">
        <f aca="false">$G166*Supuestos!L$8*(Drivers!L$63/Drivers!$C$63)</f>
        <v>-4180800</v>
      </c>
      <c r="Q166" s="24" t="n">
        <f aca="false">$G166*Supuestos!M$8*(Drivers!M$63/Drivers!$C$63)</f>
        <v>-4240600</v>
      </c>
      <c r="R166" s="24" t="n">
        <f aca="false">$G166*Supuestos!N$8*(Drivers!N$63/Drivers!$C$63)</f>
        <v>-4303000</v>
      </c>
      <c r="S166" s="24" t="n">
        <f aca="false">$G166*Supuestos!O$8*(Drivers!O$63/Drivers!$C$63)</f>
        <v>-4365400</v>
      </c>
      <c r="T166" s="24" t="n">
        <f aca="false">$G166*Supuestos!P$8*(Drivers!P$63/Drivers!$C$63)</f>
        <v>-4425200</v>
      </c>
      <c r="U166" s="24" t="n">
        <f aca="false">$G166*Supuestos!Q$8*(Drivers!Q$63/Drivers!$C$63)</f>
        <v>-4487600</v>
      </c>
      <c r="V166" s="24" t="n">
        <f aca="false">$G166*Supuestos!R$8*(Drivers!R$63/Drivers!$C$63)</f>
        <v>-4550000</v>
      </c>
    </row>
    <row r="167" customFormat="false" ht="15" hidden="false" customHeight="false" outlineLevel="0" collapsed="false">
      <c r="A167" s="6" t="s">
        <v>179</v>
      </c>
      <c r="B167" s="6" t="s">
        <v>136</v>
      </c>
      <c r="C167" s="6" t="s">
        <v>140</v>
      </c>
      <c r="D167" s="6" t="s">
        <v>151</v>
      </c>
      <c r="E167" s="6" t="s">
        <v>152</v>
      </c>
      <c r="F167" s="6" t="s">
        <v>31</v>
      </c>
      <c r="G167" s="24" t="n">
        <v>-552825</v>
      </c>
      <c r="H167" s="24" t="n">
        <f aca="false">$G167*Supuestos!D$8*(Drivers!D$63/Drivers!$C$63)</f>
        <v>-566190</v>
      </c>
      <c r="I167" s="24" t="n">
        <f aca="false">$G167*Supuestos!E$8*(Drivers!E$63/Drivers!$C$63)</f>
        <v>-579960</v>
      </c>
      <c r="J167" s="24" t="n">
        <f aca="false">$G167*Supuestos!F$8*(Drivers!F$63/Drivers!$C$63)</f>
        <v>-593325</v>
      </c>
      <c r="K167" s="24" t="n">
        <f aca="false">$G167*Supuestos!G$8*(Drivers!G$63/Drivers!$C$63)</f>
        <v>-603045</v>
      </c>
      <c r="L167" s="24" t="n">
        <f aca="false">$G167*Supuestos!H$8*(Drivers!H$63/Drivers!$C$63)</f>
        <v>-612360</v>
      </c>
      <c r="M167" s="24" t="n">
        <f aca="false">$G167*Supuestos!I$8*(Drivers!I$63/Drivers!$C$63)</f>
        <v>-622080</v>
      </c>
      <c r="N167" s="24" t="n">
        <f aca="false">$G167*Supuestos!J$8*(Drivers!J$63/Drivers!$C$63)</f>
        <v>-631800</v>
      </c>
      <c r="O167" s="24" t="n">
        <f aca="false">$G167*Supuestos!K$8*(Drivers!K$63/Drivers!$C$63)</f>
        <v>-641520</v>
      </c>
      <c r="P167" s="24" t="n">
        <f aca="false">$G167*Supuestos!L$8*(Drivers!L$63/Drivers!$C$63)</f>
        <v>-651240</v>
      </c>
      <c r="Q167" s="24" t="n">
        <f aca="false">$G167*Supuestos!M$8*(Drivers!M$63/Drivers!$C$63)</f>
        <v>-660555</v>
      </c>
      <c r="R167" s="24" t="n">
        <f aca="false">$G167*Supuestos!N$8*(Drivers!N$63/Drivers!$C$63)</f>
        <v>-670275</v>
      </c>
      <c r="S167" s="24" t="n">
        <f aca="false">$G167*Supuestos!O$8*(Drivers!O$63/Drivers!$C$63)</f>
        <v>-679995</v>
      </c>
      <c r="T167" s="24" t="n">
        <f aca="false">$G167*Supuestos!P$8*(Drivers!P$63/Drivers!$C$63)</f>
        <v>-689310</v>
      </c>
      <c r="U167" s="24" t="n">
        <f aca="false">$G167*Supuestos!Q$8*(Drivers!Q$63/Drivers!$C$63)</f>
        <v>-699030</v>
      </c>
      <c r="V167" s="24" t="n">
        <f aca="false">$G167*Supuestos!R$8*(Drivers!R$63/Drivers!$C$63)</f>
        <v>-708750</v>
      </c>
    </row>
    <row r="168" customFormat="false" ht="15" hidden="false" customHeight="false" outlineLevel="0" collapsed="false">
      <c r="A168" s="6" t="s">
        <v>179</v>
      </c>
      <c r="B168" s="6" t="s">
        <v>136</v>
      </c>
      <c r="C168" s="6" t="s">
        <v>140</v>
      </c>
      <c r="D168" s="6" t="s">
        <v>153</v>
      </c>
      <c r="E168" s="6" t="s">
        <v>154</v>
      </c>
      <c r="F168" s="6" t="s">
        <v>33</v>
      </c>
      <c r="G168" s="24" t="n">
        <v>-339039.97</v>
      </c>
      <c r="H168" s="24" t="n">
        <f aca="false">$G168*Supuestos!D$6*(Drivers!D$63/Drivers!$C$63)</f>
        <v>-346837.88931</v>
      </c>
      <c r="I168" s="24" t="n">
        <f aca="false">$G168*Supuestos!E$6*(Drivers!E$63/Drivers!$C$63)</f>
        <v>-354815.16076413</v>
      </c>
      <c r="J168" s="24" t="n">
        <f aca="false">$G168*Supuestos!F$6*(Drivers!F$63/Drivers!$C$63)</f>
        <v>-362975.909461705</v>
      </c>
      <c r="K168" s="24" t="n">
        <f aca="false">$G168*Supuestos!G$6*(Drivers!G$63/Drivers!$C$63)</f>
        <v>-369872.451741477</v>
      </c>
      <c r="L168" s="24" t="n">
        <f aca="false">$G168*Supuestos!H$6*(Drivers!H$63/Drivers!$C$63)</f>
        <v>-376900.028324565</v>
      </c>
      <c r="M168" s="24" t="n">
        <f aca="false">$G168*Supuestos!I$6*(Drivers!I$63/Drivers!$C$63)</f>
        <v>-384061.128862732</v>
      </c>
      <c r="N168" s="24" t="n">
        <f aca="false">$G168*Supuestos!J$6*(Drivers!J$63/Drivers!$C$63)</f>
        <v>-391358.290311124</v>
      </c>
      <c r="O168" s="24" t="n">
        <f aca="false">$G168*Supuestos!K$6*(Drivers!K$63/Drivers!$C$63)</f>
        <v>-398794.097827035</v>
      </c>
      <c r="P168" s="24" t="n">
        <f aca="false">$G168*Supuestos!L$6*(Drivers!L$63/Drivers!$C$63)</f>
        <v>-406371.185685749</v>
      </c>
      <c r="Q168" s="24" t="n">
        <f aca="false">$G168*Supuestos!M$6*(Drivers!M$63/Drivers!$C$63)</f>
        <v>-414092.238213778</v>
      </c>
      <c r="R168" s="24" t="n">
        <f aca="false">$G168*Supuestos!N$6*(Drivers!N$63/Drivers!$C$63)</f>
        <v>-421959.99073984</v>
      </c>
      <c r="S168" s="24" t="n">
        <f aca="false">$G168*Supuestos!O$6*(Drivers!O$63/Drivers!$C$63)</f>
        <v>-429977.230563897</v>
      </c>
      <c r="T168" s="24" t="n">
        <f aca="false">$G168*Supuestos!P$6*(Drivers!P$63/Drivers!$C$63)</f>
        <v>-438146.797944611</v>
      </c>
      <c r="U168" s="24" t="n">
        <f aca="false">$G168*Supuestos!Q$6*(Drivers!Q$63/Drivers!$C$63)</f>
        <v>-446471.587105558</v>
      </c>
      <c r="V168" s="24" t="n">
        <f aca="false">$G168*Supuestos!R$6*(Drivers!R$63/Drivers!$C$63)</f>
        <v>-454954.547260564</v>
      </c>
    </row>
    <row r="169" customFormat="false" ht="15" hidden="false" customHeight="false" outlineLevel="0" collapsed="false">
      <c r="A169" s="6" t="s">
        <v>179</v>
      </c>
      <c r="B169" s="6" t="s">
        <v>136</v>
      </c>
      <c r="C169" s="6" t="s">
        <v>140</v>
      </c>
      <c r="D169" s="6" t="s">
        <v>153</v>
      </c>
      <c r="E169" s="6" t="s">
        <v>155</v>
      </c>
      <c r="F169" s="6" t="s">
        <v>33</v>
      </c>
      <c r="G169" s="24" t="n">
        <v>-87181.55</v>
      </c>
      <c r="H169" s="24" t="n">
        <f aca="false">$G169*Supuestos!D$6*(Drivers!D$63/Drivers!$C$63)</f>
        <v>-89186.72565</v>
      </c>
      <c r="I169" s="24" t="n">
        <f aca="false">$G169*Supuestos!E$6*(Drivers!E$63/Drivers!$C$63)</f>
        <v>-91238.02033995</v>
      </c>
      <c r="J169" s="24" t="n">
        <f aca="false">$G169*Supuestos!F$6*(Drivers!F$63/Drivers!$C$63)</f>
        <v>-93336.4948077688</v>
      </c>
      <c r="K169" s="24" t="n">
        <f aca="false">$G169*Supuestos!G$6*(Drivers!G$63/Drivers!$C$63)</f>
        <v>-95109.8882091164</v>
      </c>
      <c r="L169" s="24" t="n">
        <f aca="false">$G169*Supuestos!H$6*(Drivers!H$63/Drivers!$C$63)</f>
        <v>-96916.9760850896</v>
      </c>
      <c r="M169" s="24" t="n">
        <f aca="false">$G169*Supuestos!I$6*(Drivers!I$63/Drivers!$C$63)</f>
        <v>-98758.3986307063</v>
      </c>
      <c r="N169" s="24" t="n">
        <f aca="false">$G169*Supuestos!J$6*(Drivers!J$63/Drivers!$C$63)</f>
        <v>-100634.80820469</v>
      </c>
      <c r="O169" s="24" t="n">
        <f aca="false">$G169*Supuestos!K$6*(Drivers!K$63/Drivers!$C$63)</f>
        <v>-102546.869560579</v>
      </c>
      <c r="P169" s="24" t="n">
        <f aca="false">$G169*Supuestos!L$6*(Drivers!L$63/Drivers!$C$63)</f>
        <v>-104495.26008223</v>
      </c>
      <c r="Q169" s="24" t="n">
        <f aca="false">$G169*Supuestos!M$6*(Drivers!M$63/Drivers!$C$63)</f>
        <v>-106480.670023792</v>
      </c>
      <c r="R169" s="24" t="n">
        <f aca="false">$G169*Supuestos!N$6*(Drivers!N$63/Drivers!$C$63)</f>
        <v>-108503.802754244</v>
      </c>
      <c r="S169" s="24" t="n">
        <f aca="false">$G169*Supuestos!O$6*(Drivers!O$63/Drivers!$C$63)</f>
        <v>-110565.375006575</v>
      </c>
      <c r="T169" s="24" t="n">
        <f aca="false">$G169*Supuestos!P$6*(Drivers!P$63/Drivers!$C$63)</f>
        <v>-112666.1171317</v>
      </c>
      <c r="U169" s="24" t="n">
        <f aca="false">$G169*Supuestos!Q$6*(Drivers!Q$63/Drivers!$C$63)</f>
        <v>-114806.773357202</v>
      </c>
      <c r="V169" s="24" t="n">
        <f aca="false">$G169*Supuestos!R$6*(Drivers!R$63/Drivers!$C$63)</f>
        <v>-116988.102050989</v>
      </c>
    </row>
    <row r="170" customFormat="false" ht="15" hidden="false" customHeight="false" outlineLevel="0" collapsed="false">
      <c r="A170" s="6" t="s">
        <v>179</v>
      </c>
      <c r="B170" s="6" t="s">
        <v>136</v>
      </c>
      <c r="C170" s="6" t="s">
        <v>140</v>
      </c>
      <c r="D170" s="6" t="s">
        <v>153</v>
      </c>
      <c r="E170" s="6" t="s">
        <v>156</v>
      </c>
      <c r="F170" s="6" t="s">
        <v>33</v>
      </c>
      <c r="G170" s="24" t="n">
        <v>-58121.15</v>
      </c>
      <c r="H170" s="24" t="n">
        <f aca="false">$G170*Supuestos!D$6*(Drivers!D$63/Drivers!$C$63)</f>
        <v>-59457.93645</v>
      </c>
      <c r="I170" s="24" t="n">
        <f aca="false">$G170*Supuestos!E$6*(Drivers!E$63/Drivers!$C$63)</f>
        <v>-60825.46898835</v>
      </c>
      <c r="J170" s="24" t="n">
        <f aca="false">$G170*Supuestos!F$6*(Drivers!F$63/Drivers!$C$63)</f>
        <v>-62224.454775082</v>
      </c>
      <c r="K170" s="24" t="n">
        <f aca="false">$G170*Supuestos!G$6*(Drivers!G$63/Drivers!$C$63)</f>
        <v>-63406.7194158086</v>
      </c>
      <c r="L170" s="24" t="n">
        <f aca="false">$G170*Supuestos!H$6*(Drivers!H$63/Drivers!$C$63)</f>
        <v>-64611.4470847089</v>
      </c>
      <c r="M170" s="24" t="n">
        <f aca="false">$G170*Supuestos!I$6*(Drivers!I$63/Drivers!$C$63)</f>
        <v>-65839.0645793184</v>
      </c>
      <c r="N170" s="24" t="n">
        <f aca="false">$G170*Supuestos!J$6*(Drivers!J$63/Drivers!$C$63)</f>
        <v>-67090.0068063254</v>
      </c>
      <c r="O170" s="24" t="n">
        <f aca="false">$G170*Supuestos!K$6*(Drivers!K$63/Drivers!$C$63)</f>
        <v>-68364.7169356456</v>
      </c>
      <c r="P170" s="24" t="n">
        <f aca="false">$G170*Supuestos!L$6*(Drivers!L$63/Drivers!$C$63)</f>
        <v>-69663.6465574229</v>
      </c>
      <c r="Q170" s="24" t="n">
        <f aca="false">$G170*Supuestos!M$6*(Drivers!M$63/Drivers!$C$63)</f>
        <v>-70987.2558420139</v>
      </c>
      <c r="R170" s="24" t="n">
        <f aca="false">$G170*Supuestos!N$6*(Drivers!N$63/Drivers!$C$63)</f>
        <v>-72336.0137030122</v>
      </c>
      <c r="S170" s="24" t="n">
        <f aca="false">$G170*Supuestos!O$6*(Drivers!O$63/Drivers!$C$63)</f>
        <v>-73710.3979633694</v>
      </c>
      <c r="T170" s="24" t="n">
        <f aca="false">$G170*Supuestos!P$6*(Drivers!P$63/Drivers!$C$63)</f>
        <v>-75110.8955246734</v>
      </c>
      <c r="U170" s="24" t="n">
        <f aca="false">$G170*Supuestos!Q$6*(Drivers!Q$63/Drivers!$C$63)</f>
        <v>-76538.0025396422</v>
      </c>
      <c r="V170" s="24" t="n">
        <f aca="false">$G170*Supuestos!R$6*(Drivers!R$63/Drivers!$C$63)</f>
        <v>-77992.2245878954</v>
      </c>
    </row>
    <row r="171" customFormat="false" ht="15" hidden="false" customHeight="false" outlineLevel="0" collapsed="false">
      <c r="A171" s="6" t="s">
        <v>179</v>
      </c>
      <c r="B171" s="6" t="s">
        <v>136</v>
      </c>
      <c r="C171" s="6" t="s">
        <v>140</v>
      </c>
      <c r="D171" s="6" t="s">
        <v>157</v>
      </c>
      <c r="E171" s="6" t="s">
        <v>158</v>
      </c>
      <c r="F171" s="6" t="s">
        <v>39</v>
      </c>
      <c r="G171" s="24" t="n">
        <v>-415022.98</v>
      </c>
      <c r="H171" s="24" t="n">
        <f aca="false">$G171*Supuestos!D$12*(Drivers!D$60/100)</f>
        <v>-424568.50854</v>
      </c>
      <c r="I171" s="24" t="n">
        <f aca="false">$G171*Supuestos!E$12*(Drivers!E$60/100)</f>
        <v>-434333.58423642</v>
      </c>
      <c r="J171" s="24" t="n">
        <f aca="false">$G171*Supuestos!F$12*(Drivers!F$60/100)</f>
        <v>-444323.256673858</v>
      </c>
      <c r="K171" s="24" t="n">
        <f aca="false">$G171*Supuestos!G$12*(Drivers!G$60/100)</f>
        <v>-452765.398550661</v>
      </c>
      <c r="L171" s="24" t="n">
        <f aca="false">$G171*Supuestos!H$12*(Drivers!H$60/100)</f>
        <v>-461367.941123123</v>
      </c>
      <c r="M171" s="24" t="n">
        <f aca="false">$G171*Supuestos!I$12*(Drivers!I$60/100)</f>
        <v>-470133.932004462</v>
      </c>
      <c r="N171" s="24" t="n">
        <f aca="false">$G171*Supuestos!J$12*(Drivers!J$60/100)</f>
        <v>-479066.476712547</v>
      </c>
      <c r="O171" s="24" t="n">
        <f aca="false">$G171*Supuestos!K$12*(Drivers!K$60/100)</f>
        <v>-488168.739770086</v>
      </c>
      <c r="P171" s="24" t="n">
        <f aca="false">$G171*Supuestos!L$12*(Drivers!L$60/100)</f>
        <v>-497443.945825717</v>
      </c>
      <c r="Q171" s="24" t="n">
        <f aca="false">$G171*Supuestos!M$12*(Drivers!M$60/100)</f>
        <v>-506895.380796406</v>
      </c>
      <c r="R171" s="24" t="n">
        <f aca="false">$G171*Supuestos!N$12*(Drivers!N$60/100)</f>
        <v>-516526.393031537</v>
      </c>
      <c r="S171" s="24" t="n">
        <f aca="false">$G171*Supuestos!O$12*(Drivers!O$60/100)</f>
        <v>-526340.394499137</v>
      </c>
      <c r="T171" s="24" t="n">
        <f aca="false">$G171*Supuestos!P$12*(Drivers!P$60/100)</f>
        <v>-536340.86199462</v>
      </c>
      <c r="U171" s="24" t="n">
        <f aca="false">$G171*Supuestos!Q$12*(Drivers!Q$60/100)</f>
        <v>-546531.338372518</v>
      </c>
      <c r="V171" s="24" t="n">
        <f aca="false">$G171*Supuestos!R$12*(Drivers!R$60/100)</f>
        <v>-556915.433801596</v>
      </c>
    </row>
    <row r="172" customFormat="false" ht="15" hidden="false" customHeight="false" outlineLevel="0" collapsed="false">
      <c r="A172" s="6" t="s">
        <v>179</v>
      </c>
      <c r="B172" s="6" t="s">
        <v>136</v>
      </c>
      <c r="C172" s="6" t="s">
        <v>140</v>
      </c>
      <c r="D172" s="6" t="s">
        <v>159</v>
      </c>
      <c r="E172" s="6" t="s">
        <v>160</v>
      </c>
      <c r="F172" s="6" t="s">
        <v>37</v>
      </c>
      <c r="G172" s="24" t="n">
        <v>-195207.81</v>
      </c>
      <c r="H172" s="24" t="n">
        <f aca="false">$G172*Supuestos!D$6*(Drivers!D$60/100)</f>
        <v>-199697.58963</v>
      </c>
      <c r="I172" s="24" t="n">
        <f aca="false">$G172*Supuestos!E$6*(Drivers!E$60/100)</f>
        <v>-204290.63419149</v>
      </c>
      <c r="J172" s="24" t="n">
        <f aca="false">$G172*Supuestos!F$6*(Drivers!F$60/100)</f>
        <v>-208989.318777894</v>
      </c>
      <c r="K172" s="24" t="n">
        <f aca="false">$G172*Supuestos!G$6*(Drivers!G$60/100)</f>
        <v>-212960.115834674</v>
      </c>
      <c r="L172" s="24" t="n">
        <f aca="false">$G172*Supuestos!H$6*(Drivers!H$60/100)</f>
        <v>-217006.358035533</v>
      </c>
      <c r="M172" s="24" t="n">
        <f aca="false">$G172*Supuestos!I$6*(Drivers!I$60/100)</f>
        <v>-221129.478838208</v>
      </c>
      <c r="N172" s="24" t="n">
        <f aca="false">$G172*Supuestos!J$6*(Drivers!J$60/100)</f>
        <v>-225330.938936134</v>
      </c>
      <c r="O172" s="24" t="n">
        <f aca="false">$G172*Supuestos!K$6*(Drivers!K$60/100)</f>
        <v>-229612.22677592</v>
      </c>
      <c r="P172" s="24" t="n">
        <f aca="false">$G172*Supuestos!L$6*(Drivers!L$60/100)</f>
        <v>-233974.859084663</v>
      </c>
      <c r="Q172" s="24" t="n">
        <f aca="false">$G172*Supuestos!M$6*(Drivers!M$60/100)</f>
        <v>-238420.381407272</v>
      </c>
      <c r="R172" s="24" t="n">
        <f aca="false">$G172*Supuestos!N$6*(Drivers!N$60/100)</f>
        <v>-242950.36865401</v>
      </c>
      <c r="S172" s="24" t="n">
        <f aca="false">$G172*Supuestos!O$6*(Drivers!O$60/100)</f>
        <v>-247566.425658436</v>
      </c>
      <c r="T172" s="24" t="n">
        <f aca="false">$G172*Supuestos!P$6*(Drivers!P$60/100)</f>
        <v>-252270.187745946</v>
      </c>
      <c r="U172" s="24" t="n">
        <f aca="false">$G172*Supuestos!Q$6*(Drivers!Q$60/100)</f>
        <v>-257063.321313119</v>
      </c>
      <c r="V172" s="24" t="n">
        <f aca="false">$G172*Supuestos!R$6*(Drivers!R$60/100)</f>
        <v>-261947.524418068</v>
      </c>
    </row>
    <row r="173" customFormat="false" ht="15" hidden="false" customHeight="false" outlineLevel="0" collapsed="false">
      <c r="A173" s="6" t="s">
        <v>179</v>
      </c>
      <c r="B173" s="6" t="s">
        <v>136</v>
      </c>
      <c r="C173" s="6" t="s">
        <v>140</v>
      </c>
      <c r="D173" s="6" t="s">
        <v>161</v>
      </c>
      <c r="E173" s="6" t="s">
        <v>162</v>
      </c>
      <c r="F173" s="6" t="s">
        <v>35</v>
      </c>
      <c r="G173" s="24" t="n">
        <v>-131419.02</v>
      </c>
      <c r="H173" s="24" t="n">
        <f aca="false">$G173*Supuestos!D$8*(Drivers!D$60/100)</f>
        <v>-134596.183120879</v>
      </c>
      <c r="I173" s="24" t="n">
        <f aca="false">$G173*Supuestos!E$8*(Drivers!E$60/100)</f>
        <v>-137869.623912088</v>
      </c>
      <c r="J173" s="24" t="n">
        <f aca="false">$G173*Supuestos!F$8*(Drivers!F$60/100)</f>
        <v>-141046.787032967</v>
      </c>
      <c r="K173" s="24" t="n">
        <f aca="false">$G173*Supuestos!G$8*(Drivers!G$60/100)</f>
        <v>-143357.451120879</v>
      </c>
      <c r="L173" s="24" t="n">
        <f aca="false">$G173*Supuestos!H$8*(Drivers!H$60/100)</f>
        <v>-145571.837538462</v>
      </c>
      <c r="M173" s="24" t="n">
        <f aca="false">$G173*Supuestos!I$8*(Drivers!I$60/100)</f>
        <v>-147882.501626374</v>
      </c>
      <c r="N173" s="24" t="n">
        <f aca="false">$G173*Supuestos!J$8*(Drivers!J$60/100)</f>
        <v>-150193.165714286</v>
      </c>
      <c r="O173" s="24" t="n">
        <f aca="false">$G173*Supuestos!K$8*(Drivers!K$60/100)</f>
        <v>-152503.829802198</v>
      </c>
      <c r="P173" s="24" t="n">
        <f aca="false">$G173*Supuestos!L$8*(Drivers!L$60/100)</f>
        <v>-154814.49389011</v>
      </c>
      <c r="Q173" s="24" t="n">
        <f aca="false">$G173*Supuestos!M$8*(Drivers!M$60/100)</f>
        <v>-157028.880307692</v>
      </c>
      <c r="R173" s="24" t="n">
        <f aca="false">$G173*Supuestos!N$8*(Drivers!N$60/100)</f>
        <v>-159339.544395604</v>
      </c>
      <c r="S173" s="24" t="n">
        <f aca="false">$G173*Supuestos!O$8*(Drivers!O$60/100)</f>
        <v>-161650.208483516</v>
      </c>
      <c r="T173" s="24" t="n">
        <f aca="false">$G173*Supuestos!P$8*(Drivers!P$60/100)</f>
        <v>-163864.594901099</v>
      </c>
      <c r="U173" s="24" t="n">
        <f aca="false">$G173*Supuestos!Q$8*(Drivers!Q$60/100)</f>
        <v>-166175.258989011</v>
      </c>
      <c r="V173" s="24" t="n">
        <f aca="false">$G173*Supuestos!R$8*(Drivers!R$60/100)</f>
        <v>-168485.923076923</v>
      </c>
    </row>
    <row r="174" customFormat="false" ht="15" hidden="false" customHeight="false" outlineLevel="0" collapsed="false">
      <c r="A174" s="6" t="s">
        <v>179</v>
      </c>
      <c r="B174" s="6" t="s">
        <v>136</v>
      </c>
      <c r="C174" s="6" t="s">
        <v>140</v>
      </c>
      <c r="D174" s="6" t="s">
        <v>163</v>
      </c>
      <c r="E174" s="6" t="s">
        <v>164</v>
      </c>
      <c r="F174" s="6" t="s">
        <v>37</v>
      </c>
      <c r="G174" s="24" t="n">
        <v>-195771.21</v>
      </c>
      <c r="H174" s="24" t="n">
        <f aca="false">$G174*Supuestos!D$6*(Drivers!D$60/100)</f>
        <v>-200273.94783</v>
      </c>
      <c r="I174" s="24" t="n">
        <f aca="false">$G174*Supuestos!E$6*(Drivers!E$60/100)</f>
        <v>-204880.24863009</v>
      </c>
      <c r="J174" s="24" t="n">
        <f aca="false">$G174*Supuestos!F$6*(Drivers!F$60/100)</f>
        <v>-209592.494348582</v>
      </c>
      <c r="K174" s="24" t="n">
        <f aca="false">$G174*Supuestos!G$6*(Drivers!G$60/100)</f>
        <v>-213574.751741205</v>
      </c>
      <c r="L174" s="24" t="n">
        <f aca="false">$G174*Supuestos!H$6*(Drivers!H$60/100)</f>
        <v>-217632.672024288</v>
      </c>
      <c r="M174" s="24" t="n">
        <f aca="false">$G174*Supuestos!I$6*(Drivers!I$60/100)</f>
        <v>-221767.692792749</v>
      </c>
      <c r="N174" s="24" t="n">
        <f aca="false">$G174*Supuestos!J$6*(Drivers!J$60/100)</f>
        <v>-225981.278955812</v>
      </c>
      <c r="O174" s="24" t="n">
        <f aca="false">$G174*Supuestos!K$6*(Drivers!K$60/100)</f>
        <v>-230274.923255972</v>
      </c>
      <c r="P174" s="24" t="n">
        <f aca="false">$G174*Supuestos!L$6*(Drivers!L$60/100)</f>
        <v>-234650.146797835</v>
      </c>
      <c r="Q174" s="24" t="n">
        <f aca="false">$G174*Supuestos!M$6*(Drivers!M$60/100)</f>
        <v>-239108.499586994</v>
      </c>
      <c r="R174" s="24" t="n">
        <f aca="false">$G174*Supuestos!N$6*(Drivers!N$60/100)</f>
        <v>-243651.561079147</v>
      </c>
      <c r="S174" s="24" t="n">
        <f aca="false">$G174*Supuestos!O$6*(Drivers!O$60/100)</f>
        <v>-248280.940739651</v>
      </c>
      <c r="T174" s="24" t="n">
        <f aca="false">$G174*Supuestos!P$6*(Drivers!P$60/100)</f>
        <v>-252998.278613704</v>
      </c>
      <c r="U174" s="24" t="n">
        <f aca="false">$G174*Supuestos!Q$6*(Drivers!Q$60/100)</f>
        <v>-257805.245907365</v>
      </c>
      <c r="V174" s="24" t="n">
        <f aca="false">$G174*Supuestos!R$6*(Drivers!R$60/100)</f>
        <v>-262703.545579605</v>
      </c>
    </row>
    <row r="175" customFormat="false" ht="15" hidden="false" customHeight="false" outlineLevel="0" collapsed="false">
      <c r="A175" s="6" t="s">
        <v>179</v>
      </c>
      <c r="B175" s="6" t="s">
        <v>136</v>
      </c>
      <c r="C175" s="6" t="s">
        <v>167</v>
      </c>
      <c r="D175" s="6" t="s">
        <v>168</v>
      </c>
      <c r="E175" s="6" t="s">
        <v>169</v>
      </c>
      <c r="F175" s="6" t="s">
        <v>27</v>
      </c>
      <c r="G175" s="24" t="n">
        <v>-415357.88</v>
      </c>
      <c r="H175" s="24" t="n">
        <f aca="false">$G175*Supuestos!D$6*(Drivers!D$60/100)*(Drivers!D$61/Drivers!$C$61)*(Drivers!D$62/Drivers!$C$62)*Supuestos!D$13</f>
        <v>-429160.2223524</v>
      </c>
      <c r="I175" s="24" t="n">
        <f aca="false">$G175*Supuestos!E$6*(Drivers!E$60/100)*(Drivers!E$61/Drivers!$C$61)*(Drivers!E$62/Drivers!$C$62)*Supuestos!E$13</f>
        <v>-434684.06679852</v>
      </c>
      <c r="J175" s="24" t="n">
        <f aca="false">$G175*Supuestos!F$6*(Drivers!F$60/100)*(Drivers!F$61/Drivers!$C$61)*(Drivers!F$62/Drivers!$C$62)*Supuestos!F$13</f>
        <v>-431341.346324839</v>
      </c>
      <c r="K175" s="24" t="n">
        <f aca="false">$G175*Supuestos!G$6*(Drivers!G$60/100)*(Drivers!G$61/Drivers!$C$61)*(Drivers!G$62/Drivers!$C$62)*Supuestos!G$13</f>
        <v>-435005.524359599</v>
      </c>
      <c r="L175" s="24" t="n">
        <f aca="false">$G175*Supuestos!H$6*(Drivers!H$60/100)*(Drivers!H$61/Drivers!$C$61)*(Drivers!H$62/Drivers!$C$62)*Supuestos!H$13</f>
        <v>-447888.031711206</v>
      </c>
      <c r="M175" s="24" t="n">
        <f aca="false">$G175*Supuestos!I$6*(Drivers!I$60/100)*(Drivers!I$61/Drivers!$C$61)*(Drivers!I$62/Drivers!$C$62)*Supuestos!I$13</f>
        <v>-484628.702518691</v>
      </c>
      <c r="N175" s="24" t="n">
        <f aca="false">$G175*Supuestos!J$6*(Drivers!J$60/100)*(Drivers!J$61/Drivers!$C$61)*(Drivers!J$62/Drivers!$C$62)*Supuestos!J$13</f>
        <v>-484247.586742924</v>
      </c>
      <c r="O175" s="24" t="n">
        <f aca="false">$G175*Supuestos!K$6*(Drivers!K$60/100)*(Drivers!K$61/Drivers!$C$61)*(Drivers!K$62/Drivers!$C$62)*Supuestos!K$13</f>
        <v>-488562.664248554</v>
      </c>
      <c r="P175" s="24" t="n">
        <f aca="false">$G175*Supuestos!L$6*(Drivers!L$60/100)*(Drivers!L$61/Drivers!$C$61)*(Drivers!L$62/Drivers!$C$62)*Supuestos!L$13</f>
        <v>-492866.901320584</v>
      </c>
      <c r="Q175" s="24" t="n">
        <f aca="false">$G175*Supuestos!M$6*(Drivers!M$60/100)*(Drivers!M$61/Drivers!$C$61)*(Drivers!M$62/Drivers!$C$62)*Supuestos!M$13</f>
        <v>-507304.416611793</v>
      </c>
      <c r="R175" s="24" t="n">
        <f aca="false">$G175*Supuestos!N$6*(Drivers!N$60/100)*(Drivers!N$61/Drivers!$C$61)*(Drivers!N$62/Drivers!$C$62)*Supuestos!N$13</f>
        <v>-522112.632532691</v>
      </c>
      <c r="S175" s="24" t="n">
        <f aca="false">$G175*Supuestos!O$6*(Drivers!O$60/100)*(Drivers!O$61/Drivers!$C$61)*(Drivers!O$62/Drivers!$C$62)*Supuestos!O$13</f>
        <v>-537300.423764187</v>
      </c>
      <c r="T175" s="24" t="n">
        <f aca="false">$G175*Supuestos!P$6*(Drivers!P$60/100)*(Drivers!P$61/Drivers!$C$61)*(Drivers!P$62/Drivers!$C$62)*Supuestos!P$13</f>
        <v>-542141.395229278</v>
      </c>
      <c r="U175" s="24" t="n">
        <f aca="false">$G175*Supuestos!Q$6*(Drivers!Q$60/100)*(Drivers!Q$61/Drivers!$C$61)*(Drivers!Q$62/Drivers!$C$62)*Supuestos!Q$13</f>
        <v>-546972.358157063</v>
      </c>
      <c r="V175" s="24" t="n">
        <f aca="false">$G175*Supuestos!R$6*(Drivers!R$60/100)*(Drivers!R$61/Drivers!$C$61)*(Drivers!R$62/Drivers!$C$62)*Supuestos!R$13</f>
        <v>-540643.887973186</v>
      </c>
    </row>
    <row r="176" customFormat="false" ht="15" hidden="false" customHeight="false" outlineLevel="0" collapsed="false">
      <c r="A176" s="6" t="s">
        <v>180</v>
      </c>
      <c r="B176" s="6" t="s">
        <v>136</v>
      </c>
      <c r="C176" s="6" t="s">
        <v>137</v>
      </c>
      <c r="D176" s="6" t="s">
        <v>138</v>
      </c>
      <c r="E176" s="6" t="s">
        <v>139</v>
      </c>
      <c r="F176" s="6" t="s">
        <v>25</v>
      </c>
      <c r="G176" s="24" t="n">
        <v>3701012.68</v>
      </c>
      <c r="H176" s="24" t="n">
        <f aca="false">$G176*Supuestos!D$6*(Drivers!D$66/100)*(Drivers!D$67/Drivers!$C$67)*(Drivers!D$68/Drivers!$C$68)*Supuestos!D$13</f>
        <v>3823997.3313564</v>
      </c>
      <c r="I176" s="24" t="n">
        <f aca="false">$G176*Supuestos!E$6*(Drivers!E$66/100)*(Drivers!E$67/Drivers!$C$67)*(Drivers!E$68/Drivers!$C$68)*Supuestos!E$13</f>
        <v>3873217.09898772</v>
      </c>
      <c r="J176" s="24" t="n">
        <f aca="false">$G176*Supuestos!F$6*(Drivers!F$66/100)*(Drivers!F$67/Drivers!$C$67)*(Drivers!F$68/Drivers!$C$68)*Supuestos!F$13</f>
        <v>3843432.0594965</v>
      </c>
      <c r="K176" s="24" t="n">
        <f aca="false">$G176*Supuestos!G$6*(Drivers!G$66/100)*(Drivers!G$67/Drivers!$C$67)*(Drivers!G$68/Drivers!$C$68)*Supuestos!G$13</f>
        <v>3876081.42049676</v>
      </c>
      <c r="L176" s="24" t="n">
        <f aca="false">$G176*Supuestos!H$6*(Drivers!H$66/100)*(Drivers!H$67/Drivers!$C$67)*(Drivers!H$68/Drivers!$C$68)*Supuestos!H$13</f>
        <v>3990869.95673085</v>
      </c>
      <c r="M176" s="24" t="n">
        <f aca="false">$G176*Supuestos!I$6*(Drivers!I$66/100)*(Drivers!I$67/Drivers!$C$67)*(Drivers!I$68/Drivers!$C$68)*Supuestos!I$13</f>
        <v>4318244.72215051</v>
      </c>
      <c r="N176" s="24" t="n">
        <f aca="false">$G176*Supuestos!J$6*(Drivers!J$66/100)*(Drivers!J$67/Drivers!$C$67)*(Drivers!J$68/Drivers!$C$68)*Supuestos!J$13</f>
        <v>4314848.82096125</v>
      </c>
      <c r="O176" s="24" t="n">
        <f aca="false">$G176*Supuestos!K$6*(Drivers!K$66/100)*(Drivers!K$67/Drivers!$C$67)*(Drivers!K$68/Drivers!$C$68)*Supuestos!K$13</f>
        <v>4353297.9688708</v>
      </c>
      <c r="P176" s="24" t="n">
        <f aca="false">$G176*Supuestos!L$6*(Drivers!L$66/100)*(Drivers!L$67/Drivers!$C$67)*(Drivers!L$68/Drivers!$C$68)*Supuestos!L$13</f>
        <v>4391650.52397655</v>
      </c>
      <c r="Q176" s="24" t="n">
        <f aca="false">$G176*Supuestos!M$6*(Drivers!M$66/100)*(Drivers!M$67/Drivers!$C$67)*(Drivers!M$68/Drivers!$C$68)*Supuestos!M$13</f>
        <v>4520294.83225465</v>
      </c>
      <c r="R176" s="24" t="n">
        <f aca="false">$G176*Supuestos!N$6*(Drivers!N$66/100)*(Drivers!N$67/Drivers!$C$67)*(Drivers!N$68/Drivers!$C$68)*Supuestos!N$13</f>
        <v>4652242.23840817</v>
      </c>
      <c r="S176" s="24" t="n">
        <f aca="false">$G176*Supuestos!O$6*(Drivers!O$66/100)*(Drivers!O$67/Drivers!$C$67)*(Drivers!O$68/Drivers!$C$68)*Supuestos!O$13</f>
        <v>4787571.81956107</v>
      </c>
      <c r="T176" s="24" t="n">
        <f aca="false">$G176*Supuestos!P$6*(Drivers!P$66/100)*(Drivers!P$67/Drivers!$C$67)*(Drivers!P$68/Drivers!$C$68)*Supuestos!P$13</f>
        <v>4830706.90291574</v>
      </c>
      <c r="U176" s="24" t="n">
        <f aca="false">$G176*Supuestos!Q$6*(Drivers!Q$66/100)*(Drivers!Q$67/Drivers!$C$67)*(Drivers!Q$68/Drivers!$C$68)*Supuestos!Q$13</f>
        <v>4873752.80601103</v>
      </c>
      <c r="V176" s="24" t="n">
        <f aca="false">$G176*Supuestos!R$6*(Drivers!R$66/100)*(Drivers!R$67/Drivers!$C$67)*(Drivers!R$68/Drivers!$C$68)*Supuestos!R$13</f>
        <v>4817363.48604548</v>
      </c>
    </row>
    <row r="177" customFormat="false" ht="15" hidden="false" customHeight="false" outlineLevel="0" collapsed="false">
      <c r="A177" s="6" t="s">
        <v>180</v>
      </c>
      <c r="B177" s="6" t="s">
        <v>136</v>
      </c>
      <c r="C177" s="6" t="s">
        <v>140</v>
      </c>
      <c r="D177" s="6" t="s">
        <v>141</v>
      </c>
      <c r="E177" s="6" t="s">
        <v>142</v>
      </c>
      <c r="F177" s="6" t="s">
        <v>29</v>
      </c>
      <c r="G177" s="24" t="n">
        <v>-3510278.03</v>
      </c>
      <c r="H177" s="24" t="n">
        <f aca="false">$G177*Supuestos!D$10*(Drivers!D$69/Drivers!$C$69)</f>
        <v>-3720894.7118</v>
      </c>
      <c r="I177" s="24" t="n">
        <f aca="false">$G177*Supuestos!E$10*(Drivers!E$69/Drivers!$C$69)</f>
        <v>-3720894.7118</v>
      </c>
      <c r="J177" s="24" t="n">
        <f aca="false">$G177*Supuestos!F$10*(Drivers!F$69/Drivers!$C$69)</f>
        <v>-3720894.7118</v>
      </c>
      <c r="K177" s="24" t="n">
        <f aca="false">$G177*Supuestos!G$10*(Drivers!G$69/Drivers!$C$69)</f>
        <v>-3925543.920949</v>
      </c>
      <c r="L177" s="24" t="n">
        <f aca="false">$G177*Supuestos!H$10*(Drivers!H$69/Drivers!$C$69)</f>
        <v>-3925543.920949</v>
      </c>
      <c r="M177" s="24" t="n">
        <f aca="false">$G177*Supuestos!I$10*(Drivers!I$69/Drivers!$C$69)</f>
        <v>-3925543.920949</v>
      </c>
      <c r="N177" s="24" t="n">
        <f aca="false">$G177*Supuestos!J$10*(Drivers!J$69/Drivers!$C$69)</f>
        <v>-4141448.83660119</v>
      </c>
      <c r="O177" s="24" t="n">
        <f aca="false">$G177*Supuestos!K$10*(Drivers!K$69/Drivers!$C$69)</f>
        <v>-4141448.83660119</v>
      </c>
      <c r="P177" s="24" t="n">
        <f aca="false">$G177*Supuestos!L$10*(Drivers!L$69/Drivers!$C$69)</f>
        <v>-4141448.83660119</v>
      </c>
      <c r="Q177" s="24" t="n">
        <f aca="false">$G177*Supuestos!M$10*(Drivers!M$69/Drivers!$C$69)</f>
        <v>-4369228.52261426</v>
      </c>
      <c r="R177" s="24" t="n">
        <f aca="false">$G177*Supuestos!N$10*(Drivers!N$69/Drivers!$C$69)</f>
        <v>-4369228.52261426</v>
      </c>
      <c r="S177" s="24" t="n">
        <f aca="false">$G177*Supuestos!O$10*(Drivers!O$69/Drivers!$C$69)</f>
        <v>-4369228.52261426</v>
      </c>
      <c r="T177" s="24" t="n">
        <f aca="false">$G177*Supuestos!P$10*(Drivers!P$69/Drivers!$C$69)</f>
        <v>-4609536.09135805</v>
      </c>
      <c r="U177" s="24" t="n">
        <f aca="false">$G177*Supuestos!Q$10*(Drivers!Q$69/Drivers!$C$69)</f>
        <v>-4609536.09135805</v>
      </c>
      <c r="V177" s="24" t="n">
        <f aca="false">$G177*Supuestos!R$10*(Drivers!R$69/Drivers!$C$69)</f>
        <v>-4609536.09135805</v>
      </c>
    </row>
    <row r="178" customFormat="false" ht="15" hidden="false" customHeight="false" outlineLevel="0" collapsed="false">
      <c r="A178" s="6" t="s">
        <v>180</v>
      </c>
      <c r="B178" s="6" t="s">
        <v>136</v>
      </c>
      <c r="C178" s="6" t="s">
        <v>140</v>
      </c>
      <c r="D178" s="6" t="s">
        <v>141</v>
      </c>
      <c r="E178" s="6" t="s">
        <v>143</v>
      </c>
      <c r="F178" s="6" t="s">
        <v>29</v>
      </c>
      <c r="G178" s="24" t="n">
        <v>-556038.89</v>
      </c>
      <c r="H178" s="24" t="n">
        <f aca="false">$G178*Supuestos!D$10*(Drivers!D$69/Drivers!$C$69)</f>
        <v>-589401.2234</v>
      </c>
      <c r="I178" s="24" t="n">
        <f aca="false">$G178*Supuestos!E$10*(Drivers!E$69/Drivers!$C$69)</f>
        <v>-589401.2234</v>
      </c>
      <c r="J178" s="24" t="n">
        <f aca="false">$G178*Supuestos!F$10*(Drivers!F$69/Drivers!$C$69)</f>
        <v>-589401.2234</v>
      </c>
      <c r="K178" s="24" t="n">
        <f aca="false">$G178*Supuestos!G$10*(Drivers!G$69/Drivers!$C$69)</f>
        <v>-621818.290687</v>
      </c>
      <c r="L178" s="24" t="n">
        <f aca="false">$G178*Supuestos!H$10*(Drivers!H$69/Drivers!$C$69)</f>
        <v>-621818.290687</v>
      </c>
      <c r="M178" s="24" t="n">
        <f aca="false">$G178*Supuestos!I$10*(Drivers!I$69/Drivers!$C$69)</f>
        <v>-621818.290687</v>
      </c>
      <c r="N178" s="24" t="n">
        <f aca="false">$G178*Supuestos!J$10*(Drivers!J$69/Drivers!$C$69)</f>
        <v>-656018.296674785</v>
      </c>
      <c r="O178" s="24" t="n">
        <f aca="false">$G178*Supuestos!K$10*(Drivers!K$69/Drivers!$C$69)</f>
        <v>-656018.296674785</v>
      </c>
      <c r="P178" s="24" t="n">
        <f aca="false">$G178*Supuestos!L$10*(Drivers!L$69/Drivers!$C$69)</f>
        <v>-656018.296674785</v>
      </c>
      <c r="Q178" s="24" t="n">
        <f aca="false">$G178*Supuestos!M$10*(Drivers!M$69/Drivers!$C$69)</f>
        <v>-692099.302991898</v>
      </c>
      <c r="R178" s="24" t="n">
        <f aca="false">$G178*Supuestos!N$10*(Drivers!N$69/Drivers!$C$69)</f>
        <v>-692099.302991898</v>
      </c>
      <c r="S178" s="24" t="n">
        <f aca="false">$G178*Supuestos!O$10*(Drivers!O$69/Drivers!$C$69)</f>
        <v>-692099.302991898</v>
      </c>
      <c r="T178" s="24" t="n">
        <f aca="false">$G178*Supuestos!P$10*(Drivers!P$69/Drivers!$C$69)</f>
        <v>-730164.764656453</v>
      </c>
      <c r="U178" s="24" t="n">
        <f aca="false">$G178*Supuestos!Q$10*(Drivers!Q$69/Drivers!$C$69)</f>
        <v>-730164.764656453</v>
      </c>
      <c r="V178" s="24" t="n">
        <f aca="false">$G178*Supuestos!R$10*(Drivers!R$69/Drivers!$C$69)</f>
        <v>-730164.764656453</v>
      </c>
    </row>
    <row r="179" customFormat="false" ht="15" hidden="false" customHeight="false" outlineLevel="0" collapsed="false">
      <c r="A179" s="6" t="s">
        <v>180</v>
      </c>
      <c r="B179" s="6" t="s">
        <v>136</v>
      </c>
      <c r="C179" s="6" t="s">
        <v>140</v>
      </c>
      <c r="D179" s="6" t="s">
        <v>141</v>
      </c>
      <c r="E179" s="6" t="s">
        <v>144</v>
      </c>
      <c r="F179" s="6" t="s">
        <v>29</v>
      </c>
      <c r="G179" s="24" t="n">
        <v>-131535.97</v>
      </c>
      <c r="H179" s="24" t="n">
        <f aca="false">$G179*Supuestos!D$10*(Drivers!D$69/Drivers!$C$69)</f>
        <v>-139428.1282</v>
      </c>
      <c r="I179" s="24" t="n">
        <f aca="false">$G179*Supuestos!E$10*(Drivers!E$69/Drivers!$C$69)</f>
        <v>-139428.1282</v>
      </c>
      <c r="J179" s="24" t="n">
        <f aca="false">$G179*Supuestos!F$10*(Drivers!F$69/Drivers!$C$69)</f>
        <v>-139428.1282</v>
      </c>
      <c r="K179" s="24" t="n">
        <f aca="false">$G179*Supuestos!G$10*(Drivers!G$69/Drivers!$C$69)</f>
        <v>-147096.675251</v>
      </c>
      <c r="L179" s="24" t="n">
        <f aca="false">$G179*Supuestos!H$10*(Drivers!H$69/Drivers!$C$69)</f>
        <v>-147096.675251</v>
      </c>
      <c r="M179" s="24" t="n">
        <f aca="false">$G179*Supuestos!I$10*(Drivers!I$69/Drivers!$C$69)</f>
        <v>-147096.675251</v>
      </c>
      <c r="N179" s="24" t="n">
        <f aca="false">$G179*Supuestos!J$10*(Drivers!J$69/Drivers!$C$69)</f>
        <v>-155186.992389805</v>
      </c>
      <c r="O179" s="24" t="n">
        <f aca="false">$G179*Supuestos!K$10*(Drivers!K$69/Drivers!$C$69)</f>
        <v>-155186.992389805</v>
      </c>
      <c r="P179" s="24" t="n">
        <f aca="false">$G179*Supuestos!L$10*(Drivers!L$69/Drivers!$C$69)</f>
        <v>-155186.992389805</v>
      </c>
      <c r="Q179" s="24" t="n">
        <f aca="false">$G179*Supuestos!M$10*(Drivers!M$69/Drivers!$C$69)</f>
        <v>-163722.276971244</v>
      </c>
      <c r="R179" s="24" t="n">
        <f aca="false">$G179*Supuestos!N$10*(Drivers!N$69/Drivers!$C$69)</f>
        <v>-163722.276971244</v>
      </c>
      <c r="S179" s="24" t="n">
        <f aca="false">$G179*Supuestos!O$10*(Drivers!O$69/Drivers!$C$69)</f>
        <v>-163722.276971244</v>
      </c>
      <c r="T179" s="24" t="n">
        <f aca="false">$G179*Supuestos!P$10*(Drivers!P$69/Drivers!$C$69)</f>
        <v>-172727.002204663</v>
      </c>
      <c r="U179" s="24" t="n">
        <f aca="false">$G179*Supuestos!Q$10*(Drivers!Q$69/Drivers!$C$69)</f>
        <v>-172727.002204663</v>
      </c>
      <c r="V179" s="24" t="n">
        <f aca="false">$G179*Supuestos!R$10*(Drivers!R$69/Drivers!$C$69)</f>
        <v>-172727.002204663</v>
      </c>
    </row>
    <row r="180" customFormat="false" ht="15" hidden="false" customHeight="false" outlineLevel="0" collapsed="false">
      <c r="A180" s="6" t="s">
        <v>180</v>
      </c>
      <c r="B180" s="6" t="s">
        <v>136</v>
      </c>
      <c r="C180" s="6" t="s">
        <v>140</v>
      </c>
      <c r="D180" s="6" t="s">
        <v>141</v>
      </c>
      <c r="E180" s="6" t="s">
        <v>145</v>
      </c>
      <c r="F180" s="6" t="s">
        <v>29</v>
      </c>
      <c r="G180" s="24" t="n">
        <v>-89683.69</v>
      </c>
      <c r="H180" s="24" t="n">
        <f aca="false">$G180*Supuestos!D$10*(Drivers!D$69/Drivers!$C$69)</f>
        <v>-95064.7114</v>
      </c>
      <c r="I180" s="24" t="n">
        <f aca="false">$G180*Supuestos!E$10*(Drivers!E$69/Drivers!$C$69)</f>
        <v>-95064.7114</v>
      </c>
      <c r="J180" s="24" t="n">
        <f aca="false">$G180*Supuestos!F$10*(Drivers!F$69/Drivers!$C$69)</f>
        <v>-95064.7114</v>
      </c>
      <c r="K180" s="24" t="n">
        <f aca="false">$G180*Supuestos!G$10*(Drivers!G$69/Drivers!$C$69)</f>
        <v>-100293.270527</v>
      </c>
      <c r="L180" s="24" t="n">
        <f aca="false">$G180*Supuestos!H$10*(Drivers!H$69/Drivers!$C$69)</f>
        <v>-100293.270527</v>
      </c>
      <c r="M180" s="24" t="n">
        <f aca="false">$G180*Supuestos!I$10*(Drivers!I$69/Drivers!$C$69)</f>
        <v>-100293.270527</v>
      </c>
      <c r="N180" s="24" t="n">
        <f aca="false">$G180*Supuestos!J$10*(Drivers!J$69/Drivers!$C$69)</f>
        <v>-105809.400405985</v>
      </c>
      <c r="O180" s="24" t="n">
        <f aca="false">$G180*Supuestos!K$10*(Drivers!K$69/Drivers!$C$69)</f>
        <v>-105809.400405985</v>
      </c>
      <c r="P180" s="24" t="n">
        <f aca="false">$G180*Supuestos!L$10*(Drivers!L$69/Drivers!$C$69)</f>
        <v>-105809.400405985</v>
      </c>
      <c r="Q180" s="24" t="n">
        <f aca="false">$G180*Supuestos!M$10*(Drivers!M$69/Drivers!$C$69)</f>
        <v>-111628.917428314</v>
      </c>
      <c r="R180" s="24" t="n">
        <f aca="false">$G180*Supuestos!N$10*(Drivers!N$69/Drivers!$C$69)</f>
        <v>-111628.917428314</v>
      </c>
      <c r="S180" s="24" t="n">
        <f aca="false">$G180*Supuestos!O$10*(Drivers!O$69/Drivers!$C$69)</f>
        <v>-111628.917428314</v>
      </c>
      <c r="T180" s="24" t="n">
        <f aca="false">$G180*Supuestos!P$10*(Drivers!P$69/Drivers!$C$69)</f>
        <v>-117768.507886871</v>
      </c>
      <c r="U180" s="24" t="n">
        <f aca="false">$G180*Supuestos!Q$10*(Drivers!Q$69/Drivers!$C$69)</f>
        <v>-117768.507886871</v>
      </c>
      <c r="V180" s="24" t="n">
        <f aca="false">$G180*Supuestos!R$10*(Drivers!R$69/Drivers!$C$69)</f>
        <v>-117768.507886871</v>
      </c>
    </row>
    <row r="181" customFormat="false" ht="15" hidden="false" customHeight="false" outlineLevel="0" collapsed="false">
      <c r="A181" s="6" t="s">
        <v>180</v>
      </c>
      <c r="B181" s="6" t="s">
        <v>136</v>
      </c>
      <c r="C181" s="6" t="s">
        <v>140</v>
      </c>
      <c r="D181" s="6" t="s">
        <v>141</v>
      </c>
      <c r="E181" s="6" t="s">
        <v>146</v>
      </c>
      <c r="F181" s="6" t="s">
        <v>29</v>
      </c>
      <c r="G181" s="24" t="n">
        <v>-170399.01</v>
      </c>
      <c r="H181" s="24" t="n">
        <f aca="false">$G181*Supuestos!D$10*(Drivers!D$69/Drivers!$C$69)</f>
        <v>-180622.9506</v>
      </c>
      <c r="I181" s="24" t="n">
        <f aca="false">$G181*Supuestos!E$10*(Drivers!E$69/Drivers!$C$69)</f>
        <v>-180622.9506</v>
      </c>
      <c r="J181" s="24" t="n">
        <f aca="false">$G181*Supuestos!F$10*(Drivers!F$69/Drivers!$C$69)</f>
        <v>-180622.9506</v>
      </c>
      <c r="K181" s="24" t="n">
        <f aca="false">$G181*Supuestos!G$10*(Drivers!G$69/Drivers!$C$69)</f>
        <v>-190557.212883</v>
      </c>
      <c r="L181" s="24" t="n">
        <f aca="false">$G181*Supuestos!H$10*(Drivers!H$69/Drivers!$C$69)</f>
        <v>-190557.212883</v>
      </c>
      <c r="M181" s="24" t="n">
        <f aca="false">$G181*Supuestos!I$10*(Drivers!I$69/Drivers!$C$69)</f>
        <v>-190557.212883</v>
      </c>
      <c r="N181" s="24" t="n">
        <f aca="false">$G181*Supuestos!J$10*(Drivers!J$69/Drivers!$C$69)</f>
        <v>-201037.859591565</v>
      </c>
      <c r="O181" s="24" t="n">
        <f aca="false">$G181*Supuestos!K$10*(Drivers!K$69/Drivers!$C$69)</f>
        <v>-201037.859591565</v>
      </c>
      <c r="P181" s="24" t="n">
        <f aca="false">$G181*Supuestos!L$10*(Drivers!L$69/Drivers!$C$69)</f>
        <v>-201037.859591565</v>
      </c>
      <c r="Q181" s="24" t="n">
        <f aca="false">$G181*Supuestos!M$10*(Drivers!M$69/Drivers!$C$69)</f>
        <v>-212094.941869101</v>
      </c>
      <c r="R181" s="24" t="n">
        <f aca="false">$G181*Supuestos!N$10*(Drivers!N$69/Drivers!$C$69)</f>
        <v>-212094.941869101</v>
      </c>
      <c r="S181" s="24" t="n">
        <f aca="false">$G181*Supuestos!O$10*(Drivers!O$69/Drivers!$C$69)</f>
        <v>-212094.941869101</v>
      </c>
      <c r="T181" s="24" t="n">
        <f aca="false">$G181*Supuestos!P$10*(Drivers!P$69/Drivers!$C$69)</f>
        <v>-223760.163671902</v>
      </c>
      <c r="U181" s="24" t="n">
        <f aca="false">$G181*Supuestos!Q$10*(Drivers!Q$69/Drivers!$C$69)</f>
        <v>-223760.163671902</v>
      </c>
      <c r="V181" s="24" t="n">
        <f aca="false">$G181*Supuestos!R$10*(Drivers!R$69/Drivers!$C$69)</f>
        <v>-223760.163671902</v>
      </c>
    </row>
    <row r="182" customFormat="false" ht="15" hidden="false" customHeight="false" outlineLevel="0" collapsed="false">
      <c r="A182" s="6" t="s">
        <v>180</v>
      </c>
      <c r="B182" s="6" t="s">
        <v>136</v>
      </c>
      <c r="C182" s="6" t="s">
        <v>140</v>
      </c>
      <c r="D182" s="6" t="s">
        <v>141</v>
      </c>
      <c r="E182" s="6" t="s">
        <v>147</v>
      </c>
      <c r="F182" s="6" t="s">
        <v>29</v>
      </c>
      <c r="G182" s="24" t="n">
        <v>-191325.33</v>
      </c>
      <c r="H182" s="24" t="n">
        <f aca="false">$G182*Supuestos!D$10*(Drivers!D$69/Drivers!$C$69)</f>
        <v>-202804.8498</v>
      </c>
      <c r="I182" s="24" t="n">
        <f aca="false">$G182*Supuestos!E$10*(Drivers!E$69/Drivers!$C$69)</f>
        <v>-202804.8498</v>
      </c>
      <c r="J182" s="24" t="n">
        <f aca="false">$G182*Supuestos!F$10*(Drivers!F$69/Drivers!$C$69)</f>
        <v>-202804.8498</v>
      </c>
      <c r="K182" s="24" t="n">
        <f aca="false">$G182*Supuestos!G$10*(Drivers!G$69/Drivers!$C$69)</f>
        <v>-213959.116539</v>
      </c>
      <c r="L182" s="24" t="n">
        <f aca="false">$G182*Supuestos!H$10*(Drivers!H$69/Drivers!$C$69)</f>
        <v>-213959.116539</v>
      </c>
      <c r="M182" s="24" t="n">
        <f aca="false">$G182*Supuestos!I$10*(Drivers!I$69/Drivers!$C$69)</f>
        <v>-213959.116539</v>
      </c>
      <c r="N182" s="24" t="n">
        <f aca="false">$G182*Supuestos!J$10*(Drivers!J$69/Drivers!$C$69)</f>
        <v>-225726.867948645</v>
      </c>
      <c r="O182" s="24" t="n">
        <f aca="false">$G182*Supuestos!K$10*(Drivers!K$69/Drivers!$C$69)</f>
        <v>-225726.867948645</v>
      </c>
      <c r="P182" s="24" t="n">
        <f aca="false">$G182*Supuestos!L$10*(Drivers!L$69/Drivers!$C$69)</f>
        <v>-225726.867948645</v>
      </c>
      <c r="Q182" s="24" t="n">
        <f aca="false">$G182*Supuestos!M$10*(Drivers!M$69/Drivers!$C$69)</f>
        <v>-238141.84568582</v>
      </c>
      <c r="R182" s="24" t="n">
        <f aca="false">$G182*Supuestos!N$10*(Drivers!N$69/Drivers!$C$69)</f>
        <v>-238141.84568582</v>
      </c>
      <c r="S182" s="24" t="n">
        <f aca="false">$G182*Supuestos!O$10*(Drivers!O$69/Drivers!$C$69)</f>
        <v>-238141.84568582</v>
      </c>
      <c r="T182" s="24" t="n">
        <f aca="false">$G182*Supuestos!P$10*(Drivers!P$69/Drivers!$C$69)</f>
        <v>-251239.647198541</v>
      </c>
      <c r="U182" s="24" t="n">
        <f aca="false">$G182*Supuestos!Q$10*(Drivers!Q$69/Drivers!$C$69)</f>
        <v>-251239.647198541</v>
      </c>
      <c r="V182" s="24" t="n">
        <f aca="false">$G182*Supuestos!R$10*(Drivers!R$69/Drivers!$C$69)</f>
        <v>-251239.647198541</v>
      </c>
    </row>
    <row r="183" customFormat="false" ht="15" hidden="false" customHeight="false" outlineLevel="0" collapsed="false">
      <c r="A183" s="6" t="s">
        <v>180</v>
      </c>
      <c r="B183" s="6" t="s">
        <v>136</v>
      </c>
      <c r="C183" s="6" t="s">
        <v>140</v>
      </c>
      <c r="D183" s="6" t="s">
        <v>141</v>
      </c>
      <c r="E183" s="6" t="s">
        <v>148</v>
      </c>
      <c r="F183" s="6" t="s">
        <v>41</v>
      </c>
      <c r="G183" s="24" t="n">
        <v>-30035.48</v>
      </c>
      <c r="H183" s="24" t="n">
        <f aca="false">0</f>
        <v>0</v>
      </c>
      <c r="I183" s="24" t="n">
        <f aca="false">0</f>
        <v>0</v>
      </c>
      <c r="J183" s="24" t="n">
        <f aca="false">0</f>
        <v>0</v>
      </c>
      <c r="K183" s="24" t="n">
        <f aca="false">0</f>
        <v>0</v>
      </c>
      <c r="L183" s="24" t="n">
        <f aca="false">0</f>
        <v>0</v>
      </c>
      <c r="M183" s="24" t="n">
        <f aca="false">0</f>
        <v>0</v>
      </c>
      <c r="N183" s="24" t="n">
        <f aca="false">0</f>
        <v>0</v>
      </c>
      <c r="O183" s="24" t="n">
        <f aca="false">0</f>
        <v>0</v>
      </c>
      <c r="P183" s="24" t="n">
        <f aca="false">0</f>
        <v>0</v>
      </c>
      <c r="Q183" s="24" t="n">
        <f aca="false">0</f>
        <v>0</v>
      </c>
      <c r="R183" s="24" t="n">
        <f aca="false">0</f>
        <v>0</v>
      </c>
      <c r="S183" s="24" t="n">
        <f aca="false">0</f>
        <v>0</v>
      </c>
      <c r="T183" s="24" t="n">
        <f aca="false">0</f>
        <v>0</v>
      </c>
      <c r="U183" s="24" t="n">
        <f aca="false">0</f>
        <v>0</v>
      </c>
      <c r="V183" s="24" t="n">
        <f aca="false">0</f>
        <v>0</v>
      </c>
    </row>
    <row r="184" customFormat="false" ht="15" hidden="false" customHeight="false" outlineLevel="0" collapsed="false">
      <c r="A184" s="6" t="s">
        <v>180</v>
      </c>
      <c r="B184" s="6" t="s">
        <v>136</v>
      </c>
      <c r="C184" s="6" t="s">
        <v>140</v>
      </c>
      <c r="D184" s="6" t="s">
        <v>151</v>
      </c>
      <c r="E184" s="6" t="s">
        <v>152</v>
      </c>
      <c r="F184" s="6" t="s">
        <v>31</v>
      </c>
      <c r="G184" s="24" t="n">
        <v>-245700</v>
      </c>
      <c r="H184" s="24" t="n">
        <f aca="false">$G184*Supuestos!D$8*(Drivers!D$69/Drivers!$C$69)</f>
        <v>-251640</v>
      </c>
      <c r="I184" s="24" t="n">
        <f aca="false">$G184*Supuestos!E$8*(Drivers!E$69/Drivers!$C$69)</f>
        <v>-257760</v>
      </c>
      <c r="J184" s="24" t="n">
        <f aca="false">$G184*Supuestos!F$8*(Drivers!F$69/Drivers!$C$69)</f>
        <v>-263700</v>
      </c>
      <c r="K184" s="24" t="n">
        <f aca="false">$G184*Supuestos!G$8*(Drivers!G$69/Drivers!$C$69)</f>
        <v>-268020</v>
      </c>
      <c r="L184" s="24" t="n">
        <f aca="false">$G184*Supuestos!H$8*(Drivers!H$69/Drivers!$C$69)</f>
        <v>-272160</v>
      </c>
      <c r="M184" s="24" t="n">
        <f aca="false">$G184*Supuestos!I$8*(Drivers!I$69/Drivers!$C$69)</f>
        <v>-276480</v>
      </c>
      <c r="N184" s="24" t="n">
        <f aca="false">$G184*Supuestos!J$8*(Drivers!J$69/Drivers!$C$69)</f>
        <v>-280800</v>
      </c>
      <c r="O184" s="24" t="n">
        <f aca="false">$G184*Supuestos!K$8*(Drivers!K$69/Drivers!$C$69)</f>
        <v>-285120</v>
      </c>
      <c r="P184" s="24" t="n">
        <f aca="false">$G184*Supuestos!L$8*(Drivers!L$69/Drivers!$C$69)</f>
        <v>-289440</v>
      </c>
      <c r="Q184" s="24" t="n">
        <f aca="false">$G184*Supuestos!M$8*(Drivers!M$69/Drivers!$C$69)</f>
        <v>-293580</v>
      </c>
      <c r="R184" s="24" t="n">
        <f aca="false">$G184*Supuestos!N$8*(Drivers!N$69/Drivers!$C$69)</f>
        <v>-297900</v>
      </c>
      <c r="S184" s="24" t="n">
        <f aca="false">$G184*Supuestos!O$8*(Drivers!O$69/Drivers!$C$69)</f>
        <v>-302220</v>
      </c>
      <c r="T184" s="24" t="n">
        <f aca="false">$G184*Supuestos!P$8*(Drivers!P$69/Drivers!$C$69)</f>
        <v>-306360</v>
      </c>
      <c r="U184" s="24" t="n">
        <f aca="false">$G184*Supuestos!Q$8*(Drivers!Q$69/Drivers!$C$69)</f>
        <v>-310680</v>
      </c>
      <c r="V184" s="24" t="n">
        <f aca="false">$G184*Supuestos!R$8*(Drivers!R$69/Drivers!$C$69)</f>
        <v>-315000</v>
      </c>
    </row>
    <row r="185" customFormat="false" ht="15" hidden="false" customHeight="false" outlineLevel="0" collapsed="false">
      <c r="A185" s="6" t="s">
        <v>180</v>
      </c>
      <c r="B185" s="6" t="s">
        <v>136</v>
      </c>
      <c r="C185" s="6" t="s">
        <v>140</v>
      </c>
      <c r="D185" s="6" t="s">
        <v>153</v>
      </c>
      <c r="E185" s="6" t="s">
        <v>154</v>
      </c>
      <c r="F185" s="6" t="s">
        <v>33</v>
      </c>
      <c r="G185" s="24" t="n">
        <v>-129894.32</v>
      </c>
      <c r="H185" s="24" t="n">
        <f aca="false">$G185*Supuestos!D$6*(Drivers!D$69/Drivers!$C$69)</f>
        <v>-132881.88936</v>
      </c>
      <c r="I185" s="24" t="n">
        <f aca="false">$G185*Supuestos!E$6*(Drivers!E$69/Drivers!$C$69)</f>
        <v>-135938.17281528</v>
      </c>
      <c r="J185" s="24" t="n">
        <f aca="false">$G185*Supuestos!F$6*(Drivers!F$69/Drivers!$C$69)</f>
        <v>-139064.750790031</v>
      </c>
      <c r="K185" s="24" t="n">
        <f aca="false">$G185*Supuestos!G$6*(Drivers!G$69/Drivers!$C$69)</f>
        <v>-141706.981055042</v>
      </c>
      <c r="L185" s="24" t="n">
        <f aca="false">$G185*Supuestos!H$6*(Drivers!H$69/Drivers!$C$69)</f>
        <v>-144399.413695088</v>
      </c>
      <c r="M185" s="24" t="n">
        <f aca="false">$G185*Supuestos!I$6*(Drivers!I$69/Drivers!$C$69)</f>
        <v>-147143.002555294</v>
      </c>
      <c r="N185" s="24" t="n">
        <f aca="false">$G185*Supuestos!J$6*(Drivers!J$69/Drivers!$C$69)</f>
        <v>-149938.719603845</v>
      </c>
      <c r="O185" s="24" t="n">
        <f aca="false">$G185*Supuestos!K$6*(Drivers!K$69/Drivers!$C$69)</f>
        <v>-152787.555276318</v>
      </c>
      <c r="P185" s="24" t="n">
        <f aca="false">$G185*Supuestos!L$6*(Drivers!L$69/Drivers!$C$69)</f>
        <v>-155690.518826568</v>
      </c>
      <c r="Q185" s="24" t="n">
        <f aca="false">$G185*Supuestos!M$6*(Drivers!M$69/Drivers!$C$69)</f>
        <v>-158648.638684273</v>
      </c>
      <c r="R185" s="24" t="n">
        <f aca="false">$G185*Supuestos!N$6*(Drivers!N$69/Drivers!$C$69)</f>
        <v>-161662.962819274</v>
      </c>
      <c r="S185" s="24" t="n">
        <f aca="false">$G185*Supuestos!O$6*(Drivers!O$69/Drivers!$C$69)</f>
        <v>-164734.55911284</v>
      </c>
      <c r="T185" s="24" t="n">
        <f aca="false">$G185*Supuestos!P$6*(Drivers!P$69/Drivers!$C$69)</f>
        <v>-167864.515735984</v>
      </c>
      <c r="U185" s="24" t="n">
        <f aca="false">$G185*Supuestos!Q$6*(Drivers!Q$69/Drivers!$C$69)</f>
        <v>-171053.941534968</v>
      </c>
      <c r="V185" s="24" t="n">
        <f aca="false">$G185*Supuestos!R$6*(Drivers!R$69/Drivers!$C$69)</f>
        <v>-174303.966424132</v>
      </c>
    </row>
    <row r="186" customFormat="false" ht="15" hidden="false" customHeight="false" outlineLevel="0" collapsed="false">
      <c r="A186" s="6" t="s">
        <v>180</v>
      </c>
      <c r="B186" s="6" t="s">
        <v>136</v>
      </c>
      <c r="C186" s="6" t="s">
        <v>140</v>
      </c>
      <c r="D186" s="6" t="s">
        <v>153</v>
      </c>
      <c r="E186" s="6" t="s">
        <v>155</v>
      </c>
      <c r="F186" s="6" t="s">
        <v>33</v>
      </c>
      <c r="G186" s="24" t="n">
        <v>-33401.22</v>
      </c>
      <c r="H186" s="24" t="n">
        <f aca="false">$G186*Supuestos!D$6*(Drivers!D$69/Drivers!$C$69)</f>
        <v>-34169.44806</v>
      </c>
      <c r="I186" s="24" t="n">
        <f aca="false">$G186*Supuestos!E$6*(Drivers!E$69/Drivers!$C$69)</f>
        <v>-34955.34536538</v>
      </c>
      <c r="J186" s="24" t="n">
        <f aca="false">$G186*Supuestos!F$6*(Drivers!F$69/Drivers!$C$69)</f>
        <v>-35759.3183087837</v>
      </c>
      <c r="K186" s="24" t="n">
        <f aca="false">$G186*Supuestos!G$6*(Drivers!G$69/Drivers!$C$69)</f>
        <v>-36438.7453566506</v>
      </c>
      <c r="L186" s="24" t="n">
        <f aca="false">$G186*Supuestos!H$6*(Drivers!H$69/Drivers!$C$69)</f>
        <v>-37131.081518427</v>
      </c>
      <c r="M186" s="24" t="n">
        <f aca="false">$G186*Supuestos!I$6*(Drivers!I$69/Drivers!$C$69)</f>
        <v>-37836.5720672771</v>
      </c>
      <c r="N186" s="24" t="n">
        <f aca="false">$G186*Supuestos!J$6*(Drivers!J$69/Drivers!$C$69)</f>
        <v>-38555.4669365553</v>
      </c>
      <c r="O186" s="24" t="n">
        <f aca="false">$G186*Supuestos!K$6*(Drivers!K$69/Drivers!$C$69)</f>
        <v>-39288.0208083499</v>
      </c>
      <c r="P186" s="24" t="n">
        <f aca="false">$G186*Supuestos!L$6*(Drivers!L$69/Drivers!$C$69)</f>
        <v>-40034.4932037085</v>
      </c>
      <c r="Q186" s="24" t="n">
        <f aca="false">$G186*Supuestos!M$6*(Drivers!M$69/Drivers!$C$69)</f>
        <v>-40795.148574579</v>
      </c>
      <c r="R186" s="24" t="n">
        <f aca="false">$G186*Supuestos!N$6*(Drivers!N$69/Drivers!$C$69)</f>
        <v>-41570.256397496</v>
      </c>
      <c r="S186" s="24" t="n">
        <f aca="false">$G186*Supuestos!O$6*(Drivers!O$69/Drivers!$C$69)</f>
        <v>-42360.0912690484</v>
      </c>
      <c r="T186" s="24" t="n">
        <f aca="false">$G186*Supuestos!P$6*(Drivers!P$69/Drivers!$C$69)</f>
        <v>-43164.9330031603</v>
      </c>
      <c r="U186" s="24" t="n">
        <f aca="false">$G186*Supuestos!Q$6*(Drivers!Q$69/Drivers!$C$69)</f>
        <v>-43985.0667302204</v>
      </c>
      <c r="V186" s="24" t="n">
        <f aca="false">$G186*Supuestos!R$6*(Drivers!R$69/Drivers!$C$69)</f>
        <v>-44820.7829980946</v>
      </c>
    </row>
    <row r="187" customFormat="false" ht="15" hidden="false" customHeight="false" outlineLevel="0" collapsed="false">
      <c r="A187" s="6" t="s">
        <v>180</v>
      </c>
      <c r="B187" s="6" t="s">
        <v>136</v>
      </c>
      <c r="C187" s="6" t="s">
        <v>140</v>
      </c>
      <c r="D187" s="6" t="s">
        <v>153</v>
      </c>
      <c r="E187" s="6" t="s">
        <v>156</v>
      </c>
      <c r="F187" s="6" t="s">
        <v>33</v>
      </c>
      <c r="G187" s="24" t="n">
        <v>-22267.48</v>
      </c>
      <c r="H187" s="24" t="n">
        <f aca="false">$G187*Supuestos!D$6*(Drivers!D$69/Drivers!$C$69)</f>
        <v>-22779.63204</v>
      </c>
      <c r="I187" s="24" t="n">
        <f aca="false">$G187*Supuestos!E$6*(Drivers!E$69/Drivers!$C$69)</f>
        <v>-23303.56357692</v>
      </c>
      <c r="J187" s="24" t="n">
        <f aca="false">$G187*Supuestos!F$6*(Drivers!F$69/Drivers!$C$69)</f>
        <v>-23839.5455391892</v>
      </c>
      <c r="K187" s="24" t="n">
        <f aca="false">$G187*Supuestos!G$6*(Drivers!G$69/Drivers!$C$69)</f>
        <v>-24292.4969044337</v>
      </c>
      <c r="L187" s="24" t="n">
        <f aca="false">$G187*Supuestos!H$6*(Drivers!H$69/Drivers!$C$69)</f>
        <v>-24754.054345618</v>
      </c>
      <c r="M187" s="24" t="n">
        <f aca="false">$G187*Supuestos!I$6*(Drivers!I$69/Drivers!$C$69)</f>
        <v>-25224.3813781847</v>
      </c>
      <c r="N187" s="24" t="n">
        <f aca="false">$G187*Supuestos!J$6*(Drivers!J$69/Drivers!$C$69)</f>
        <v>-25703.6446243702</v>
      </c>
      <c r="O187" s="24" t="n">
        <f aca="false">$G187*Supuestos!K$6*(Drivers!K$69/Drivers!$C$69)</f>
        <v>-26192.0138722333</v>
      </c>
      <c r="P187" s="24" t="n">
        <f aca="false">$G187*Supuestos!L$6*(Drivers!L$69/Drivers!$C$69)</f>
        <v>-26689.6621358057</v>
      </c>
      <c r="Q187" s="24" t="n">
        <f aca="false">$G187*Supuestos!M$6*(Drivers!M$69/Drivers!$C$69)</f>
        <v>-27196.765716386</v>
      </c>
      <c r="R187" s="24" t="n">
        <f aca="false">$G187*Supuestos!N$6*(Drivers!N$69/Drivers!$C$69)</f>
        <v>-27713.5042649973</v>
      </c>
      <c r="S187" s="24" t="n">
        <f aca="false">$G187*Supuestos!O$6*(Drivers!O$69/Drivers!$C$69)</f>
        <v>-28240.0608460323</v>
      </c>
      <c r="T187" s="24" t="n">
        <f aca="false">$G187*Supuestos!P$6*(Drivers!P$69/Drivers!$C$69)</f>
        <v>-28776.6220021069</v>
      </c>
      <c r="U187" s="24" t="n">
        <f aca="false">$G187*Supuestos!Q$6*(Drivers!Q$69/Drivers!$C$69)</f>
        <v>-29323.3778201469</v>
      </c>
      <c r="V187" s="24" t="n">
        <f aca="false">$G187*Supuestos!R$6*(Drivers!R$69/Drivers!$C$69)</f>
        <v>-29880.5219987297</v>
      </c>
    </row>
    <row r="188" customFormat="false" ht="15" hidden="false" customHeight="false" outlineLevel="0" collapsed="false">
      <c r="A188" s="6" t="s">
        <v>180</v>
      </c>
      <c r="B188" s="6" t="s">
        <v>136</v>
      </c>
      <c r="C188" s="6" t="s">
        <v>140</v>
      </c>
      <c r="D188" s="6" t="s">
        <v>157</v>
      </c>
      <c r="E188" s="6" t="s">
        <v>158</v>
      </c>
      <c r="F188" s="6" t="s">
        <v>39</v>
      </c>
      <c r="G188" s="24" t="n">
        <v>-61775.31</v>
      </c>
      <c r="H188" s="24" t="n">
        <f aca="false">$G188*Supuestos!D$12*(Drivers!D$66/100)</f>
        <v>-63196.14213</v>
      </c>
      <c r="I188" s="24" t="n">
        <f aca="false">$G188*Supuestos!E$12*(Drivers!E$66/100)</f>
        <v>-64649.65339899</v>
      </c>
      <c r="J188" s="24" t="n">
        <f aca="false">$G188*Supuestos!F$12*(Drivers!F$66/100)</f>
        <v>-66136.5954271667</v>
      </c>
      <c r="K188" s="24" t="n">
        <f aca="false">$G188*Supuestos!G$12*(Drivers!G$66/100)</f>
        <v>-67393.1907402829</v>
      </c>
      <c r="L188" s="24" t="n">
        <f aca="false">$G188*Supuestos!H$12*(Drivers!H$66/100)</f>
        <v>-68673.6613643483</v>
      </c>
      <c r="M188" s="24" t="n">
        <f aca="false">$G188*Supuestos!I$12*(Drivers!I$66/100)</f>
        <v>-69978.4609302709</v>
      </c>
      <c r="N188" s="24" t="n">
        <f aca="false">$G188*Supuestos!J$12*(Drivers!J$66/100)</f>
        <v>-71308.051687946</v>
      </c>
      <c r="O188" s="24" t="n">
        <f aca="false">$G188*Supuestos!K$12*(Drivers!K$66/100)</f>
        <v>-72662.904670017</v>
      </c>
      <c r="P188" s="24" t="n">
        <f aca="false">$G188*Supuestos!L$12*(Drivers!L$66/100)</f>
        <v>-74043.4998587473</v>
      </c>
      <c r="Q188" s="24" t="n">
        <f aca="false">$G188*Supuestos!M$12*(Drivers!M$66/100)</f>
        <v>-75450.3263560635</v>
      </c>
      <c r="R188" s="24" t="n">
        <f aca="false">$G188*Supuestos!N$12*(Drivers!N$66/100)</f>
        <v>-76883.8825568287</v>
      </c>
      <c r="S188" s="24" t="n">
        <f aca="false">$G188*Supuestos!O$12*(Drivers!O$66/100)</f>
        <v>-78344.6763254084</v>
      </c>
      <c r="T188" s="24" t="n">
        <f aca="false">$G188*Supuestos!P$12*(Drivers!P$66/100)</f>
        <v>-79833.2251755912</v>
      </c>
      <c r="U188" s="24" t="n">
        <f aca="false">$G188*Supuestos!Q$12*(Drivers!Q$66/100)</f>
        <v>-81350.0564539274</v>
      </c>
      <c r="V188" s="24" t="n">
        <f aca="false">$G188*Supuestos!R$12*(Drivers!R$66/100)</f>
        <v>-82895.707526552</v>
      </c>
    </row>
    <row r="189" customFormat="false" ht="15" hidden="false" customHeight="false" outlineLevel="0" collapsed="false">
      <c r="A189" s="6" t="s">
        <v>180</v>
      </c>
      <c r="B189" s="6" t="s">
        <v>136</v>
      </c>
      <c r="C189" s="6" t="s">
        <v>140</v>
      </c>
      <c r="D189" s="6" t="s">
        <v>159</v>
      </c>
      <c r="E189" s="6" t="s">
        <v>160</v>
      </c>
      <c r="F189" s="6" t="s">
        <v>37</v>
      </c>
      <c r="G189" s="24" t="n">
        <v>-33760.14</v>
      </c>
      <c r="H189" s="24" t="n">
        <f aca="false">$G189*Supuestos!D$6*(Drivers!D$66/100)</f>
        <v>-34536.62322</v>
      </c>
      <c r="I189" s="24" t="n">
        <f aca="false">$G189*Supuestos!E$6*(Drivers!E$66/100)</f>
        <v>-35330.96555406</v>
      </c>
      <c r="J189" s="24" t="n">
        <f aca="false">$G189*Supuestos!F$6*(Drivers!F$66/100)</f>
        <v>-36143.5777618034</v>
      </c>
      <c r="K189" s="24" t="n">
        <f aca="false">$G189*Supuestos!G$6*(Drivers!G$66/100)</f>
        <v>-36830.3057392776</v>
      </c>
      <c r="L189" s="24" t="n">
        <f aca="false">$G189*Supuestos!H$6*(Drivers!H$66/100)</f>
        <v>-37530.0815483239</v>
      </c>
      <c r="M189" s="24" t="n">
        <f aca="false">$G189*Supuestos!I$6*(Drivers!I$66/100)</f>
        <v>-38243.153097742</v>
      </c>
      <c r="N189" s="24" t="n">
        <f aca="false">$G189*Supuestos!J$6*(Drivers!J$66/100)</f>
        <v>-38969.7730065991</v>
      </c>
      <c r="O189" s="24" t="n">
        <f aca="false">$G189*Supuestos!K$6*(Drivers!K$66/100)</f>
        <v>-39710.1986937245</v>
      </c>
      <c r="P189" s="24" t="n">
        <f aca="false">$G189*Supuestos!L$6*(Drivers!L$66/100)</f>
        <v>-40464.6924689053</v>
      </c>
      <c r="Q189" s="24" t="n">
        <f aca="false">$G189*Supuestos!M$6*(Drivers!M$66/100)</f>
        <v>-41233.5216258145</v>
      </c>
      <c r="R189" s="24" t="n">
        <f aca="false">$G189*Supuestos!N$6*(Drivers!N$66/100)</f>
        <v>-42016.958536705</v>
      </c>
      <c r="S189" s="24" t="n">
        <f aca="false">$G189*Supuestos!O$6*(Drivers!O$66/100)</f>
        <v>-42815.2807489023</v>
      </c>
      <c r="T189" s="24" t="n">
        <f aca="false">$G189*Supuestos!P$6*(Drivers!P$66/100)</f>
        <v>-43628.7710831315</v>
      </c>
      <c r="U189" s="24" t="n">
        <f aca="false">$G189*Supuestos!Q$6*(Drivers!Q$66/100)</f>
        <v>-44457.717733711</v>
      </c>
      <c r="V189" s="24" t="n">
        <f aca="false">$G189*Supuestos!R$6*(Drivers!R$66/100)</f>
        <v>-45302.4143706515</v>
      </c>
    </row>
    <row r="190" customFormat="false" ht="15" hidden="false" customHeight="false" outlineLevel="0" collapsed="false">
      <c r="A190" s="6" t="s">
        <v>180</v>
      </c>
      <c r="B190" s="6" t="s">
        <v>136</v>
      </c>
      <c r="C190" s="6" t="s">
        <v>140</v>
      </c>
      <c r="D190" s="6" t="s">
        <v>161</v>
      </c>
      <c r="E190" s="6" t="s">
        <v>162</v>
      </c>
      <c r="F190" s="6" t="s">
        <v>35</v>
      </c>
      <c r="G190" s="24" t="n">
        <v>-34474.9</v>
      </c>
      <c r="H190" s="24" t="n">
        <f aca="false">$G190*Supuestos!D$8*(Drivers!D$66/100)</f>
        <v>-35308.3591208791</v>
      </c>
      <c r="I190" s="24" t="n">
        <f aca="false">$G190*Supuestos!E$8*(Drivers!E$66/100)</f>
        <v>-36167.0745787546</v>
      </c>
      <c r="J190" s="24" t="n">
        <f aca="false">$G190*Supuestos!F$8*(Drivers!F$66/100)</f>
        <v>-37000.5336996337</v>
      </c>
      <c r="K190" s="24" t="n">
        <f aca="false">$G190*Supuestos!G$8*(Drivers!G$66/100)</f>
        <v>-37606.6857875458</v>
      </c>
      <c r="L190" s="24" t="n">
        <f aca="false">$G190*Supuestos!H$8*(Drivers!H$66/100)</f>
        <v>-38187.5815384615</v>
      </c>
      <c r="M190" s="24" t="n">
        <f aca="false">$G190*Supuestos!I$8*(Drivers!I$66/100)</f>
        <v>-38793.7336263736</v>
      </c>
      <c r="N190" s="24" t="n">
        <f aca="false">$G190*Supuestos!J$8*(Drivers!J$66/100)</f>
        <v>-39399.8857142857</v>
      </c>
      <c r="O190" s="24" t="n">
        <f aca="false">$G190*Supuestos!K$8*(Drivers!K$66/100)</f>
        <v>-40006.0378021978</v>
      </c>
      <c r="P190" s="24" t="n">
        <f aca="false">$G190*Supuestos!L$8*(Drivers!L$66/100)</f>
        <v>-40612.1898901099</v>
      </c>
      <c r="Q190" s="24" t="n">
        <f aca="false">$G190*Supuestos!M$8*(Drivers!M$66/100)</f>
        <v>-41193.0856410256</v>
      </c>
      <c r="R190" s="24" t="n">
        <f aca="false">$G190*Supuestos!N$8*(Drivers!N$66/100)</f>
        <v>-41799.2377289377</v>
      </c>
      <c r="S190" s="24" t="n">
        <f aca="false">$G190*Supuestos!O$8*(Drivers!O$66/100)</f>
        <v>-42405.3898168498</v>
      </c>
      <c r="T190" s="24" t="n">
        <f aca="false">$G190*Supuestos!P$8*(Drivers!P$66/100)</f>
        <v>-42986.2855677656</v>
      </c>
      <c r="U190" s="24" t="n">
        <f aca="false">$G190*Supuestos!Q$8*(Drivers!Q$66/100)</f>
        <v>-43592.4376556777</v>
      </c>
      <c r="V190" s="24" t="n">
        <f aca="false">$G190*Supuestos!R$8*(Drivers!R$66/100)</f>
        <v>-44198.5897435898</v>
      </c>
    </row>
    <row r="191" customFormat="false" ht="15" hidden="false" customHeight="false" outlineLevel="0" collapsed="false">
      <c r="A191" s="6" t="s">
        <v>180</v>
      </c>
      <c r="B191" s="6" t="s">
        <v>136</v>
      </c>
      <c r="C191" s="6" t="s">
        <v>140</v>
      </c>
      <c r="D191" s="6" t="s">
        <v>163</v>
      </c>
      <c r="E191" s="6" t="s">
        <v>164</v>
      </c>
      <c r="F191" s="6" t="s">
        <v>37</v>
      </c>
      <c r="G191" s="24" t="n">
        <v>-138872.77</v>
      </c>
      <c r="H191" s="24" t="n">
        <f aca="false">$G191*Supuestos!D$6*(Drivers!D$66/100)</f>
        <v>-142066.84371</v>
      </c>
      <c r="I191" s="24" t="n">
        <f aca="false">$G191*Supuestos!E$6*(Drivers!E$66/100)</f>
        <v>-145334.38111533</v>
      </c>
      <c r="J191" s="24" t="n">
        <f aca="false">$G191*Supuestos!F$6*(Drivers!F$66/100)</f>
        <v>-148677.071880983</v>
      </c>
      <c r="K191" s="24" t="n">
        <f aca="false">$G191*Supuestos!G$6*(Drivers!G$66/100)</f>
        <v>-151501.936246721</v>
      </c>
      <c r="L191" s="24" t="n">
        <f aca="false">$G191*Supuestos!H$6*(Drivers!H$66/100)</f>
        <v>-154380.473035409</v>
      </c>
      <c r="M191" s="24" t="n">
        <f aca="false">$G191*Supuestos!I$6*(Drivers!I$66/100)</f>
        <v>-157313.702023082</v>
      </c>
      <c r="N191" s="24" t="n">
        <f aca="false">$G191*Supuestos!J$6*(Drivers!J$66/100)</f>
        <v>-160302.66236152</v>
      </c>
      <c r="O191" s="24" t="n">
        <f aca="false">$G191*Supuestos!K$6*(Drivers!K$66/100)</f>
        <v>-163348.412946389</v>
      </c>
      <c r="P191" s="24" t="n">
        <f aca="false">$G191*Supuestos!L$6*(Drivers!L$66/100)</f>
        <v>-166452.03279237</v>
      </c>
      <c r="Q191" s="24" t="n">
        <f aca="false">$G191*Supuestos!M$6*(Drivers!M$66/100)</f>
        <v>-169614.621415425</v>
      </c>
      <c r="R191" s="24" t="n">
        <f aca="false">$G191*Supuestos!N$6*(Drivers!N$66/100)</f>
        <v>-172837.299222318</v>
      </c>
      <c r="S191" s="24" t="n">
        <f aca="false">$G191*Supuestos!O$6*(Drivers!O$66/100)</f>
        <v>-176121.207907543</v>
      </c>
      <c r="T191" s="24" t="n">
        <f aca="false">$G191*Supuestos!P$6*(Drivers!P$66/100)</f>
        <v>-179467.510857786</v>
      </c>
      <c r="U191" s="24" t="n">
        <f aca="false">$G191*Supuestos!Q$6*(Drivers!Q$66/100)</f>
        <v>-182877.393564084</v>
      </c>
      <c r="V191" s="24" t="n">
        <f aca="false">$G191*Supuestos!R$6*(Drivers!R$66/100)</f>
        <v>-186352.064041801</v>
      </c>
    </row>
    <row r="192" customFormat="false" ht="15" hidden="false" customHeight="false" outlineLevel="0" collapsed="false">
      <c r="A192" s="6" t="s">
        <v>180</v>
      </c>
      <c r="B192" s="6" t="s">
        <v>136</v>
      </c>
      <c r="C192" s="6" t="s">
        <v>167</v>
      </c>
      <c r="D192" s="6" t="s">
        <v>168</v>
      </c>
      <c r="E192" s="6" t="s">
        <v>169</v>
      </c>
      <c r="F192" s="6" t="s">
        <v>27</v>
      </c>
      <c r="G192" s="24" t="n">
        <v>-111030.39</v>
      </c>
      <c r="H192" s="24" t="n">
        <f aca="false">$G192*Supuestos!D$6*(Drivers!D$66/100)*(Drivers!D$67/Drivers!$C$67)*(Drivers!D$68/Drivers!$C$68)*Supuestos!D$13</f>
        <v>-114719.9298597</v>
      </c>
      <c r="I192" s="24" t="n">
        <f aca="false">$G192*Supuestos!E$6*(Drivers!E$66/100)*(Drivers!E$67/Drivers!$C$67)*(Drivers!E$68/Drivers!$C$68)*Supuestos!E$13</f>
        <v>-116196.52301631</v>
      </c>
      <c r="J192" s="24" t="n">
        <f aca="false">$G192*Supuestos!F$6*(Drivers!F$66/100)*(Drivers!F$67/Drivers!$C$67)*(Drivers!F$68/Drivers!$C$68)*Supuestos!F$13</f>
        <v>-115302.971754315</v>
      </c>
      <c r="K192" s="24" t="n">
        <f aca="false">$G192*Supuestos!G$6*(Drivers!G$66/100)*(Drivers!G$67/Drivers!$C$67)*(Drivers!G$68/Drivers!$C$68)*Supuestos!G$13</f>
        <v>-116282.452669011</v>
      </c>
      <c r="L192" s="24" t="n">
        <f aca="false">$G192*Supuestos!H$6*(Drivers!H$66/100)*(Drivers!H$67/Drivers!$C$67)*(Drivers!H$68/Drivers!$C$68)*Supuestos!H$13</f>
        <v>-119726.109053782</v>
      </c>
      <c r="M192" s="24" t="n">
        <f aca="false">$G192*Supuestos!I$6*(Drivers!I$66/100)*(Drivers!I$67/Drivers!$C$67)*(Drivers!I$68/Drivers!$C$68)*Supuestos!I$13</f>
        <v>-129547.352865544</v>
      </c>
      <c r="N192" s="24" t="n">
        <f aca="false">$G192*Supuestos!J$6*(Drivers!J$66/100)*(Drivers!J$67/Drivers!$C$67)*(Drivers!J$68/Drivers!$C$68)*Supuestos!J$13</f>
        <v>-129445.475821058</v>
      </c>
      <c r="O192" s="24" t="n">
        <f aca="false">$G192*Supuestos!K$6*(Drivers!K$66/100)*(Drivers!K$67/Drivers!$C$67)*(Drivers!K$68/Drivers!$C$68)*Supuestos!K$13</f>
        <v>-130598.950358077</v>
      </c>
      <c r="P192" s="24" t="n">
        <f aca="false">$G192*Supuestos!L$6*(Drivers!L$66/100)*(Drivers!L$67/Drivers!$C$67)*(Drivers!L$68/Drivers!$C$68)*Supuestos!L$13</f>
        <v>-131749.527110731</v>
      </c>
      <c r="Q192" s="24" t="n">
        <f aca="false">$G192*Supuestos!M$6*(Drivers!M$66/100)*(Drivers!M$67/Drivers!$C$67)*(Drivers!M$68/Drivers!$C$68)*Supuestos!M$13</f>
        <v>-135608.856692763</v>
      </c>
      <c r="R192" s="24" t="n">
        <f aca="false">$G192*Supuestos!N$6*(Drivers!N$66/100)*(Drivers!N$67/Drivers!$C$67)*(Drivers!N$68/Drivers!$C$68)*Supuestos!N$13</f>
        <v>-139567.279219625</v>
      </c>
      <c r="S192" s="24" t="n">
        <f aca="false">$G192*Supuestos!O$6*(Drivers!O$66/100)*(Drivers!O$67/Drivers!$C$67)*(Drivers!O$68/Drivers!$C$68)*Supuestos!O$13</f>
        <v>-143627.167005241</v>
      </c>
      <c r="T192" s="24" t="n">
        <f aca="false">$G192*Supuestos!P$6*(Drivers!P$66/100)*(Drivers!P$67/Drivers!$C$67)*(Drivers!P$68/Drivers!$C$68)*Supuestos!P$13</f>
        <v>-144921.219617769</v>
      </c>
      <c r="U192" s="24" t="n">
        <f aca="false">$G192*Supuestos!Q$6*(Drivers!Q$66/100)*(Drivers!Q$67/Drivers!$C$67)*(Drivers!Q$68/Drivers!$C$68)*Supuestos!Q$13</f>
        <v>-146212.596822284</v>
      </c>
      <c r="V192" s="24" t="n">
        <f aca="false">$G192*Supuestos!R$6*(Drivers!R$66/100)*(Drivers!R$67/Drivers!$C$67)*(Drivers!R$68/Drivers!$C$68)*Supuestos!R$13</f>
        <v>-144520.91707705</v>
      </c>
    </row>
    <row r="193" customFormat="false" ht="15" hidden="false" customHeight="false" outlineLevel="0" collapsed="false">
      <c r="A193" s="6" t="s">
        <v>181</v>
      </c>
      <c r="B193" s="6" t="s">
        <v>136</v>
      </c>
      <c r="C193" s="6" t="s">
        <v>137</v>
      </c>
      <c r="D193" s="6" t="s">
        <v>182</v>
      </c>
      <c r="E193" s="6" t="s">
        <v>183</v>
      </c>
      <c r="F193" s="6" t="s">
        <v>25</v>
      </c>
      <c r="G193" s="24" t="n">
        <v>19670660.32</v>
      </c>
      <c r="H193" s="24" t="n">
        <f aca="false">$G193*Supuestos!D$6*(Drivers!D$72/100)*(Drivers!D$73/Drivers!$C$73)*(Drivers!D$74/Drivers!$C$74)*Supuestos!D$13</f>
        <v>20324316.3624336</v>
      </c>
      <c r="I193" s="24" t="n">
        <f aca="false">$G193*Supuestos!E$6*(Drivers!E$72/100)*(Drivers!E$73/Drivers!$C$73)*(Drivers!E$74/Drivers!$C$74)*Supuestos!E$13</f>
        <v>20585916.4740293</v>
      </c>
      <c r="J193" s="24" t="n">
        <f aca="false">$G193*Supuestos!F$6*(Drivers!F$72/100)*(Drivers!F$73/Drivers!$C$73)*(Drivers!F$74/Drivers!$C$74)*Supuestos!F$13</f>
        <v>20427610.776344</v>
      </c>
      <c r="K193" s="24" t="n">
        <f aca="false">$G193*Supuestos!G$6*(Drivers!G$72/100)*(Drivers!G$73/Drivers!$C$73)*(Drivers!G$74/Drivers!$C$74)*Supuestos!G$13</f>
        <v>20601140.1709801</v>
      </c>
      <c r="L193" s="24" t="n">
        <f aca="false">$G193*Supuestos!H$6*(Drivers!H$72/100)*(Drivers!H$73/Drivers!$C$73)*(Drivers!H$74/Drivers!$C$74)*Supuestos!H$13</f>
        <v>21211234.3533353</v>
      </c>
      <c r="M193" s="24" t="n">
        <f aca="false">$G193*Supuestos!I$6*(Drivers!I$72/100)*(Drivers!I$73/Drivers!$C$73)*(Drivers!I$74/Drivers!$C$74)*Supuestos!I$13</f>
        <v>22951211.5878661</v>
      </c>
      <c r="N193" s="24" t="n">
        <f aca="false">$G193*Supuestos!J$6*(Drivers!J$72/100)*(Drivers!J$73/Drivers!$C$73)*(Drivers!J$74/Drivers!$C$74)*Supuestos!J$13</f>
        <v>22933162.5768116</v>
      </c>
      <c r="O193" s="24" t="n">
        <f aca="false">$G193*Supuestos!K$6*(Drivers!K$72/100)*(Drivers!K$73/Drivers!$C$73)*(Drivers!K$74/Drivers!$C$74)*Supuestos!K$13</f>
        <v>23137517.4908624</v>
      </c>
      <c r="P193" s="24" t="n">
        <f aca="false">$G193*Supuestos!L$6*(Drivers!L$72/100)*(Drivers!L$73/Drivers!$C$73)*(Drivers!L$74/Drivers!$C$74)*Supuestos!L$13</f>
        <v>23341359.0199569</v>
      </c>
      <c r="Q193" s="24" t="n">
        <f aca="false">$G193*Supuestos!M$6*(Drivers!M$72/100)*(Drivers!M$73/Drivers!$C$73)*(Drivers!M$74/Drivers!$C$74)*Supuestos!M$13</f>
        <v>24025095.7993293</v>
      </c>
      <c r="R193" s="24" t="n">
        <f aca="false">$G193*Supuestos!N$6*(Drivers!N$72/100)*(Drivers!N$73/Drivers!$C$73)*(Drivers!N$74/Drivers!$C$74)*Supuestos!N$13</f>
        <v>24726388.3457118</v>
      </c>
      <c r="S193" s="24" t="n">
        <f aca="false">$G193*Supuestos!O$6*(Drivers!O$72/100)*(Drivers!O$73/Drivers!$C$73)*(Drivers!O$74/Drivers!$C$74)*Supuestos!O$13</f>
        <v>25445656.9492732</v>
      </c>
      <c r="T193" s="24" t="n">
        <f aca="false">$G193*Supuestos!P$6*(Drivers!P$72/100)*(Drivers!P$73/Drivers!$C$73)*(Drivers!P$74/Drivers!$C$74)*Supuestos!P$13</f>
        <v>25674917.3290416</v>
      </c>
      <c r="U193" s="24" t="n">
        <f aca="false">$G193*Supuestos!Q$6*(Drivers!Q$72/100)*(Drivers!Q$73/Drivers!$C$73)*(Drivers!Q$74/Drivers!$C$74)*Supuestos!Q$13</f>
        <v>25903703.7210826</v>
      </c>
      <c r="V193" s="24" t="n">
        <f aca="false">$G193*Supuestos!R$6*(Drivers!R$72/100)*(Drivers!R$73/Drivers!$C$73)*(Drivers!R$74/Drivers!$C$74)*Supuestos!R$13</f>
        <v>25603997.8690297</v>
      </c>
    </row>
    <row r="194" customFormat="false" ht="15" hidden="false" customHeight="false" outlineLevel="0" collapsed="false">
      <c r="A194" s="6" t="s">
        <v>181</v>
      </c>
      <c r="B194" s="6" t="s">
        <v>136</v>
      </c>
      <c r="C194" s="6" t="s">
        <v>140</v>
      </c>
      <c r="D194" s="6" t="s">
        <v>141</v>
      </c>
      <c r="E194" s="6" t="s">
        <v>142</v>
      </c>
      <c r="F194" s="6" t="s">
        <v>29</v>
      </c>
      <c r="G194" s="24" t="n">
        <v>-12444399.93</v>
      </c>
      <c r="H194" s="24" t="n">
        <f aca="false">$G194*Supuestos!D$10*(Drivers!D$75/Drivers!$C$75)</f>
        <v>-13191063.9258</v>
      </c>
      <c r="I194" s="24" t="n">
        <f aca="false">$G194*Supuestos!E$10*(Drivers!E$75/Drivers!$C$75)</f>
        <v>-13191063.9258</v>
      </c>
      <c r="J194" s="24" t="n">
        <f aca="false">$G194*Supuestos!F$10*(Drivers!F$75/Drivers!$C$75)</f>
        <v>-13191063.9258</v>
      </c>
      <c r="K194" s="24" t="n">
        <f aca="false">$G194*Supuestos!G$10*(Drivers!G$75/Drivers!$C$75)</f>
        <v>-13916572.441719</v>
      </c>
      <c r="L194" s="24" t="n">
        <f aca="false">$G194*Supuestos!H$10*(Drivers!H$75/Drivers!$C$75)</f>
        <v>-13916572.441719</v>
      </c>
      <c r="M194" s="24" t="n">
        <f aca="false">$G194*Supuestos!I$10*(Drivers!I$75/Drivers!$C$75)</f>
        <v>-13916572.441719</v>
      </c>
      <c r="N194" s="24" t="n">
        <f aca="false">$G194*Supuestos!J$10*(Drivers!J$75/Drivers!$C$75)</f>
        <v>-14681983.9260135</v>
      </c>
      <c r="O194" s="24" t="n">
        <f aca="false">$G194*Supuestos!K$10*(Drivers!K$75/Drivers!$C$75)</f>
        <v>-14681983.9260135</v>
      </c>
      <c r="P194" s="24" t="n">
        <f aca="false">$G194*Supuestos!L$10*(Drivers!L$75/Drivers!$C$75)</f>
        <v>-14681983.9260135</v>
      </c>
      <c r="Q194" s="24" t="n">
        <f aca="false">$G194*Supuestos!M$10*(Drivers!M$75/Drivers!$C$75)</f>
        <v>-15489493.0419443</v>
      </c>
      <c r="R194" s="24" t="n">
        <f aca="false">$G194*Supuestos!N$10*(Drivers!N$75/Drivers!$C$75)</f>
        <v>-15489493.0419443</v>
      </c>
      <c r="S194" s="24" t="n">
        <f aca="false">$G194*Supuestos!O$10*(Drivers!O$75/Drivers!$C$75)</f>
        <v>-15489493.0419443</v>
      </c>
      <c r="T194" s="24" t="n">
        <f aca="false">$G194*Supuestos!P$10*(Drivers!P$75/Drivers!$C$75)</f>
        <v>-16341415.1592512</v>
      </c>
      <c r="U194" s="24" t="n">
        <f aca="false">$G194*Supuestos!Q$10*(Drivers!Q$75/Drivers!$C$75)</f>
        <v>-16341415.1592512</v>
      </c>
      <c r="V194" s="24" t="n">
        <f aca="false">$G194*Supuestos!R$10*(Drivers!R$75/Drivers!$C$75)</f>
        <v>-16341415.1592512</v>
      </c>
    </row>
    <row r="195" customFormat="false" ht="15" hidden="false" customHeight="false" outlineLevel="0" collapsed="false">
      <c r="A195" s="6" t="s">
        <v>181</v>
      </c>
      <c r="B195" s="6" t="s">
        <v>136</v>
      </c>
      <c r="C195" s="6" t="s">
        <v>140</v>
      </c>
      <c r="D195" s="6" t="s">
        <v>141</v>
      </c>
      <c r="E195" s="6" t="s">
        <v>143</v>
      </c>
      <c r="F195" s="6" t="s">
        <v>29</v>
      </c>
      <c r="G195" s="24" t="n">
        <v>-1946136.12</v>
      </c>
      <c r="H195" s="24" t="n">
        <f aca="false">$G195*Supuestos!D$10*(Drivers!D$75/Drivers!$C$75)</f>
        <v>-2062904.2872</v>
      </c>
      <c r="I195" s="24" t="n">
        <f aca="false">$G195*Supuestos!E$10*(Drivers!E$75/Drivers!$C$75)</f>
        <v>-2062904.2872</v>
      </c>
      <c r="J195" s="24" t="n">
        <f aca="false">$G195*Supuestos!F$10*(Drivers!F$75/Drivers!$C$75)</f>
        <v>-2062904.2872</v>
      </c>
      <c r="K195" s="24" t="n">
        <f aca="false">$G195*Supuestos!G$10*(Drivers!G$75/Drivers!$C$75)</f>
        <v>-2176364.022996</v>
      </c>
      <c r="L195" s="24" t="n">
        <f aca="false">$G195*Supuestos!H$10*(Drivers!H$75/Drivers!$C$75)</f>
        <v>-2176364.022996</v>
      </c>
      <c r="M195" s="24" t="n">
        <f aca="false">$G195*Supuestos!I$10*(Drivers!I$75/Drivers!$C$75)</f>
        <v>-2176364.022996</v>
      </c>
      <c r="N195" s="24" t="n">
        <f aca="false">$G195*Supuestos!J$10*(Drivers!J$75/Drivers!$C$75)</f>
        <v>-2296064.04426078</v>
      </c>
      <c r="O195" s="24" t="n">
        <f aca="false">$G195*Supuestos!K$10*(Drivers!K$75/Drivers!$C$75)</f>
        <v>-2296064.04426078</v>
      </c>
      <c r="P195" s="24" t="n">
        <f aca="false">$G195*Supuestos!L$10*(Drivers!L$75/Drivers!$C$75)</f>
        <v>-2296064.04426078</v>
      </c>
      <c r="Q195" s="24" t="n">
        <f aca="false">$G195*Supuestos!M$10*(Drivers!M$75/Drivers!$C$75)</f>
        <v>-2422347.56669512</v>
      </c>
      <c r="R195" s="24" t="n">
        <f aca="false">$G195*Supuestos!N$10*(Drivers!N$75/Drivers!$C$75)</f>
        <v>-2422347.56669512</v>
      </c>
      <c r="S195" s="24" t="n">
        <f aca="false">$G195*Supuestos!O$10*(Drivers!O$75/Drivers!$C$75)</f>
        <v>-2422347.56669512</v>
      </c>
      <c r="T195" s="24" t="n">
        <f aca="false">$G195*Supuestos!P$10*(Drivers!P$75/Drivers!$C$75)</f>
        <v>-2555576.68286335</v>
      </c>
      <c r="U195" s="24" t="n">
        <f aca="false">$G195*Supuestos!Q$10*(Drivers!Q$75/Drivers!$C$75)</f>
        <v>-2555576.68286335</v>
      </c>
      <c r="V195" s="24" t="n">
        <f aca="false">$G195*Supuestos!R$10*(Drivers!R$75/Drivers!$C$75)</f>
        <v>-2555576.68286335</v>
      </c>
    </row>
    <row r="196" customFormat="false" ht="15" hidden="false" customHeight="false" outlineLevel="0" collapsed="false">
      <c r="A196" s="6" t="s">
        <v>181</v>
      </c>
      <c r="B196" s="6" t="s">
        <v>136</v>
      </c>
      <c r="C196" s="6" t="s">
        <v>140</v>
      </c>
      <c r="D196" s="6" t="s">
        <v>141</v>
      </c>
      <c r="E196" s="6" t="s">
        <v>144</v>
      </c>
      <c r="F196" s="6" t="s">
        <v>29</v>
      </c>
      <c r="G196" s="24" t="n">
        <v>-460376.06</v>
      </c>
      <c r="H196" s="24" t="n">
        <f aca="false">$G196*Supuestos!D$10*(Drivers!D$75/Drivers!$C$75)</f>
        <v>-487998.6236</v>
      </c>
      <c r="I196" s="24" t="n">
        <f aca="false">$G196*Supuestos!E$10*(Drivers!E$75/Drivers!$C$75)</f>
        <v>-487998.6236</v>
      </c>
      <c r="J196" s="24" t="n">
        <f aca="false">$G196*Supuestos!F$10*(Drivers!F$75/Drivers!$C$75)</f>
        <v>-487998.6236</v>
      </c>
      <c r="K196" s="24" t="n">
        <f aca="false">$G196*Supuestos!G$10*(Drivers!G$75/Drivers!$C$75)</f>
        <v>-514838.547898</v>
      </c>
      <c r="L196" s="24" t="n">
        <f aca="false">$G196*Supuestos!H$10*(Drivers!H$75/Drivers!$C$75)</f>
        <v>-514838.547898</v>
      </c>
      <c r="M196" s="24" t="n">
        <f aca="false">$G196*Supuestos!I$10*(Drivers!I$75/Drivers!$C$75)</f>
        <v>-514838.547898</v>
      </c>
      <c r="N196" s="24" t="n">
        <f aca="false">$G196*Supuestos!J$10*(Drivers!J$75/Drivers!$C$75)</f>
        <v>-543154.66803239</v>
      </c>
      <c r="O196" s="24" t="n">
        <f aca="false">$G196*Supuestos!K$10*(Drivers!K$75/Drivers!$C$75)</f>
        <v>-543154.66803239</v>
      </c>
      <c r="P196" s="24" t="n">
        <f aca="false">$G196*Supuestos!L$10*(Drivers!L$75/Drivers!$C$75)</f>
        <v>-543154.66803239</v>
      </c>
      <c r="Q196" s="24" t="n">
        <f aca="false">$G196*Supuestos!M$10*(Drivers!M$75/Drivers!$C$75)</f>
        <v>-573028.174774171</v>
      </c>
      <c r="R196" s="24" t="n">
        <f aca="false">$G196*Supuestos!N$10*(Drivers!N$75/Drivers!$C$75)</f>
        <v>-573028.174774171</v>
      </c>
      <c r="S196" s="24" t="n">
        <f aca="false">$G196*Supuestos!O$10*(Drivers!O$75/Drivers!$C$75)</f>
        <v>-573028.174774171</v>
      </c>
      <c r="T196" s="24" t="n">
        <f aca="false">$G196*Supuestos!P$10*(Drivers!P$75/Drivers!$C$75)</f>
        <v>-604544.724386751</v>
      </c>
      <c r="U196" s="24" t="n">
        <f aca="false">$G196*Supuestos!Q$10*(Drivers!Q$75/Drivers!$C$75)</f>
        <v>-604544.724386751</v>
      </c>
      <c r="V196" s="24" t="n">
        <f aca="false">$G196*Supuestos!R$10*(Drivers!R$75/Drivers!$C$75)</f>
        <v>-604544.724386751</v>
      </c>
    </row>
    <row r="197" customFormat="false" ht="15" hidden="false" customHeight="false" outlineLevel="0" collapsed="false">
      <c r="A197" s="6" t="s">
        <v>181</v>
      </c>
      <c r="B197" s="6" t="s">
        <v>136</v>
      </c>
      <c r="C197" s="6" t="s">
        <v>140</v>
      </c>
      <c r="D197" s="6" t="s">
        <v>141</v>
      </c>
      <c r="E197" s="6" t="s">
        <v>145</v>
      </c>
      <c r="F197" s="6" t="s">
        <v>29</v>
      </c>
      <c r="G197" s="24" t="n">
        <v>-313892.92</v>
      </c>
      <c r="H197" s="24" t="n">
        <f aca="false">$G197*Supuestos!D$10*(Drivers!D$75/Drivers!$C$75)</f>
        <v>-332726.4952</v>
      </c>
      <c r="I197" s="24" t="n">
        <f aca="false">$G197*Supuestos!E$10*(Drivers!E$75/Drivers!$C$75)</f>
        <v>-332726.4952</v>
      </c>
      <c r="J197" s="24" t="n">
        <f aca="false">$G197*Supuestos!F$10*(Drivers!F$75/Drivers!$C$75)</f>
        <v>-332726.4952</v>
      </c>
      <c r="K197" s="24" t="n">
        <f aca="false">$G197*Supuestos!G$10*(Drivers!G$75/Drivers!$C$75)</f>
        <v>-351026.452436</v>
      </c>
      <c r="L197" s="24" t="n">
        <f aca="false">$G197*Supuestos!H$10*(Drivers!H$75/Drivers!$C$75)</f>
        <v>-351026.452436</v>
      </c>
      <c r="M197" s="24" t="n">
        <f aca="false">$G197*Supuestos!I$10*(Drivers!I$75/Drivers!$C$75)</f>
        <v>-351026.452436</v>
      </c>
      <c r="N197" s="24" t="n">
        <f aca="false">$G197*Supuestos!J$10*(Drivers!J$75/Drivers!$C$75)</f>
        <v>-370332.90731998</v>
      </c>
      <c r="O197" s="24" t="n">
        <f aca="false">$G197*Supuestos!K$10*(Drivers!K$75/Drivers!$C$75)</f>
        <v>-370332.90731998</v>
      </c>
      <c r="P197" s="24" t="n">
        <f aca="false">$G197*Supuestos!L$10*(Drivers!L$75/Drivers!$C$75)</f>
        <v>-370332.90731998</v>
      </c>
      <c r="Q197" s="24" t="n">
        <f aca="false">$G197*Supuestos!M$10*(Drivers!M$75/Drivers!$C$75)</f>
        <v>-390701.217222579</v>
      </c>
      <c r="R197" s="24" t="n">
        <f aca="false">$G197*Supuestos!N$10*(Drivers!N$75/Drivers!$C$75)</f>
        <v>-390701.217222579</v>
      </c>
      <c r="S197" s="24" t="n">
        <f aca="false">$G197*Supuestos!O$10*(Drivers!O$75/Drivers!$C$75)</f>
        <v>-390701.217222579</v>
      </c>
      <c r="T197" s="24" t="n">
        <f aca="false">$G197*Supuestos!P$10*(Drivers!P$75/Drivers!$C$75)</f>
        <v>-412189.784169821</v>
      </c>
      <c r="U197" s="24" t="n">
        <f aca="false">$G197*Supuestos!Q$10*(Drivers!Q$75/Drivers!$C$75)</f>
        <v>-412189.784169821</v>
      </c>
      <c r="V197" s="24" t="n">
        <f aca="false">$G197*Supuestos!R$10*(Drivers!R$75/Drivers!$C$75)</f>
        <v>-412189.784169821</v>
      </c>
    </row>
    <row r="198" customFormat="false" ht="15" hidden="false" customHeight="false" outlineLevel="0" collapsed="false">
      <c r="A198" s="6" t="s">
        <v>181</v>
      </c>
      <c r="B198" s="6" t="s">
        <v>136</v>
      </c>
      <c r="C198" s="6" t="s">
        <v>140</v>
      </c>
      <c r="D198" s="6" t="s">
        <v>141</v>
      </c>
      <c r="E198" s="6" t="s">
        <v>146</v>
      </c>
      <c r="F198" s="6" t="s">
        <v>29</v>
      </c>
      <c r="G198" s="24" t="n">
        <v>-596396.72</v>
      </c>
      <c r="H198" s="24" t="n">
        <f aca="false">$G198*Supuestos!D$10*(Drivers!D$75/Drivers!$C$75)</f>
        <v>-632180.5232</v>
      </c>
      <c r="I198" s="24" t="n">
        <f aca="false">$G198*Supuestos!E$10*(Drivers!E$75/Drivers!$C$75)</f>
        <v>-632180.5232</v>
      </c>
      <c r="J198" s="24" t="n">
        <f aca="false">$G198*Supuestos!F$10*(Drivers!F$75/Drivers!$C$75)</f>
        <v>-632180.5232</v>
      </c>
      <c r="K198" s="24" t="n">
        <f aca="false">$G198*Supuestos!G$10*(Drivers!G$75/Drivers!$C$75)</f>
        <v>-666950.451976</v>
      </c>
      <c r="L198" s="24" t="n">
        <f aca="false">$G198*Supuestos!H$10*(Drivers!H$75/Drivers!$C$75)</f>
        <v>-666950.451976</v>
      </c>
      <c r="M198" s="24" t="n">
        <f aca="false">$G198*Supuestos!I$10*(Drivers!I$75/Drivers!$C$75)</f>
        <v>-666950.451976</v>
      </c>
      <c r="N198" s="24" t="n">
        <f aca="false">$G198*Supuestos!J$10*(Drivers!J$75/Drivers!$C$75)</f>
        <v>-703632.72683468</v>
      </c>
      <c r="O198" s="24" t="n">
        <f aca="false">$G198*Supuestos!K$10*(Drivers!K$75/Drivers!$C$75)</f>
        <v>-703632.72683468</v>
      </c>
      <c r="P198" s="24" t="n">
        <f aca="false">$G198*Supuestos!L$10*(Drivers!L$75/Drivers!$C$75)</f>
        <v>-703632.72683468</v>
      </c>
      <c r="Q198" s="24" t="n">
        <f aca="false">$G198*Supuestos!M$10*(Drivers!M$75/Drivers!$C$75)</f>
        <v>-742332.526810587</v>
      </c>
      <c r="R198" s="24" t="n">
        <f aca="false">$G198*Supuestos!N$10*(Drivers!N$75/Drivers!$C$75)</f>
        <v>-742332.526810587</v>
      </c>
      <c r="S198" s="24" t="n">
        <f aca="false">$G198*Supuestos!O$10*(Drivers!O$75/Drivers!$C$75)</f>
        <v>-742332.526810587</v>
      </c>
      <c r="T198" s="24" t="n">
        <f aca="false">$G198*Supuestos!P$10*(Drivers!P$75/Drivers!$C$75)</f>
        <v>-783160.81578517</v>
      </c>
      <c r="U198" s="24" t="n">
        <f aca="false">$G198*Supuestos!Q$10*(Drivers!Q$75/Drivers!$C$75)</f>
        <v>-783160.81578517</v>
      </c>
      <c r="V198" s="24" t="n">
        <f aca="false">$G198*Supuestos!R$10*(Drivers!R$75/Drivers!$C$75)</f>
        <v>-783160.81578517</v>
      </c>
    </row>
    <row r="199" customFormat="false" ht="15" hidden="false" customHeight="false" outlineLevel="0" collapsed="false">
      <c r="A199" s="6" t="s">
        <v>181</v>
      </c>
      <c r="B199" s="6" t="s">
        <v>136</v>
      </c>
      <c r="C199" s="6" t="s">
        <v>140</v>
      </c>
      <c r="D199" s="6" t="s">
        <v>141</v>
      </c>
      <c r="E199" s="6" t="s">
        <v>147</v>
      </c>
      <c r="F199" s="6" t="s">
        <v>29</v>
      </c>
      <c r="G199" s="24" t="n">
        <v>-669638.12</v>
      </c>
      <c r="H199" s="24" t="n">
        <f aca="false">$G199*Supuestos!D$10*(Drivers!D$75/Drivers!$C$75)</f>
        <v>-709816.4072</v>
      </c>
      <c r="I199" s="24" t="n">
        <f aca="false">$G199*Supuestos!E$10*(Drivers!E$75/Drivers!$C$75)</f>
        <v>-709816.4072</v>
      </c>
      <c r="J199" s="24" t="n">
        <f aca="false">$G199*Supuestos!F$10*(Drivers!F$75/Drivers!$C$75)</f>
        <v>-709816.4072</v>
      </c>
      <c r="K199" s="24" t="n">
        <f aca="false">$G199*Supuestos!G$10*(Drivers!G$75/Drivers!$C$75)</f>
        <v>-748856.309596</v>
      </c>
      <c r="L199" s="24" t="n">
        <f aca="false">$G199*Supuestos!H$10*(Drivers!H$75/Drivers!$C$75)</f>
        <v>-748856.309596</v>
      </c>
      <c r="M199" s="24" t="n">
        <f aca="false">$G199*Supuestos!I$10*(Drivers!I$75/Drivers!$C$75)</f>
        <v>-748856.309596</v>
      </c>
      <c r="N199" s="24" t="n">
        <f aca="false">$G199*Supuestos!J$10*(Drivers!J$75/Drivers!$C$75)</f>
        <v>-790043.40662378</v>
      </c>
      <c r="O199" s="24" t="n">
        <f aca="false">$G199*Supuestos!K$10*(Drivers!K$75/Drivers!$C$75)</f>
        <v>-790043.40662378</v>
      </c>
      <c r="P199" s="24" t="n">
        <f aca="false">$G199*Supuestos!L$10*(Drivers!L$75/Drivers!$C$75)</f>
        <v>-790043.40662378</v>
      </c>
      <c r="Q199" s="24" t="n">
        <f aca="false">$G199*Supuestos!M$10*(Drivers!M$75/Drivers!$C$75)</f>
        <v>-833495.793988088</v>
      </c>
      <c r="R199" s="24" t="n">
        <f aca="false">$G199*Supuestos!N$10*(Drivers!N$75/Drivers!$C$75)</f>
        <v>-833495.793988088</v>
      </c>
      <c r="S199" s="24" t="n">
        <f aca="false">$G199*Supuestos!O$10*(Drivers!O$75/Drivers!$C$75)</f>
        <v>-833495.793988088</v>
      </c>
      <c r="T199" s="24" t="n">
        <f aca="false">$G199*Supuestos!P$10*(Drivers!P$75/Drivers!$C$75)</f>
        <v>-879338.062657433</v>
      </c>
      <c r="U199" s="24" t="n">
        <f aca="false">$G199*Supuestos!Q$10*(Drivers!Q$75/Drivers!$C$75)</f>
        <v>-879338.062657433</v>
      </c>
      <c r="V199" s="24" t="n">
        <f aca="false">$G199*Supuestos!R$10*(Drivers!R$75/Drivers!$C$75)</f>
        <v>-879338.062657433</v>
      </c>
    </row>
    <row r="200" customFormat="false" ht="15" hidden="false" customHeight="false" outlineLevel="0" collapsed="false">
      <c r="A200" s="6" t="s">
        <v>181</v>
      </c>
      <c r="B200" s="6" t="s">
        <v>136</v>
      </c>
      <c r="C200" s="6" t="s">
        <v>140</v>
      </c>
      <c r="D200" s="6" t="s">
        <v>141</v>
      </c>
      <c r="E200" s="6" t="s">
        <v>148</v>
      </c>
      <c r="F200" s="6" t="s">
        <v>41</v>
      </c>
      <c r="G200" s="24" t="n">
        <v>-105123.86</v>
      </c>
      <c r="H200" s="24" t="n">
        <f aca="false">0</f>
        <v>0</v>
      </c>
      <c r="I200" s="24" t="n">
        <f aca="false">0</f>
        <v>0</v>
      </c>
      <c r="J200" s="24" t="n">
        <f aca="false">0</f>
        <v>0</v>
      </c>
      <c r="K200" s="24" t="n">
        <f aca="false">0</f>
        <v>0</v>
      </c>
      <c r="L200" s="24" t="n">
        <f aca="false">0</f>
        <v>0</v>
      </c>
      <c r="M200" s="24" t="n">
        <f aca="false">0</f>
        <v>0</v>
      </c>
      <c r="N200" s="24" t="n">
        <f aca="false">0</f>
        <v>0</v>
      </c>
      <c r="O200" s="24" t="n">
        <f aca="false">0</f>
        <v>0</v>
      </c>
      <c r="P200" s="24" t="n">
        <f aca="false">0</f>
        <v>0</v>
      </c>
      <c r="Q200" s="24" t="n">
        <f aca="false">0</f>
        <v>0</v>
      </c>
      <c r="R200" s="24" t="n">
        <f aca="false">0</f>
        <v>0</v>
      </c>
      <c r="S200" s="24" t="n">
        <f aca="false">0</f>
        <v>0</v>
      </c>
      <c r="T200" s="24" t="n">
        <f aca="false">0</f>
        <v>0</v>
      </c>
      <c r="U200" s="24" t="n">
        <f aca="false">0</f>
        <v>0</v>
      </c>
      <c r="V200" s="24" t="n">
        <f aca="false">0</f>
        <v>0</v>
      </c>
    </row>
    <row r="201" customFormat="false" ht="15" hidden="false" customHeight="false" outlineLevel="0" collapsed="false">
      <c r="A201" s="6" t="s">
        <v>181</v>
      </c>
      <c r="B201" s="6" t="s">
        <v>136</v>
      </c>
      <c r="C201" s="6" t="s">
        <v>140</v>
      </c>
      <c r="D201" s="6" t="s">
        <v>151</v>
      </c>
      <c r="E201" s="6" t="s">
        <v>152</v>
      </c>
      <c r="F201" s="6" t="s">
        <v>31</v>
      </c>
      <c r="G201" s="24" t="n">
        <v>-859950</v>
      </c>
      <c r="H201" s="24" t="n">
        <f aca="false">$G201*Supuestos!D$8*(Drivers!D$75/Drivers!$C$75)</f>
        <v>-880740</v>
      </c>
      <c r="I201" s="24" t="n">
        <f aca="false">$G201*Supuestos!E$8*(Drivers!E$75/Drivers!$C$75)</f>
        <v>-902160</v>
      </c>
      <c r="J201" s="24" t="n">
        <f aca="false">$G201*Supuestos!F$8*(Drivers!F$75/Drivers!$C$75)</f>
        <v>-922950</v>
      </c>
      <c r="K201" s="24" t="n">
        <f aca="false">$G201*Supuestos!G$8*(Drivers!G$75/Drivers!$C$75)</f>
        <v>-938070</v>
      </c>
      <c r="L201" s="24" t="n">
        <f aca="false">$G201*Supuestos!H$8*(Drivers!H$75/Drivers!$C$75)</f>
        <v>-952560</v>
      </c>
      <c r="M201" s="24" t="n">
        <f aca="false">$G201*Supuestos!I$8*(Drivers!I$75/Drivers!$C$75)</f>
        <v>-967680</v>
      </c>
      <c r="N201" s="24" t="n">
        <f aca="false">$G201*Supuestos!J$8*(Drivers!J$75/Drivers!$C$75)</f>
        <v>-982800</v>
      </c>
      <c r="O201" s="24" t="n">
        <f aca="false">$G201*Supuestos!K$8*(Drivers!K$75/Drivers!$C$75)</f>
        <v>-997920</v>
      </c>
      <c r="P201" s="24" t="n">
        <f aca="false">$G201*Supuestos!L$8*(Drivers!L$75/Drivers!$C$75)</f>
        <v>-1013040</v>
      </c>
      <c r="Q201" s="24" t="n">
        <f aca="false">$G201*Supuestos!M$8*(Drivers!M$75/Drivers!$C$75)</f>
        <v>-1027530</v>
      </c>
      <c r="R201" s="24" t="n">
        <f aca="false">$G201*Supuestos!N$8*(Drivers!N$75/Drivers!$C$75)</f>
        <v>-1042650</v>
      </c>
      <c r="S201" s="24" t="n">
        <f aca="false">$G201*Supuestos!O$8*(Drivers!O$75/Drivers!$C$75)</f>
        <v>-1057770</v>
      </c>
      <c r="T201" s="24" t="n">
        <f aca="false">$G201*Supuestos!P$8*(Drivers!P$75/Drivers!$C$75)</f>
        <v>-1072260</v>
      </c>
      <c r="U201" s="24" t="n">
        <f aca="false">$G201*Supuestos!Q$8*(Drivers!Q$75/Drivers!$C$75)</f>
        <v>-1087380</v>
      </c>
      <c r="V201" s="24" t="n">
        <f aca="false">$G201*Supuestos!R$8*(Drivers!R$75/Drivers!$C$75)</f>
        <v>-1102500</v>
      </c>
    </row>
    <row r="202" customFormat="false" ht="15" hidden="false" customHeight="false" outlineLevel="0" collapsed="false">
      <c r="A202" s="6" t="s">
        <v>181</v>
      </c>
      <c r="B202" s="6" t="s">
        <v>136</v>
      </c>
      <c r="C202" s="6" t="s">
        <v>140</v>
      </c>
      <c r="D202" s="6" t="s">
        <v>153</v>
      </c>
      <c r="E202" s="6" t="s">
        <v>154</v>
      </c>
      <c r="F202" s="6" t="s">
        <v>33</v>
      </c>
      <c r="G202" s="24" t="n">
        <v>-675031.16</v>
      </c>
      <c r="H202" s="24" t="n">
        <f aca="false">$G202*Supuestos!D$6*(Drivers!D$75/Drivers!$C$75)</f>
        <v>-690556.87668</v>
      </c>
      <c r="I202" s="24" t="n">
        <f aca="false">$G202*Supuestos!E$6*(Drivers!E$75/Drivers!$C$75)</f>
        <v>-706439.68484364</v>
      </c>
      <c r="J202" s="24" t="n">
        <f aca="false">$G202*Supuestos!F$6*(Drivers!F$75/Drivers!$C$75)</f>
        <v>-722687.797595044</v>
      </c>
      <c r="K202" s="24" t="n">
        <f aca="false">$G202*Supuestos!G$6*(Drivers!G$75/Drivers!$C$75)</f>
        <v>-736418.865749349</v>
      </c>
      <c r="L202" s="24" t="n">
        <f aca="false">$G202*Supuestos!H$6*(Drivers!H$75/Drivers!$C$75)</f>
        <v>-750410.824198587</v>
      </c>
      <c r="M202" s="24" t="n">
        <f aca="false">$G202*Supuestos!I$6*(Drivers!I$75/Drivers!$C$75)</f>
        <v>-764668.62985836</v>
      </c>
      <c r="N202" s="24" t="n">
        <f aca="false">$G202*Supuestos!J$6*(Drivers!J$75/Drivers!$C$75)</f>
        <v>-779197.333825669</v>
      </c>
      <c r="O202" s="24" t="n">
        <f aca="false">$G202*Supuestos!K$6*(Drivers!K$75/Drivers!$C$75)</f>
        <v>-794002.083168356</v>
      </c>
      <c r="P202" s="24" t="n">
        <f aca="false">$G202*Supuestos!L$6*(Drivers!L$75/Drivers!$C$75)</f>
        <v>-809088.122748555</v>
      </c>
      <c r="Q202" s="24" t="n">
        <f aca="false">$G202*Supuestos!M$6*(Drivers!M$75/Drivers!$C$75)</f>
        <v>-824460.797080777</v>
      </c>
      <c r="R202" s="24" t="n">
        <f aca="false">$G202*Supuestos!N$6*(Drivers!N$75/Drivers!$C$75)</f>
        <v>-840125.552225312</v>
      </c>
      <c r="S202" s="24" t="n">
        <f aca="false">$G202*Supuestos!O$6*(Drivers!O$75/Drivers!$C$75)</f>
        <v>-856087.937717593</v>
      </c>
      <c r="T202" s="24" t="n">
        <f aca="false">$G202*Supuestos!P$6*(Drivers!P$75/Drivers!$C$75)</f>
        <v>-872353.608534227</v>
      </c>
      <c r="U202" s="24" t="n">
        <f aca="false">$G202*Supuestos!Q$6*(Drivers!Q$75/Drivers!$C$75)</f>
        <v>-888928.327096377</v>
      </c>
      <c r="V202" s="24" t="n">
        <f aca="false">$G202*Supuestos!R$6*(Drivers!R$75/Drivers!$C$75)</f>
        <v>-905817.965311209</v>
      </c>
    </row>
    <row r="203" customFormat="false" ht="15" hidden="false" customHeight="false" outlineLevel="0" collapsed="false">
      <c r="A203" s="6" t="s">
        <v>181</v>
      </c>
      <c r="B203" s="6" t="s">
        <v>136</v>
      </c>
      <c r="C203" s="6" t="s">
        <v>140</v>
      </c>
      <c r="D203" s="6" t="s">
        <v>153</v>
      </c>
      <c r="E203" s="6" t="s">
        <v>155</v>
      </c>
      <c r="F203" s="6" t="s">
        <v>33</v>
      </c>
      <c r="G203" s="24" t="n">
        <v>-173579.37</v>
      </c>
      <c r="H203" s="24" t="n">
        <f aca="false">$G203*Supuestos!D$6*(Drivers!D$75/Drivers!$C$75)</f>
        <v>-177571.69551</v>
      </c>
      <c r="I203" s="24" t="n">
        <f aca="false">$G203*Supuestos!E$6*(Drivers!E$75/Drivers!$C$75)</f>
        <v>-181655.84450673</v>
      </c>
      <c r="J203" s="24" t="n">
        <f aca="false">$G203*Supuestos!F$6*(Drivers!F$75/Drivers!$C$75)</f>
        <v>-185833.928930385</v>
      </c>
      <c r="K203" s="24" t="n">
        <f aca="false">$G203*Supuestos!G$6*(Drivers!G$75/Drivers!$C$75)</f>
        <v>-189364.773580062</v>
      </c>
      <c r="L203" s="24" t="n">
        <f aca="false">$G203*Supuestos!H$6*(Drivers!H$75/Drivers!$C$75)</f>
        <v>-192962.704278083</v>
      </c>
      <c r="M203" s="24" t="n">
        <f aca="false">$G203*Supuestos!I$6*(Drivers!I$75/Drivers!$C$75)</f>
        <v>-196628.995659367</v>
      </c>
      <c r="N203" s="24" t="n">
        <f aca="false">$G203*Supuestos!J$6*(Drivers!J$75/Drivers!$C$75)</f>
        <v>-200364.946576895</v>
      </c>
      <c r="O203" s="24" t="n">
        <f aca="false">$G203*Supuestos!K$6*(Drivers!K$75/Drivers!$C$75)</f>
        <v>-204171.880561856</v>
      </c>
      <c r="P203" s="24" t="n">
        <f aca="false">$G203*Supuestos!L$6*(Drivers!L$75/Drivers!$C$75)</f>
        <v>-208051.146292531</v>
      </c>
      <c r="Q203" s="24" t="n">
        <f aca="false">$G203*Supuestos!M$6*(Drivers!M$75/Drivers!$C$75)</f>
        <v>-212004.118072089</v>
      </c>
      <c r="R203" s="24" t="n">
        <f aca="false">$G203*Supuestos!N$6*(Drivers!N$75/Drivers!$C$75)</f>
        <v>-216032.196315459</v>
      </c>
      <c r="S203" s="24" t="n">
        <f aca="false">$G203*Supuestos!O$6*(Drivers!O$75/Drivers!$C$75)</f>
        <v>-220136.808045452</v>
      </c>
      <c r="T203" s="24" t="n">
        <f aca="false">$G203*Supuestos!P$6*(Drivers!P$75/Drivers!$C$75)</f>
        <v>-224319.407398316</v>
      </c>
      <c r="U203" s="24" t="n">
        <f aca="false">$G203*Supuestos!Q$6*(Drivers!Q$75/Drivers!$C$75)</f>
        <v>-228581.476138884</v>
      </c>
      <c r="V203" s="24" t="n">
        <f aca="false">$G203*Supuestos!R$6*(Drivers!R$75/Drivers!$C$75)</f>
        <v>-232924.524185523</v>
      </c>
    </row>
    <row r="204" customFormat="false" ht="15" hidden="false" customHeight="false" outlineLevel="0" collapsed="false">
      <c r="A204" s="6" t="s">
        <v>181</v>
      </c>
      <c r="B204" s="6" t="s">
        <v>136</v>
      </c>
      <c r="C204" s="6" t="s">
        <v>140</v>
      </c>
      <c r="D204" s="6" t="s">
        <v>153</v>
      </c>
      <c r="E204" s="6" t="s">
        <v>156</v>
      </c>
      <c r="F204" s="6" t="s">
        <v>33</v>
      </c>
      <c r="G204" s="24" t="n">
        <v>-115719.81</v>
      </c>
      <c r="H204" s="24" t="n">
        <f aca="false">$G204*Supuestos!D$6*(Drivers!D$75/Drivers!$C$75)</f>
        <v>-118381.36563</v>
      </c>
      <c r="I204" s="24" t="n">
        <f aca="false">$G204*Supuestos!E$6*(Drivers!E$75/Drivers!$C$75)</f>
        <v>-121104.13703949</v>
      </c>
      <c r="J204" s="24" t="n">
        <f aca="false">$G204*Supuestos!F$6*(Drivers!F$75/Drivers!$C$75)</f>
        <v>-123889.532191398</v>
      </c>
      <c r="K204" s="24" t="n">
        <f aca="false">$G204*Supuestos!G$6*(Drivers!G$75/Drivers!$C$75)</f>
        <v>-126243.433303035</v>
      </c>
      <c r="L204" s="24" t="n">
        <f aca="false">$G204*Supuestos!H$6*(Drivers!H$75/Drivers!$C$75)</f>
        <v>-128642.058535792</v>
      </c>
      <c r="M204" s="24" t="n">
        <f aca="false">$G204*Supuestos!I$6*(Drivers!I$75/Drivers!$C$75)</f>
        <v>-131086.257647972</v>
      </c>
      <c r="N204" s="24" t="n">
        <f aca="false">$G204*Supuestos!J$6*(Drivers!J$75/Drivers!$C$75)</f>
        <v>-133576.896543284</v>
      </c>
      <c r="O204" s="24" t="n">
        <f aca="false">$G204*Supuestos!K$6*(Drivers!K$75/Drivers!$C$75)</f>
        <v>-136114.857577606</v>
      </c>
      <c r="P204" s="24" t="n">
        <f aca="false">$G204*Supuestos!L$6*(Drivers!L$75/Drivers!$C$75)</f>
        <v>-138701.039871581</v>
      </c>
      <c r="Q204" s="24" t="n">
        <f aca="false">$G204*Supuestos!M$6*(Drivers!M$75/Drivers!$C$75)</f>
        <v>-141336.359629141</v>
      </c>
      <c r="R204" s="24" t="n">
        <f aca="false">$G204*Supuestos!N$6*(Drivers!N$75/Drivers!$C$75)</f>
        <v>-144021.750462095</v>
      </c>
      <c r="S204" s="24" t="n">
        <f aca="false">$G204*Supuestos!O$6*(Drivers!O$75/Drivers!$C$75)</f>
        <v>-146758.163720874</v>
      </c>
      <c r="T204" s="24" t="n">
        <f aca="false">$G204*Supuestos!P$6*(Drivers!P$75/Drivers!$C$75)</f>
        <v>-149546.568831571</v>
      </c>
      <c r="U204" s="24" t="n">
        <f aca="false">$G204*Supuestos!Q$6*(Drivers!Q$75/Drivers!$C$75)</f>
        <v>-152387.953639371</v>
      </c>
      <c r="V204" s="24" t="n">
        <f aca="false">$G204*Supuestos!R$6*(Drivers!R$75/Drivers!$C$75)</f>
        <v>-155283.324758519</v>
      </c>
    </row>
    <row r="205" customFormat="false" ht="15" hidden="false" customHeight="false" outlineLevel="0" collapsed="false">
      <c r="A205" s="6" t="s">
        <v>181</v>
      </c>
      <c r="B205" s="6" t="s">
        <v>136</v>
      </c>
      <c r="C205" s="6" t="s">
        <v>167</v>
      </c>
      <c r="D205" s="6" t="s">
        <v>168</v>
      </c>
      <c r="E205" s="6" t="s">
        <v>169</v>
      </c>
      <c r="F205" s="6" t="s">
        <v>27</v>
      </c>
      <c r="G205" s="24" t="n">
        <v>-590119.76</v>
      </c>
      <c r="H205" s="24" t="n">
        <f aca="false">$G205*Supuestos!D$6*(Drivers!D$72/100)*(Drivers!D$73/Drivers!$C$73)*(Drivers!D$74/Drivers!$C$74)*Supuestos!D$13</f>
        <v>-609729.4396248</v>
      </c>
      <c r="I205" s="24" t="n">
        <f aca="false">$G205*Supuestos!E$6*(Drivers!E$72/100)*(Drivers!E$73/Drivers!$C$73)*(Drivers!E$74/Drivers!$C$74)*Supuestos!E$13</f>
        <v>-617577.44231304</v>
      </c>
      <c r="J205" s="24" t="n">
        <f aca="false">$G205*Supuestos!F$6*(Drivers!F$72/100)*(Drivers!F$73/Drivers!$C$73)*(Drivers!F$74/Drivers!$C$74)*Supuestos!F$13</f>
        <v>-612828.271781653</v>
      </c>
      <c r="K205" s="24" t="n">
        <f aca="false">$G205*Supuestos!G$6*(Drivers!G$72/100)*(Drivers!G$73/Drivers!$C$73)*(Drivers!G$74/Drivers!$C$74)*Supuestos!G$13</f>
        <v>-618034.153183179</v>
      </c>
      <c r="L205" s="24" t="n">
        <f aca="false">$G205*Supuestos!H$6*(Drivers!H$72/100)*(Drivers!H$73/Drivers!$C$73)*(Drivers!H$74/Drivers!$C$74)*Supuestos!H$13</f>
        <v>-636336.977115468</v>
      </c>
      <c r="M205" s="24" t="n">
        <f aca="false">$G205*Supuestos!I$6*(Drivers!I$72/100)*(Drivers!I$73/Drivers!$C$73)*(Drivers!I$74/Drivers!$C$74)*Supuestos!I$13</f>
        <v>-688536.289764002</v>
      </c>
      <c r="N205" s="24" t="n">
        <f aca="false">$G205*Supuestos!J$6*(Drivers!J$72/100)*(Drivers!J$73/Drivers!$C$73)*(Drivers!J$74/Drivers!$C$74)*Supuestos!J$13</f>
        <v>-687994.819477877</v>
      </c>
      <c r="O205" s="24" t="n">
        <f aca="false">$G205*Supuestos!K$6*(Drivers!K$72/100)*(Drivers!K$73/Drivers!$C$73)*(Drivers!K$74/Drivers!$C$74)*Supuestos!K$13</f>
        <v>-694125.466384115</v>
      </c>
      <c r="P205" s="24" t="n">
        <f aca="false">$G205*Supuestos!L$6*(Drivers!L$72/100)*(Drivers!L$73/Drivers!$C$73)*(Drivers!L$74/Drivers!$C$74)*Supuestos!L$13</f>
        <v>-700240.711742959</v>
      </c>
      <c r="Q205" s="24" t="n">
        <f aca="false">$G205*Supuestos!M$6*(Drivers!M$72/100)*(Drivers!M$73/Drivers!$C$73)*(Drivers!M$74/Drivers!$C$74)*Supuestos!M$13</f>
        <v>-720752.813400076</v>
      </c>
      <c r="R205" s="24" t="n">
        <f aca="false">$G205*Supuestos!N$6*(Drivers!N$72/100)*(Drivers!N$73/Drivers!$C$73)*(Drivers!N$74/Drivers!$C$74)*Supuestos!N$13</f>
        <v>-741791.588023224</v>
      </c>
      <c r="S205" s="24" t="n">
        <f aca="false">$G205*Supuestos!O$6*(Drivers!O$72/100)*(Drivers!O$73/Drivers!$C$73)*(Drivers!O$74/Drivers!$C$74)*Supuestos!O$13</f>
        <v>-763369.644316415</v>
      </c>
      <c r="T205" s="24" t="n">
        <f aca="false">$G205*Supuestos!P$6*(Drivers!P$72/100)*(Drivers!P$73/Drivers!$C$73)*(Drivers!P$74/Drivers!$C$74)*Supuestos!P$13</f>
        <v>-770247.455131383</v>
      </c>
      <c r="U205" s="24" t="n">
        <f aca="false">$G205*Supuestos!Q$6*(Drivers!Q$72/100)*(Drivers!Q$73/Drivers!$C$73)*(Drivers!Q$74/Drivers!$C$74)*Supuestos!Q$13</f>
        <v>-777111.046315722</v>
      </c>
      <c r="V205" s="24" t="n">
        <f aca="false">$G205*Supuestos!R$6*(Drivers!R$72/100)*(Drivers!R$73/Drivers!$C$73)*(Drivers!R$74/Drivers!$C$74)*Supuestos!R$13</f>
        <v>-768119.871509849</v>
      </c>
    </row>
    <row r="206" customFormat="false" ht="15" hidden="false" customHeight="false" outlineLevel="0" collapsed="false">
      <c r="A206" s="6" t="s">
        <v>184</v>
      </c>
      <c r="B206" s="6" t="s">
        <v>136</v>
      </c>
      <c r="C206" s="6" t="s">
        <v>185</v>
      </c>
      <c r="D206" s="6" t="s">
        <v>186</v>
      </c>
      <c r="E206" s="6" t="s">
        <v>187</v>
      </c>
      <c r="F206" s="6" t="s">
        <v>43</v>
      </c>
      <c r="G206" s="24" t="n">
        <v>-83943946.28</v>
      </c>
      <c r="H206" s="24" t="n">
        <f aca="false">$G206*Supuestos!D$10</f>
        <v>-88980583.0568</v>
      </c>
      <c r="I206" s="24" t="n">
        <f aca="false">$G206*Supuestos!E$10</f>
        <v>-88980583.0568</v>
      </c>
      <c r="J206" s="24" t="n">
        <f aca="false">$G206*Supuestos!F$10</f>
        <v>-88980583.0568</v>
      </c>
      <c r="K206" s="24" t="n">
        <f aca="false">$G206*Supuestos!G$10</f>
        <v>-93874515.124924</v>
      </c>
      <c r="L206" s="24" t="n">
        <f aca="false">$G206*Supuestos!H$10</f>
        <v>-93874515.124924</v>
      </c>
      <c r="M206" s="24" t="n">
        <f aca="false">$G206*Supuestos!I$10</f>
        <v>-93874515.124924</v>
      </c>
      <c r="N206" s="24" t="n">
        <f aca="false">$G206*Supuestos!J$10</f>
        <v>-99037613.4567948</v>
      </c>
      <c r="O206" s="24" t="n">
        <f aca="false">$G206*Supuestos!K$10</f>
        <v>-99037613.4567948</v>
      </c>
      <c r="P206" s="24" t="n">
        <f aca="false">$G206*Supuestos!L$10</f>
        <v>-99037613.4567948</v>
      </c>
      <c r="Q206" s="24" t="n">
        <f aca="false">$G206*Supuestos!M$10</f>
        <v>-104484682.196919</v>
      </c>
      <c r="R206" s="24" t="n">
        <f aca="false">$G206*Supuestos!N$10</f>
        <v>-104484682.196919</v>
      </c>
      <c r="S206" s="24" t="n">
        <f aca="false">$G206*Supuestos!O$10</f>
        <v>-104484682.196919</v>
      </c>
      <c r="T206" s="24" t="n">
        <f aca="false">$G206*Supuestos!P$10</f>
        <v>-110231339.717749</v>
      </c>
      <c r="U206" s="24" t="n">
        <f aca="false">$G206*Supuestos!Q$10</f>
        <v>-110231339.717749</v>
      </c>
      <c r="V206" s="24" t="n">
        <f aca="false">$G206*Supuestos!R$10</f>
        <v>-110231339.717749</v>
      </c>
    </row>
    <row r="207" customFormat="false" ht="15" hidden="false" customHeight="false" outlineLevel="0" collapsed="false">
      <c r="A207" s="6" t="s">
        <v>184</v>
      </c>
      <c r="B207" s="6" t="s">
        <v>136</v>
      </c>
      <c r="C207" s="6" t="s">
        <v>185</v>
      </c>
      <c r="D207" s="6" t="s">
        <v>188</v>
      </c>
      <c r="E207" s="6" t="s">
        <v>189</v>
      </c>
      <c r="F207" s="6" t="s">
        <v>47</v>
      </c>
      <c r="G207" s="24" t="n">
        <v>-5370542.48</v>
      </c>
      <c r="H207" s="24" t="n">
        <f aca="false">$G207*Supuestos!D$6</f>
        <v>-5494064.95704</v>
      </c>
      <c r="I207" s="24" t="n">
        <f aca="false">$G207*Supuestos!E$6</f>
        <v>-5620428.45105192</v>
      </c>
      <c r="J207" s="24" t="n">
        <f aca="false">$G207*Supuestos!F$6</f>
        <v>-5749698.30542611</v>
      </c>
      <c r="K207" s="24" t="n">
        <f aca="false">$G207*Supuestos!G$6</f>
        <v>-5858942.57322921</v>
      </c>
      <c r="L207" s="24" t="n">
        <f aca="false">$G207*Supuestos!H$6</f>
        <v>-5970262.48212056</v>
      </c>
      <c r="M207" s="24" t="n">
        <f aca="false">$G207*Supuestos!I$6</f>
        <v>-6083697.46928085</v>
      </c>
      <c r="N207" s="24" t="n">
        <f aca="false">$G207*Supuestos!J$6</f>
        <v>-6199287.72119719</v>
      </c>
      <c r="O207" s="24" t="n">
        <f aca="false">$G207*Supuestos!K$6</f>
        <v>-6317074.18789993</v>
      </c>
      <c r="P207" s="24" t="n">
        <f aca="false">$G207*Supuestos!L$6</f>
        <v>-6437098.59747003</v>
      </c>
      <c r="Q207" s="24" t="n">
        <f aca="false">$G207*Supuestos!M$6</f>
        <v>-6559403.47082196</v>
      </c>
      <c r="R207" s="24" t="n">
        <f aca="false">$G207*Supuestos!N$6</f>
        <v>-6684032.13676758</v>
      </c>
      <c r="S207" s="24" t="n">
        <f aca="false">$G207*Supuestos!O$6</f>
        <v>-6811028.74736616</v>
      </c>
      <c r="T207" s="24" t="n">
        <f aca="false">$G207*Supuestos!P$6</f>
        <v>-6940438.29356612</v>
      </c>
      <c r="U207" s="24" t="n">
        <f aca="false">$G207*Supuestos!Q$6</f>
        <v>-7072306.62114387</v>
      </c>
      <c r="V207" s="24" t="n">
        <f aca="false">$G207*Supuestos!R$6</f>
        <v>-7206680.44694561</v>
      </c>
    </row>
    <row r="208" customFormat="false" ht="15" hidden="false" customHeight="false" outlineLevel="0" collapsed="false">
      <c r="A208" s="6" t="s">
        <v>184</v>
      </c>
      <c r="B208" s="6" t="s">
        <v>136</v>
      </c>
      <c r="C208" s="6" t="s">
        <v>185</v>
      </c>
      <c r="D208" s="6" t="s">
        <v>190</v>
      </c>
      <c r="E208" s="6" t="s">
        <v>191</v>
      </c>
      <c r="F208" s="6" t="s">
        <v>47</v>
      </c>
      <c r="G208" s="24" t="n">
        <v>-7160723.65</v>
      </c>
      <c r="H208" s="24" t="n">
        <f aca="false">$G208*Supuestos!D$6</f>
        <v>-7325420.29395</v>
      </c>
      <c r="I208" s="24" t="n">
        <f aca="false">$G208*Supuestos!E$6</f>
        <v>-7493904.96071085</v>
      </c>
      <c r="J208" s="24" t="n">
        <f aca="false">$G208*Supuestos!F$6</f>
        <v>-7666264.7748072</v>
      </c>
      <c r="K208" s="24" t="n">
        <f aca="false">$G208*Supuestos!G$6</f>
        <v>-7811923.80552853</v>
      </c>
      <c r="L208" s="24" t="n">
        <f aca="false">$G208*Supuestos!H$6</f>
        <v>-7960350.35783357</v>
      </c>
      <c r="M208" s="24" t="n">
        <f aca="false">$G208*Supuestos!I$6</f>
        <v>-8111597.01463241</v>
      </c>
      <c r="N208" s="24" t="n">
        <f aca="false">$G208*Supuestos!J$6</f>
        <v>-8265717.35791043</v>
      </c>
      <c r="O208" s="24" t="n">
        <f aca="false">$G208*Supuestos!K$6</f>
        <v>-8422765.98771072</v>
      </c>
      <c r="P208" s="24" t="n">
        <f aca="false">$G208*Supuestos!L$6</f>
        <v>-8582798.54147723</v>
      </c>
      <c r="Q208" s="24" t="n">
        <f aca="false">$G208*Supuestos!M$6</f>
        <v>-8745871.71376529</v>
      </c>
      <c r="R208" s="24" t="n">
        <f aca="false">$G208*Supuestos!N$6</f>
        <v>-8912043.27632683</v>
      </c>
      <c r="S208" s="24" t="n">
        <f aca="false">$G208*Supuestos!O$6</f>
        <v>-9081372.09857704</v>
      </c>
      <c r="T208" s="24" t="n">
        <f aca="false">$G208*Supuestos!P$6</f>
        <v>-9253918.16845</v>
      </c>
      <c r="U208" s="24" t="n">
        <f aca="false">$G208*Supuestos!Q$6</f>
        <v>-9429742.61365055</v>
      </c>
      <c r="V208" s="24" t="n">
        <f aca="false">$G208*Supuestos!R$6</f>
        <v>-9608907.72330991</v>
      </c>
    </row>
    <row r="209" customFormat="false" ht="15" hidden="false" customHeight="false" outlineLevel="0" collapsed="false">
      <c r="A209" s="6" t="s">
        <v>184</v>
      </c>
      <c r="B209" s="6" t="s">
        <v>136</v>
      </c>
      <c r="C209" s="6" t="s">
        <v>185</v>
      </c>
      <c r="D209" s="6" t="s">
        <v>192</v>
      </c>
      <c r="E209" s="6" t="s">
        <v>193</v>
      </c>
      <c r="F209" s="6" t="s">
        <v>47</v>
      </c>
      <c r="G209" s="24" t="n">
        <v>-5852944.49</v>
      </c>
      <c r="H209" s="24" t="n">
        <f aca="false">$G209*Supuestos!D$6</f>
        <v>-5987562.21327</v>
      </c>
      <c r="I209" s="24" t="n">
        <f aca="false">$G209*Supuestos!E$6</f>
        <v>-6125276.14417521</v>
      </c>
      <c r="J209" s="24" t="n">
        <f aca="false">$G209*Supuestos!F$6</f>
        <v>-6266157.49549124</v>
      </c>
      <c r="K209" s="24" t="n">
        <f aca="false">$G209*Supuestos!G$6</f>
        <v>-6385214.48790557</v>
      </c>
      <c r="L209" s="24" t="n">
        <f aca="false">$G209*Supuestos!H$6</f>
        <v>-6506533.56317578</v>
      </c>
      <c r="M209" s="24" t="n">
        <f aca="false">$G209*Supuestos!I$6</f>
        <v>-6630157.70087611</v>
      </c>
      <c r="N209" s="24" t="n">
        <f aca="false">$G209*Supuestos!J$6</f>
        <v>-6756130.69719276</v>
      </c>
      <c r="O209" s="24" t="n">
        <f aca="false">$G209*Supuestos!K$6</f>
        <v>-6884497.18043942</v>
      </c>
      <c r="P209" s="24" t="n">
        <f aca="false">$G209*Supuestos!L$6</f>
        <v>-7015302.62686777</v>
      </c>
      <c r="Q209" s="24" t="n">
        <f aca="false">$G209*Supuestos!M$6</f>
        <v>-7148593.37677826</v>
      </c>
      <c r="R209" s="24" t="n">
        <f aca="false">$G209*Supuestos!N$6</f>
        <v>-7284416.65093704</v>
      </c>
      <c r="S209" s="24" t="n">
        <f aca="false">$G209*Supuestos!O$6</f>
        <v>-7422820.56730485</v>
      </c>
      <c r="T209" s="24" t="n">
        <f aca="false">$G209*Supuestos!P$6</f>
        <v>-7563854.15808364</v>
      </c>
      <c r="U209" s="24" t="n">
        <f aca="false">$G209*Supuestos!Q$6</f>
        <v>-7707567.38708723</v>
      </c>
      <c r="V209" s="24" t="n">
        <f aca="false">$G209*Supuestos!R$6</f>
        <v>-7854011.16744188</v>
      </c>
    </row>
    <row r="210" customFormat="false" ht="15" hidden="false" customHeight="false" outlineLevel="0" collapsed="false">
      <c r="A210" s="6" t="s">
        <v>184</v>
      </c>
      <c r="B210" s="6" t="s">
        <v>136</v>
      </c>
      <c r="C210" s="6" t="s">
        <v>185</v>
      </c>
      <c r="D210" s="6" t="s">
        <v>194</v>
      </c>
      <c r="E210" s="6" t="s">
        <v>195</v>
      </c>
      <c r="F210" s="6" t="s">
        <v>45</v>
      </c>
      <c r="G210" s="24" t="n">
        <v>-5460000</v>
      </c>
      <c r="H210" s="24" t="n">
        <f aca="false">$G210*Supuestos!D$8</f>
        <v>-5592000</v>
      </c>
      <c r="I210" s="24" t="n">
        <f aca="false">$G210*Supuestos!E$8</f>
        <v>-5728000</v>
      </c>
      <c r="J210" s="24" t="n">
        <f aca="false">$G210*Supuestos!F$8</f>
        <v>-5860000</v>
      </c>
      <c r="K210" s="24" t="n">
        <f aca="false">$G210*Supuestos!G$8</f>
        <v>-5956000</v>
      </c>
      <c r="L210" s="24" t="n">
        <f aca="false">$G210*Supuestos!H$8</f>
        <v>-6048000</v>
      </c>
      <c r="M210" s="24" t="n">
        <f aca="false">$G210*Supuestos!I$8</f>
        <v>-6144000</v>
      </c>
      <c r="N210" s="24" t="n">
        <f aca="false">$G210*Supuestos!J$8</f>
        <v>-6240000</v>
      </c>
      <c r="O210" s="24" t="n">
        <f aca="false">$G210*Supuestos!K$8</f>
        <v>-6336000</v>
      </c>
      <c r="P210" s="24" t="n">
        <f aca="false">$G210*Supuestos!L$8</f>
        <v>-6432000</v>
      </c>
      <c r="Q210" s="24" t="n">
        <f aca="false">$G210*Supuestos!M$8</f>
        <v>-6524000</v>
      </c>
      <c r="R210" s="24" t="n">
        <f aca="false">$G210*Supuestos!N$8</f>
        <v>-6620000</v>
      </c>
      <c r="S210" s="24" t="n">
        <f aca="false">$G210*Supuestos!O$8</f>
        <v>-6716000</v>
      </c>
      <c r="T210" s="24" t="n">
        <f aca="false">$G210*Supuestos!P$8</f>
        <v>-6808000</v>
      </c>
      <c r="U210" s="24" t="n">
        <f aca="false">$G210*Supuestos!Q$8</f>
        <v>-6904000</v>
      </c>
      <c r="V210" s="24" t="n">
        <f aca="false">$G210*Supuestos!R$8</f>
        <v>-7000000</v>
      </c>
    </row>
    <row r="211" customFormat="false" ht="15" hidden="false" customHeight="false" outlineLevel="0" collapsed="false">
      <c r="A211" s="6" t="s">
        <v>184</v>
      </c>
      <c r="B211" s="6" t="s">
        <v>136</v>
      </c>
      <c r="C211" s="6" t="s">
        <v>185</v>
      </c>
      <c r="D211" s="6" t="s">
        <v>194</v>
      </c>
      <c r="E211" s="6" t="s">
        <v>196</v>
      </c>
      <c r="F211" s="6" t="s">
        <v>47</v>
      </c>
      <c r="G211" s="24" t="n">
        <v>-3580362</v>
      </c>
      <c r="H211" s="24" t="n">
        <f aca="false">$G211*Supuestos!D$6</f>
        <v>-3662710.326</v>
      </c>
      <c r="I211" s="24" t="n">
        <f aca="false">$G211*Supuestos!E$6</f>
        <v>-3746952.663498</v>
      </c>
      <c r="J211" s="24" t="n">
        <f aca="false">$G211*Supuestos!F$6</f>
        <v>-3833132.57475845</v>
      </c>
      <c r="K211" s="24" t="n">
        <f aca="false">$G211*Supuestos!G$6</f>
        <v>-3905962.09367886</v>
      </c>
      <c r="L211" s="24" t="n">
        <f aca="false">$G211*Supuestos!H$6</f>
        <v>-3980175.37345876</v>
      </c>
      <c r="M211" s="24" t="n">
        <f aca="false">$G211*Supuestos!I$6</f>
        <v>-4055798.70555448</v>
      </c>
      <c r="N211" s="24" t="n">
        <f aca="false">$G211*Supuestos!J$6</f>
        <v>-4132858.88096001</v>
      </c>
      <c r="O211" s="24" t="n">
        <f aca="false">$G211*Supuestos!K$6</f>
        <v>-4211383.19969825</v>
      </c>
      <c r="P211" s="24" t="n">
        <f aca="false">$G211*Supuestos!L$6</f>
        <v>-4291399.48049252</v>
      </c>
      <c r="Q211" s="24" t="n">
        <f aca="false">$G211*Supuestos!M$6</f>
        <v>-4372936.07062187</v>
      </c>
      <c r="R211" s="24" t="n">
        <f aca="false">$G211*Supuestos!N$6</f>
        <v>-4456021.85596369</v>
      </c>
      <c r="S211" s="24" t="n">
        <f aca="false">$G211*Supuestos!O$6</f>
        <v>-4540686.271227</v>
      </c>
      <c r="T211" s="24" t="n">
        <f aca="false">$G211*Supuestos!P$6</f>
        <v>-4626959.31038031</v>
      </c>
      <c r="U211" s="24" t="n">
        <f aca="false">$G211*Supuestos!Q$6</f>
        <v>-4714871.53727754</v>
      </c>
      <c r="V211" s="24" t="n">
        <f aca="false">$G211*Supuestos!R$6</f>
        <v>-4804454.09648581</v>
      </c>
    </row>
    <row r="212" customFormat="false" ht="15" hidden="false" customHeight="false" outlineLevel="0" collapsed="false">
      <c r="A212" s="6" t="s">
        <v>184</v>
      </c>
      <c r="B212" s="6" t="s">
        <v>136</v>
      </c>
      <c r="C212" s="6" t="s">
        <v>197</v>
      </c>
      <c r="D212" s="6" t="s">
        <v>198</v>
      </c>
      <c r="E212" s="6" t="s">
        <v>199</v>
      </c>
      <c r="F212" s="6" t="s">
        <v>49</v>
      </c>
      <c r="G212" s="24" t="n">
        <v>-2500000</v>
      </c>
      <c r="H212" s="24" t="n">
        <f aca="false">$G212</f>
        <v>-2500000</v>
      </c>
      <c r="I212" s="24" t="n">
        <f aca="false">$G212</f>
        <v>-2500000</v>
      </c>
      <c r="J212" s="24" t="n">
        <f aca="false">$G212</f>
        <v>-2500000</v>
      </c>
      <c r="K212" s="24" t="n">
        <f aca="false">$G212</f>
        <v>-2500000</v>
      </c>
      <c r="L212" s="24" t="n">
        <f aca="false">$G212</f>
        <v>-2500000</v>
      </c>
      <c r="M212" s="24" t="n">
        <f aca="false">$G212</f>
        <v>-2500000</v>
      </c>
      <c r="N212" s="24" t="n">
        <f aca="false">$G212</f>
        <v>-2500000</v>
      </c>
      <c r="O212" s="24" t="n">
        <f aca="false">$G212</f>
        <v>-2500000</v>
      </c>
      <c r="P212" s="24" t="n">
        <f aca="false">$G212</f>
        <v>-2500000</v>
      </c>
      <c r="Q212" s="24" t="n">
        <f aca="false">$G212</f>
        <v>-2500000</v>
      </c>
      <c r="R212" s="24" t="n">
        <f aca="false">$G212</f>
        <v>-2500000</v>
      </c>
      <c r="S212" s="24" t="n">
        <f aca="false">$G212</f>
        <v>-2500000</v>
      </c>
      <c r="T212" s="24" t="n">
        <f aca="false">$G212</f>
        <v>-2500000</v>
      </c>
      <c r="U212" s="24" t="n">
        <f aca="false">$G212</f>
        <v>-2500000</v>
      </c>
      <c r="V212" s="24" t="n">
        <f aca="false">$G212</f>
        <v>-2500000</v>
      </c>
    </row>
    <row r="213" customFormat="false" ht="15" hidden="false" customHeight="false" outlineLevel="0" collapsed="false">
      <c r="A213" s="6" t="s">
        <v>184</v>
      </c>
      <c r="B213" s="6" t="s">
        <v>136</v>
      </c>
      <c r="C213" s="6" t="s">
        <v>197</v>
      </c>
      <c r="D213" s="6" t="s">
        <v>200</v>
      </c>
      <c r="E213" s="6" t="s">
        <v>201</v>
      </c>
      <c r="F213" s="6" t="s">
        <v>47</v>
      </c>
      <c r="G213" s="24" t="n">
        <v>-12151378.58</v>
      </c>
      <c r="H213" s="24" t="n">
        <f aca="false">$G213*Supuestos!D$6</f>
        <v>-12430860.28734</v>
      </c>
      <c r="I213" s="24" t="n">
        <f aca="false">$G213*Supuestos!E$6</f>
        <v>-12716770.0739488</v>
      </c>
      <c r="J213" s="24" t="n">
        <f aca="false">$G213*Supuestos!F$6</f>
        <v>-13009255.7856496</v>
      </c>
      <c r="K213" s="24" t="n">
        <f aca="false">$G213*Supuestos!G$6</f>
        <v>-13256431.645577</v>
      </c>
      <c r="L213" s="24" t="n">
        <f aca="false">$G213*Supuestos!H$6</f>
        <v>-13508303.8468429</v>
      </c>
      <c r="M213" s="24" t="n">
        <f aca="false">$G213*Supuestos!I$6</f>
        <v>-13764961.619933</v>
      </c>
      <c r="N213" s="24" t="n">
        <f aca="false">$G213*Supuestos!J$6</f>
        <v>-14026495.8907117</v>
      </c>
      <c r="O213" s="24" t="n">
        <f aca="false">$G213*Supuestos!K$6</f>
        <v>-14292999.3126352</v>
      </c>
      <c r="P213" s="24" t="n">
        <f aca="false">$G213*Supuestos!L$6</f>
        <v>-14564566.2995753</v>
      </c>
      <c r="Q213" s="24" t="n">
        <f aca="false">$G213*Supuestos!M$6</f>
        <v>-14841293.0592672</v>
      </c>
      <c r="R213" s="24" t="n">
        <f aca="false">$G213*Supuestos!N$6</f>
        <v>-15123277.6273933</v>
      </c>
      <c r="S213" s="24" t="n">
        <f aca="false">$G213*Supuestos!O$6</f>
        <v>-15410619.9023137</v>
      </c>
      <c r="T213" s="24" t="n">
        <f aca="false">$G213*Supuestos!P$6</f>
        <v>-15703421.6804577</v>
      </c>
      <c r="U213" s="24" t="n">
        <f aca="false">$G213*Supuestos!Q$6</f>
        <v>-16001786.6923864</v>
      </c>
      <c r="V213" s="24" t="n">
        <f aca="false">$G213*Supuestos!R$6</f>
        <v>-16305820.6395417</v>
      </c>
    </row>
    <row r="214" customFormat="false" ht="15" hidden="false" customHeight="false" outlineLevel="0" collapsed="false">
      <c r="A214" s="6" t="s">
        <v>184</v>
      </c>
      <c r="B214" s="6" t="s">
        <v>136</v>
      </c>
      <c r="C214" s="6" t="s">
        <v>197</v>
      </c>
      <c r="D214" s="6" t="s">
        <v>200</v>
      </c>
      <c r="E214" s="6" t="s">
        <v>202</v>
      </c>
      <c r="F214" s="6" t="s">
        <v>52</v>
      </c>
      <c r="G214" s="24" t="n">
        <v>1870471.33</v>
      </c>
      <c r="H214" s="24" t="n">
        <f aca="false">Supuestos!$C$16*(Supuestos!D$7-Supuestos!C$7)</f>
        <v>1158762</v>
      </c>
      <c r="I214" s="24" t="n">
        <f aca="false">Supuestos!$C$16*(Supuestos!E$7-Supuestos!D$7)</f>
        <v>1193876</v>
      </c>
      <c r="J214" s="24" t="n">
        <f aca="false">Supuestos!$C$16*(Supuestos!F$7-Supuestos!E$7)</f>
        <v>1158762</v>
      </c>
      <c r="K214" s="24" t="n">
        <f aca="false">Supuestos!$C$16*(Supuestos!G$7-Supuestos!F$7)</f>
        <v>842736</v>
      </c>
      <c r="L214" s="24" t="n">
        <f aca="false">Supuestos!$C$16*(Supuestos!H$7-Supuestos!G$7)</f>
        <v>807622</v>
      </c>
      <c r="M214" s="24" t="n">
        <f aca="false">Supuestos!$C$16*(Supuestos!I$7-Supuestos!H$7)</f>
        <v>842736</v>
      </c>
      <c r="N214" s="24" t="n">
        <f aca="false">Supuestos!$C$16*(Supuestos!J$7-Supuestos!I$7)</f>
        <v>842736</v>
      </c>
      <c r="O214" s="24" t="n">
        <f aca="false">Supuestos!$C$16*(Supuestos!K$7-Supuestos!J$7)</f>
        <v>842736</v>
      </c>
      <c r="P214" s="24" t="n">
        <f aca="false">Supuestos!$C$16*(Supuestos!L$7-Supuestos!K$7)</f>
        <v>842736</v>
      </c>
      <c r="Q214" s="24" t="n">
        <f aca="false">Supuestos!$C$16*(Supuestos!M$7-Supuestos!L$7)</f>
        <v>807622</v>
      </c>
      <c r="R214" s="24" t="n">
        <f aca="false">Supuestos!$C$16*(Supuestos!N$7-Supuestos!M$7)</f>
        <v>842736</v>
      </c>
      <c r="S214" s="24" t="n">
        <f aca="false">Supuestos!$C$16*(Supuestos!O$7-Supuestos!N$7)</f>
        <v>842736</v>
      </c>
      <c r="T214" s="24" t="n">
        <f aca="false">Supuestos!$C$16*(Supuestos!P$7-Supuestos!O$7)</f>
        <v>807622</v>
      </c>
      <c r="U214" s="24" t="n">
        <f aca="false">Supuestos!$C$16*(Supuestos!Q$7-Supuestos!P$7)</f>
        <v>842736</v>
      </c>
      <c r="V214" s="24" t="n">
        <f aca="false">Supuestos!$C$16*(Supuestos!R$7-Supuestos!Q$7)</f>
        <v>842736</v>
      </c>
    </row>
    <row r="215" customFormat="false" ht="15" hidden="false" customHeight="false" outlineLevel="0" collapsed="false">
      <c r="A215" s="6" t="s">
        <v>184</v>
      </c>
      <c r="B215" s="6" t="s">
        <v>136</v>
      </c>
      <c r="C215" s="6" t="s">
        <v>197</v>
      </c>
      <c r="D215" s="6" t="s">
        <v>203</v>
      </c>
      <c r="E215" s="6" t="s">
        <v>204</v>
      </c>
      <c r="F215" s="6" t="s">
        <v>51</v>
      </c>
      <c r="G215" s="24" t="n">
        <v>26105952.42</v>
      </c>
      <c r="H215" s="24" t="n">
        <f aca="false">$G215*Supuestos!D$10</f>
        <v>27672309.5652</v>
      </c>
      <c r="I215" s="24" t="n">
        <f aca="false">$G215*Supuestos!E$10</f>
        <v>27672309.5652</v>
      </c>
      <c r="J215" s="24" t="n">
        <f aca="false">$G215*Supuestos!F$10</f>
        <v>27672309.5652</v>
      </c>
      <c r="K215" s="24" t="n">
        <f aca="false">$G215*Supuestos!G$10</f>
        <v>29194286.591286</v>
      </c>
      <c r="L215" s="24" t="n">
        <f aca="false">$G215*Supuestos!H$10</f>
        <v>29194286.591286</v>
      </c>
      <c r="M215" s="24" t="n">
        <f aca="false">$G215*Supuestos!I$10</f>
        <v>29194286.591286</v>
      </c>
      <c r="N215" s="24" t="n">
        <f aca="false">$G215*Supuestos!J$10</f>
        <v>30799972.3538067</v>
      </c>
      <c r="O215" s="24" t="n">
        <f aca="false">$G215*Supuestos!K$10</f>
        <v>30799972.3538067</v>
      </c>
      <c r="P215" s="24" t="n">
        <f aca="false">$G215*Supuestos!L$10</f>
        <v>30799972.3538067</v>
      </c>
      <c r="Q215" s="24" t="n">
        <f aca="false">$G215*Supuestos!M$10</f>
        <v>32493970.8332661</v>
      </c>
      <c r="R215" s="24" t="n">
        <f aca="false">$G215*Supuestos!N$10</f>
        <v>32493970.8332661</v>
      </c>
      <c r="S215" s="24" t="n">
        <f aca="false">$G215*Supuestos!O$10</f>
        <v>32493970.8332661</v>
      </c>
      <c r="T215" s="24" t="n">
        <f aca="false">$G215*Supuestos!P$10</f>
        <v>34281139.2290957</v>
      </c>
      <c r="U215" s="24" t="n">
        <f aca="false">$G215*Supuestos!Q$10</f>
        <v>34281139.2290957</v>
      </c>
      <c r="V215" s="24" t="n">
        <f aca="false">$G215*Supuestos!R$10</f>
        <v>34281139.2290957</v>
      </c>
    </row>
    <row r="216" customFormat="false" ht="15" hidden="false" customHeight="false" outlineLevel="0" collapsed="false">
      <c r="A216" s="25" t="s">
        <v>184</v>
      </c>
      <c r="B216" s="25" t="s">
        <v>136</v>
      </c>
      <c r="C216" s="25" t="s">
        <v>205</v>
      </c>
      <c r="D216" s="25" t="s">
        <v>206</v>
      </c>
      <c r="E216" s="25" t="s">
        <v>207</v>
      </c>
      <c r="F216" s="25" t="s">
        <v>54</v>
      </c>
      <c r="G216" s="26" t="n">
        <v>0</v>
      </c>
      <c r="H216" s="26" t="n">
        <f aca="false">-Supuestos!$C$17*MAX(0,SUM(H5:H215))</f>
        <v>-27040123.8835474</v>
      </c>
      <c r="I216" s="26" t="n">
        <f aca="false">-Supuestos!$C$17*MAX(0,SUM(I5:I215))</f>
        <v>-27873311.7825237</v>
      </c>
      <c r="J216" s="26" t="n">
        <f aca="false">-Supuestos!$C$17*MAX(0,SUM(J5:J215))</f>
        <v>-25681478.1431599</v>
      </c>
      <c r="K216" s="26" t="n">
        <f aca="false">-Supuestos!$C$17*MAX(0,SUM(K5:K215))</f>
        <v>-21956434.2225856</v>
      </c>
      <c r="L216" s="26" t="n">
        <f aca="false">-Supuestos!$C$17*MAX(0,SUM(L5:L215))</f>
        <v>-25443048.03193</v>
      </c>
      <c r="M216" s="26" t="n">
        <f aca="false">-Supuestos!$C$17*MAX(0,SUM(M5:M215))</f>
        <v>-36982700.4861866</v>
      </c>
      <c r="N216" s="26" t="n">
        <f aca="false">-Supuestos!$C$17*MAX(0,SUM(N5:N215))</f>
        <v>-31747044.4969241</v>
      </c>
      <c r="O216" s="26" t="n">
        <f aca="false">-Supuestos!$C$17*MAX(0,SUM(O5:O215))</f>
        <v>-32307466.5664059</v>
      </c>
      <c r="P216" s="26" t="n">
        <f aca="false">-Supuestos!$C$17*MAX(0,SUM(P5:P215))</f>
        <v>-32852501.1537831</v>
      </c>
      <c r="Q216" s="26" t="n">
        <f aca="false">-Supuestos!$C$17*MAX(0,SUM(Q5:Q215))</f>
        <v>-32344186.0408639</v>
      </c>
      <c r="R216" s="26" t="n">
        <f aca="false">-Supuestos!$C$17*MAX(0,SUM(R5:R215))</f>
        <v>-36416881.2488061</v>
      </c>
      <c r="S216" s="26" t="n">
        <f aca="false">-Supuestos!$C$17*MAX(0,SUM(S5:S215))</f>
        <v>-40591009.1745902</v>
      </c>
      <c r="T216" s="26" t="n">
        <f aca="false">-Supuestos!$C$17*MAX(0,SUM(T5:T215))</f>
        <v>-36562757.3680499</v>
      </c>
      <c r="U216" s="26" t="n">
        <f aca="false">-Supuestos!$C$17*MAX(0,SUM(U5:U215))</f>
        <v>-37233674.7737654</v>
      </c>
      <c r="V216" s="26" t="n">
        <f aca="false">-Supuestos!$C$17*MAX(0,SUM(V5:V215))</f>
        <v>-34123238.5434925</v>
      </c>
    </row>
  </sheetData>
  <autoFilter ref="A4:V2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11.5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30" hidden="false" customHeight="true" outlineLevel="0" collapsed="false">
      <c r="A4" s="9" t="s">
        <v>210</v>
      </c>
      <c r="B4" s="10" t="s">
        <v>211</v>
      </c>
      <c r="C4" s="10" t="s">
        <v>66</v>
      </c>
      <c r="D4" s="10" t="s">
        <v>67</v>
      </c>
      <c r="E4" s="10" t="s">
        <v>68</v>
      </c>
      <c r="F4" s="10" t="s">
        <v>212</v>
      </c>
      <c r="G4" s="10" t="s">
        <v>213</v>
      </c>
      <c r="H4" s="10" t="s">
        <v>214</v>
      </c>
      <c r="I4" s="10" t="s">
        <v>69</v>
      </c>
      <c r="J4" s="10" t="s">
        <v>70</v>
      </c>
      <c r="K4" s="10" t="s">
        <v>71</v>
      </c>
      <c r="L4" s="10" t="s">
        <v>72</v>
      </c>
      <c r="M4" s="10" t="s">
        <v>73</v>
      </c>
      <c r="N4" s="10" t="s">
        <v>74</v>
      </c>
      <c r="O4" s="10" t="s">
        <v>75</v>
      </c>
      <c r="P4" s="10" t="s">
        <v>76</v>
      </c>
      <c r="Q4" s="10" t="s">
        <v>77</v>
      </c>
      <c r="R4" s="10" t="s">
        <v>78</v>
      </c>
      <c r="S4" s="10" t="s">
        <v>79</v>
      </c>
      <c r="T4" s="10" t="s">
        <v>80</v>
      </c>
      <c r="U4" s="10" t="s">
        <v>215</v>
      </c>
      <c r="V4" s="10" t="s">
        <v>216</v>
      </c>
    </row>
    <row r="5" customFormat="false" ht="15" hidden="false" customHeight="false" outlineLevel="0" collapsed="false">
      <c r="A5" s="27" t="s">
        <v>137</v>
      </c>
      <c r="B5" s="28" t="n">
        <f aca="false">B6+B7</f>
        <v>3384427256</v>
      </c>
      <c r="C5" s="28" t="n">
        <f aca="false">C6+C7</f>
        <v>425941033.075216</v>
      </c>
      <c r="D5" s="28" t="n">
        <f aca="false">D6+D7</f>
        <v>431459134.388754</v>
      </c>
      <c r="E5" s="28" t="n">
        <f aca="false">E6+E7</f>
        <v>428142413.947541</v>
      </c>
      <c r="F5" s="28" t="n">
        <f aca="false">B5+SUM(C5:E5)</f>
        <v>4669969837.41151</v>
      </c>
      <c r="G5" s="28" t="n">
        <f aca="false">G6+G7</f>
        <v>5120265762</v>
      </c>
      <c r="H5" s="28" t="n">
        <f aca="false">F5-G5</f>
        <v>-450295924.58849</v>
      </c>
      <c r="I5" s="28" t="n">
        <f aca="false">I6+I7</f>
        <v>431708234.674141</v>
      </c>
      <c r="J5" s="28" t="n">
        <f aca="false">J6+J7</f>
        <v>444393862.929169</v>
      </c>
      <c r="K5" s="28" t="n">
        <f aca="false">K6+K7</f>
        <v>480753746.615519</v>
      </c>
      <c r="L5" s="28" t="n">
        <f aca="false">L6+L7</f>
        <v>480274444.397103</v>
      </c>
      <c r="M5" s="28" t="n">
        <f aca="false">M6+M7</f>
        <v>484445069.587156</v>
      </c>
      <c r="N5" s="28" t="n">
        <f aca="false">N6+N7</f>
        <v>488596344.567644</v>
      </c>
      <c r="O5" s="28" t="n">
        <f aca="false">O6+O7</f>
        <v>502762746.593552</v>
      </c>
      <c r="P5" s="28" t="n">
        <f aca="false">P6+P7</f>
        <v>517301909.184489</v>
      </c>
      <c r="Q5" s="28" t="n">
        <f aca="false">Q6+Q7</f>
        <v>532202934.485603</v>
      </c>
      <c r="R5" s="28" t="n">
        <f aca="false">R6+R7</f>
        <v>536824158.837514</v>
      </c>
      <c r="S5" s="28" t="n">
        <f aca="false">S6+S7</f>
        <v>541446527.177019</v>
      </c>
      <c r="T5" s="28" t="n">
        <f aca="false">T6+T7</f>
        <v>535017061.828467</v>
      </c>
      <c r="U5" s="28" t="n">
        <f aca="false">SUM(I5:T5)</f>
        <v>5975727040.87738</v>
      </c>
      <c r="V5" s="29" t="n">
        <f aca="false">IFERROR(U5/F5-1,"-")</f>
        <v>0.279607202814318</v>
      </c>
    </row>
    <row r="6" customFormat="false" ht="15" hidden="false" customHeight="false" outlineLevel="0" collapsed="false">
      <c r="A6" s="6" t="s">
        <v>138</v>
      </c>
      <c r="B6" s="30" t="n">
        <v>3222169846</v>
      </c>
      <c r="C6" s="30" t="n">
        <f aca="false">SUMIFS(Cálculo!$H$5:$H$216,Cálculo!$D$5:$D$216,$A6)</f>
        <v>405616716.712782</v>
      </c>
      <c r="D6" s="30" t="n">
        <f aca="false">SUMIFS(Cálculo!$I$5:$I$216,Cálculo!$D$5:$D$216,$A6)</f>
        <v>410873217.914725</v>
      </c>
      <c r="E6" s="30" t="n">
        <f aca="false">SUMIFS(Cálculo!$J$5:$J$216,Cálculo!$D$5:$D$216,$A6)</f>
        <v>407714803.171197</v>
      </c>
      <c r="F6" s="30" t="n">
        <f aca="false">B6+SUM(C6:E6)</f>
        <v>4446374583.7987</v>
      </c>
      <c r="G6" s="30" t="n">
        <v>4891908983</v>
      </c>
      <c r="H6" s="30" t="n">
        <f aca="false">F6-G6</f>
        <v>-445534399.201297</v>
      </c>
      <c r="I6" s="30" t="n">
        <f aca="false">SUMIFS(Cálculo!$K$5:$K$216,Cálculo!$D$5:$D$216,$A6)</f>
        <v>411107094.503161</v>
      </c>
      <c r="J6" s="30" t="n">
        <f aca="false">SUMIFS(Cálculo!$L$5:$L$216,Cálculo!$D$5:$D$216,$A6)</f>
        <v>423182628.575834</v>
      </c>
      <c r="K6" s="30" t="n">
        <f aca="false">SUMIFS(Cálculo!$M$5:$M$216,Cálculo!$D$5:$D$216,$A6)</f>
        <v>457802535.027653</v>
      </c>
      <c r="L6" s="30" t="n">
        <f aca="false">SUMIFS(Cálculo!$N$5:$N$216,Cálculo!$D$5:$D$216,$A6)</f>
        <v>457341281.820292</v>
      </c>
      <c r="M6" s="30" t="n">
        <f aca="false">SUMIFS(Cálculo!$O$5:$O$216,Cálculo!$D$5:$D$216,$A6)</f>
        <v>461307552.096294</v>
      </c>
      <c r="N6" s="30" t="n">
        <f aca="false">SUMIFS(Cálculo!$P$5:$P$216,Cálculo!$D$5:$D$216,$A6)</f>
        <v>465254985.547687</v>
      </c>
      <c r="O6" s="30" t="n">
        <f aca="false">SUMIFS(Cálculo!$Q$5:$Q$216,Cálculo!$D$5:$D$216,$A6)</f>
        <v>478737650.794223</v>
      </c>
      <c r="P6" s="30" t="n">
        <f aca="false">SUMIFS(Cálculo!$R$5:$R$216,Cálculo!$D$5:$D$216,$A6)</f>
        <v>492575520.838777</v>
      </c>
      <c r="Q6" s="30" t="n">
        <f aca="false">SUMIFS(Cálculo!$S$5:$S$216,Cálculo!$D$5:$D$216,$A6)</f>
        <v>506757277.536329</v>
      </c>
      <c r="R6" s="30" t="n">
        <f aca="false">SUMIFS(Cálculo!$T$5:$T$216,Cálculo!$D$5:$D$216,$A6)</f>
        <v>511149241.508473</v>
      </c>
      <c r="S6" s="30" t="n">
        <f aca="false">SUMIFS(Cálculo!$U$5:$U$216,Cálculo!$D$5:$D$216,$A6)</f>
        <v>515542823.455936</v>
      </c>
      <c r="T6" s="30" t="n">
        <f aca="false">SUMIFS(Cálculo!$V$5:$V$216,Cálculo!$D$5:$D$216,$A6)</f>
        <v>509413063.959437</v>
      </c>
      <c r="U6" s="30" t="n">
        <f aca="false">SUM(I6:T6)</f>
        <v>5690171655.6641</v>
      </c>
      <c r="V6" s="31" t="n">
        <f aca="false">IFERROR(U6/F6-1,"-")</f>
        <v>0.279732858405009</v>
      </c>
    </row>
    <row r="7" customFormat="false" ht="15" hidden="false" customHeight="false" outlineLevel="0" collapsed="false">
      <c r="A7" s="6" t="s">
        <v>182</v>
      </c>
      <c r="B7" s="30" t="n">
        <v>162257410</v>
      </c>
      <c r="C7" s="30" t="n">
        <f aca="false">SUMIFS(Cálculo!$H$5:$H$216,Cálculo!$D$5:$D$216,$A7)</f>
        <v>20324316.3624336</v>
      </c>
      <c r="D7" s="30" t="n">
        <f aca="false">SUMIFS(Cálculo!$I$5:$I$216,Cálculo!$D$5:$D$216,$A7)</f>
        <v>20585916.4740293</v>
      </c>
      <c r="E7" s="30" t="n">
        <f aca="false">SUMIFS(Cálculo!$J$5:$J$216,Cálculo!$D$5:$D$216,$A7)</f>
        <v>20427610.776344</v>
      </c>
      <c r="F7" s="30" t="n">
        <f aca="false">B7+SUM(C7:E7)</f>
        <v>223595253.612807</v>
      </c>
      <c r="G7" s="30" t="n">
        <v>228356779</v>
      </c>
      <c r="H7" s="30" t="n">
        <f aca="false">F7-G7</f>
        <v>-4761525.38719314</v>
      </c>
      <c r="I7" s="30" t="n">
        <f aca="false">SUMIFS(Cálculo!$K$5:$K$216,Cálculo!$D$5:$D$216,$A7)</f>
        <v>20601140.1709801</v>
      </c>
      <c r="J7" s="30" t="n">
        <f aca="false">SUMIFS(Cálculo!$L$5:$L$216,Cálculo!$D$5:$D$216,$A7)</f>
        <v>21211234.3533353</v>
      </c>
      <c r="K7" s="30" t="n">
        <f aca="false">SUMIFS(Cálculo!$M$5:$M$216,Cálculo!$D$5:$D$216,$A7)</f>
        <v>22951211.5878661</v>
      </c>
      <c r="L7" s="30" t="n">
        <f aca="false">SUMIFS(Cálculo!$N$5:$N$216,Cálculo!$D$5:$D$216,$A7)</f>
        <v>22933162.5768116</v>
      </c>
      <c r="M7" s="30" t="n">
        <f aca="false">SUMIFS(Cálculo!$O$5:$O$216,Cálculo!$D$5:$D$216,$A7)</f>
        <v>23137517.4908624</v>
      </c>
      <c r="N7" s="30" t="n">
        <f aca="false">SUMIFS(Cálculo!$P$5:$P$216,Cálculo!$D$5:$D$216,$A7)</f>
        <v>23341359.0199569</v>
      </c>
      <c r="O7" s="30" t="n">
        <f aca="false">SUMIFS(Cálculo!$Q$5:$Q$216,Cálculo!$D$5:$D$216,$A7)</f>
        <v>24025095.7993293</v>
      </c>
      <c r="P7" s="30" t="n">
        <f aca="false">SUMIFS(Cálculo!$R$5:$R$216,Cálculo!$D$5:$D$216,$A7)</f>
        <v>24726388.3457118</v>
      </c>
      <c r="Q7" s="30" t="n">
        <f aca="false">SUMIFS(Cálculo!$S$5:$S$216,Cálculo!$D$5:$D$216,$A7)</f>
        <v>25445656.9492732</v>
      </c>
      <c r="R7" s="30" t="n">
        <f aca="false">SUMIFS(Cálculo!$T$5:$T$216,Cálculo!$D$5:$D$216,$A7)</f>
        <v>25674917.3290416</v>
      </c>
      <c r="S7" s="30" t="n">
        <f aca="false">SUMIFS(Cálculo!$U$5:$U$216,Cálculo!$D$5:$D$216,$A7)</f>
        <v>25903703.7210826</v>
      </c>
      <c r="T7" s="30" t="n">
        <f aca="false">SUMIFS(Cálculo!$V$5:$V$216,Cálculo!$D$5:$D$216,$A7)</f>
        <v>25603997.8690297</v>
      </c>
      <c r="U7" s="30" t="n">
        <f aca="false">SUM(I7:T7)</f>
        <v>285555385.213281</v>
      </c>
      <c r="V7" s="31" t="n">
        <f aca="false">IFERROR(U7/F7-1,"-")</f>
        <v>0.277108438570741</v>
      </c>
    </row>
    <row r="8" customFormat="false" ht="15" hidden="false" customHeight="false" outlineLevel="0" collapsed="false">
      <c r="A8" s="27" t="s">
        <v>140</v>
      </c>
      <c r="B8" s="28" t="n">
        <f aca="false">B9+B10+B11+B12+B13+B14+B15+B16+B17</f>
        <v>-1865930182</v>
      </c>
      <c r="C8" s="28" t="n">
        <f aca="false">C9+C10+C11+C12+C13+C14+C15+C16+C17</f>
        <v>-233582184.556365</v>
      </c>
      <c r="D8" s="28" t="n">
        <f aca="false">D9+D10+D11+D12+D13+D14+D15+D16+D17</f>
        <v>-235662218.217907</v>
      </c>
      <c r="E8" s="28" t="n">
        <f aca="false">E9+E10+E11+E12+E13+E14+E15+E16+E17</f>
        <v>-237712739.105128</v>
      </c>
      <c r="F8" s="28" t="n">
        <f aca="false">B8+SUM(C8:E8)</f>
        <v>-2572887323.8794</v>
      </c>
      <c r="G8" s="28" t="n">
        <f aca="false">G9+G10+G11+G12+G13+G14+G15+G16+G17</f>
        <v>-2700770530</v>
      </c>
      <c r="H8" s="28" t="n">
        <f aca="false">F8-G8</f>
        <v>127883206.120601</v>
      </c>
      <c r="I8" s="28" t="n">
        <f aca="false">I9+I10+I11+I12+I13+I14+I15+I16+I17</f>
        <v>-247341487.686987</v>
      </c>
      <c r="J8" s="28" t="n">
        <f aca="false">J9+J10+J11+J12+J13+J14+J15+J16+J17</f>
        <v>-248872105.927788</v>
      </c>
      <c r="K8" s="28" t="n">
        <f aca="false">K9+K10+K11+K12+K13+K14+K15+K16+K17</f>
        <v>-250456244.774775</v>
      </c>
      <c r="L8" s="28" t="n">
        <f aca="false">L9+L10+L11+L12+L13+L14+L15+L16+L17</f>
        <v>-260558889.449836</v>
      </c>
      <c r="M8" s="28" t="n">
        <f aca="false">M9+M10+M11+M12+M13+M14+M15+M16+M17</f>
        <v>-262163833.009753</v>
      </c>
      <c r="N8" s="28" t="n">
        <f aca="false">N9+N10+N11+N12+N13+N14+N15+N16+N17</f>
        <v>-263779476.323272</v>
      </c>
      <c r="O8" s="28" t="n">
        <f aca="false">O9+O10+O11+O12+O13+O14+O15+O16+O17</f>
        <v>-274338766.848355</v>
      </c>
      <c r="P8" s="28" t="n">
        <f aca="false">P9+P10+P11+P12+P13+P14+P15+P16+P17</f>
        <v>-275976423.417644</v>
      </c>
      <c r="Q8" s="28" t="n">
        <f aca="false">Q9+Q10+Q11+Q12+Q13+Q14+Q15+Q16+Q17</f>
        <v>-277625401.287713</v>
      </c>
      <c r="R8" s="28" t="n">
        <f aca="false">R9+R10+R11+R12+R13+R14+R15+R16+R17</f>
        <v>-288712348.110068</v>
      </c>
      <c r="S8" s="28" t="n">
        <f aca="false">S9+S10+S11+S12+S13+S14+S15+S16+S17</f>
        <v>-290384617.982831</v>
      </c>
      <c r="T8" s="28" t="n">
        <f aca="false">T9+T10+T11+T12+T13+T14+T15+T16+T17</f>
        <v>-292068866.809141</v>
      </c>
      <c r="U8" s="28" t="n">
        <f aca="false">SUM(I8:T8)</f>
        <v>-3232278461.62816</v>
      </c>
      <c r="V8" s="29" t="n">
        <f aca="false">IFERROR(U8/F8-1,"-")</f>
        <v>0.256284498597682</v>
      </c>
    </row>
    <row r="9" customFormat="false" ht="15" hidden="false" customHeight="false" outlineLevel="0" collapsed="false">
      <c r="A9" s="6" t="s">
        <v>141</v>
      </c>
      <c r="B9" s="30" t="n">
        <v>-1181706850</v>
      </c>
      <c r="C9" s="30" t="n">
        <f aca="false">SUMIFS(Cálculo!$H$5:$H$216,Cálculo!$D$5:$D$216,$A9)</f>
        <v>-146629924.4122</v>
      </c>
      <c r="D9" s="30" t="n">
        <f aca="false">SUMIFS(Cálculo!$I$5:$I$216,Cálculo!$D$5:$D$216,$A9)</f>
        <v>-146629924.4122</v>
      </c>
      <c r="E9" s="30" t="n">
        <f aca="false">SUMIFS(Cálculo!$J$5:$J$216,Cálculo!$D$5:$D$216,$A9)</f>
        <v>-146629924.4122</v>
      </c>
      <c r="F9" s="30" t="n">
        <f aca="false">B9+SUM(C9:E9)</f>
        <v>-1621596623.2366</v>
      </c>
      <c r="G9" s="30" t="n">
        <v>-1757459131</v>
      </c>
      <c r="H9" s="30" t="n">
        <f aca="false">F9-G9</f>
        <v>135862507.7634</v>
      </c>
      <c r="I9" s="30" t="n">
        <f aca="false">SUMIFS(Cálculo!$K$5:$K$216,Cálculo!$D$5:$D$216,$A9)</f>
        <v>-154694570.254871</v>
      </c>
      <c r="J9" s="30" t="n">
        <f aca="false">SUMIFS(Cálculo!$L$5:$L$216,Cálculo!$D$5:$D$216,$A9)</f>
        <v>-154694570.254871</v>
      </c>
      <c r="K9" s="30" t="n">
        <f aca="false">SUMIFS(Cálculo!$M$5:$M$216,Cálculo!$D$5:$D$216,$A9)</f>
        <v>-154694570.254871</v>
      </c>
      <c r="L9" s="30" t="n">
        <f aca="false">SUMIFS(Cálculo!$N$5:$N$216,Cálculo!$D$5:$D$216,$A9)</f>
        <v>-163202771.618889</v>
      </c>
      <c r="M9" s="30" t="n">
        <f aca="false">SUMIFS(Cálculo!$O$5:$O$216,Cálculo!$D$5:$D$216,$A9)</f>
        <v>-163202771.618889</v>
      </c>
      <c r="N9" s="30" t="n">
        <f aca="false">SUMIFS(Cálculo!$P$5:$P$216,Cálculo!$D$5:$D$216,$A9)</f>
        <v>-163202771.618889</v>
      </c>
      <c r="O9" s="30" t="n">
        <f aca="false">SUMIFS(Cálculo!$Q$5:$Q$216,Cálculo!$D$5:$D$216,$A9)</f>
        <v>-172178924.057928</v>
      </c>
      <c r="P9" s="30" t="n">
        <f aca="false">SUMIFS(Cálculo!$R$5:$R$216,Cálculo!$D$5:$D$216,$A9)</f>
        <v>-172178924.057928</v>
      </c>
      <c r="Q9" s="30" t="n">
        <f aca="false">SUMIFS(Cálculo!$S$5:$S$216,Cálculo!$D$5:$D$216,$A9)</f>
        <v>-172178924.057928</v>
      </c>
      <c r="R9" s="30" t="n">
        <f aca="false">SUMIFS(Cálculo!$T$5:$T$216,Cálculo!$D$5:$D$216,$A9)</f>
        <v>-181648764.881114</v>
      </c>
      <c r="S9" s="30" t="n">
        <f aca="false">SUMIFS(Cálculo!$U$5:$U$216,Cálculo!$D$5:$D$216,$A9)</f>
        <v>-181648764.881114</v>
      </c>
      <c r="T9" s="30" t="n">
        <f aca="false">SUMIFS(Cálculo!$V$5:$V$216,Cálculo!$D$5:$D$216,$A9)</f>
        <v>-181648764.881114</v>
      </c>
      <c r="U9" s="30" t="n">
        <f aca="false">SUM(I9:T9)</f>
        <v>-2015175092.4384</v>
      </c>
      <c r="V9" s="31" t="n">
        <f aca="false">IFERROR(U9/F9-1,"-")</f>
        <v>0.242710464219053</v>
      </c>
    </row>
    <row r="10" customFormat="false" ht="15" hidden="false" customHeight="false" outlineLevel="0" collapsed="false">
      <c r="A10" s="6" t="s">
        <v>149</v>
      </c>
      <c r="B10" s="30" t="n">
        <v>-366490150</v>
      </c>
      <c r="C10" s="30" t="n">
        <f aca="false">SUMIFS(Cálculo!$H$5:$H$216,Cálculo!$D$5:$D$216,$A10)</f>
        <v>-45435000</v>
      </c>
      <c r="D10" s="30" t="n">
        <f aca="false">SUMIFS(Cálculo!$I$5:$I$216,Cálculo!$D$5:$D$216,$A10)</f>
        <v>-46540000</v>
      </c>
      <c r="E10" s="30" t="n">
        <f aca="false">SUMIFS(Cálculo!$J$5:$J$216,Cálculo!$D$5:$D$216,$A10)</f>
        <v>-47612500</v>
      </c>
      <c r="F10" s="30" t="n">
        <f aca="false">B10+SUM(C10:E10)</f>
        <v>-506077650</v>
      </c>
      <c r="G10" s="30" t="n">
        <v>-501215000</v>
      </c>
      <c r="H10" s="30" t="n">
        <f aca="false">F10-G10</f>
        <v>-4862650</v>
      </c>
      <c r="I10" s="30" t="n">
        <f aca="false">SUMIFS(Cálculo!$K$5:$K$216,Cálculo!$D$5:$D$216,$A10)</f>
        <v>-48392500</v>
      </c>
      <c r="J10" s="30" t="n">
        <f aca="false">SUMIFS(Cálculo!$L$5:$L$216,Cálculo!$D$5:$D$216,$A10)</f>
        <v>-49140000</v>
      </c>
      <c r="K10" s="30" t="n">
        <f aca="false">SUMIFS(Cálculo!$M$5:$M$216,Cálculo!$D$5:$D$216,$A10)</f>
        <v>-49920000</v>
      </c>
      <c r="L10" s="30" t="n">
        <f aca="false">SUMIFS(Cálculo!$N$5:$N$216,Cálculo!$D$5:$D$216,$A10)</f>
        <v>-50700000</v>
      </c>
      <c r="M10" s="30" t="n">
        <f aca="false">SUMIFS(Cálculo!$O$5:$O$216,Cálculo!$D$5:$D$216,$A10)</f>
        <v>-51480000</v>
      </c>
      <c r="N10" s="30" t="n">
        <f aca="false">SUMIFS(Cálculo!$P$5:$P$216,Cálculo!$D$5:$D$216,$A10)</f>
        <v>-52260000</v>
      </c>
      <c r="O10" s="30" t="n">
        <f aca="false">SUMIFS(Cálculo!$Q$5:$Q$216,Cálculo!$D$5:$D$216,$A10)</f>
        <v>-53007500</v>
      </c>
      <c r="P10" s="30" t="n">
        <f aca="false">SUMIFS(Cálculo!$R$5:$R$216,Cálculo!$D$5:$D$216,$A10)</f>
        <v>-53787500</v>
      </c>
      <c r="Q10" s="30" t="n">
        <f aca="false">SUMIFS(Cálculo!$S$5:$S$216,Cálculo!$D$5:$D$216,$A10)</f>
        <v>-54567500</v>
      </c>
      <c r="R10" s="30" t="n">
        <f aca="false">SUMIFS(Cálculo!$T$5:$T$216,Cálculo!$D$5:$D$216,$A10)</f>
        <v>-55315000</v>
      </c>
      <c r="S10" s="30" t="n">
        <f aca="false">SUMIFS(Cálculo!$U$5:$U$216,Cálculo!$D$5:$D$216,$A10)</f>
        <v>-56095000</v>
      </c>
      <c r="T10" s="30" t="n">
        <f aca="false">SUMIFS(Cálculo!$V$5:$V$216,Cálculo!$D$5:$D$216,$A10)</f>
        <v>-56875000</v>
      </c>
      <c r="U10" s="30" t="n">
        <f aca="false">SUM(I10:T10)</f>
        <v>-631540000</v>
      </c>
      <c r="V10" s="31" t="n">
        <f aca="false">IFERROR(U10/F10-1,"-")</f>
        <v>0.247911264210146</v>
      </c>
    </row>
    <row r="11" customFormat="false" ht="15" hidden="false" customHeight="false" outlineLevel="0" collapsed="false">
      <c r="A11" s="6" t="s">
        <v>151</v>
      </c>
      <c r="B11" s="30" t="n">
        <v>-75543075</v>
      </c>
      <c r="C11" s="30" t="n">
        <f aca="false">SUMIFS(Cálculo!$H$5:$H$216,Cálculo!$D$5:$D$216,$A11)</f>
        <v>-9813960</v>
      </c>
      <c r="D11" s="30" t="n">
        <f aca="false">SUMIFS(Cálculo!$I$5:$I$216,Cálculo!$D$5:$D$216,$A11)</f>
        <v>-10052640</v>
      </c>
      <c r="E11" s="30" t="n">
        <f aca="false">SUMIFS(Cálculo!$J$5:$J$216,Cálculo!$D$5:$D$216,$A11)</f>
        <v>-10284300</v>
      </c>
      <c r="F11" s="30" t="n">
        <f aca="false">B11+SUM(C11:E11)</f>
        <v>-105693975</v>
      </c>
      <c r="G11" s="30" t="n">
        <v>-102559950</v>
      </c>
      <c r="H11" s="30" t="n">
        <f aca="false">F11-G11</f>
        <v>-3134025</v>
      </c>
      <c r="I11" s="30" t="n">
        <f aca="false">SUMIFS(Cálculo!$K$5:$K$216,Cálculo!$D$5:$D$216,$A11)</f>
        <v>-10452780</v>
      </c>
      <c r="J11" s="30" t="n">
        <f aca="false">SUMIFS(Cálculo!$L$5:$L$216,Cálculo!$D$5:$D$216,$A11)</f>
        <v>-10614240</v>
      </c>
      <c r="K11" s="30" t="n">
        <f aca="false">SUMIFS(Cálculo!$M$5:$M$216,Cálculo!$D$5:$D$216,$A11)</f>
        <v>-10782720</v>
      </c>
      <c r="L11" s="30" t="n">
        <f aca="false">SUMIFS(Cálculo!$N$5:$N$216,Cálculo!$D$5:$D$216,$A11)</f>
        <v>-10951200</v>
      </c>
      <c r="M11" s="30" t="n">
        <f aca="false">SUMIFS(Cálculo!$O$5:$O$216,Cálculo!$D$5:$D$216,$A11)</f>
        <v>-11119680</v>
      </c>
      <c r="N11" s="30" t="n">
        <f aca="false">SUMIFS(Cálculo!$P$5:$P$216,Cálculo!$D$5:$D$216,$A11)</f>
        <v>-11288160</v>
      </c>
      <c r="O11" s="30" t="n">
        <f aca="false">SUMIFS(Cálculo!$Q$5:$Q$216,Cálculo!$D$5:$D$216,$A11)</f>
        <v>-11449620</v>
      </c>
      <c r="P11" s="30" t="n">
        <f aca="false">SUMIFS(Cálculo!$R$5:$R$216,Cálculo!$D$5:$D$216,$A11)</f>
        <v>-11618100</v>
      </c>
      <c r="Q11" s="30" t="n">
        <f aca="false">SUMIFS(Cálculo!$S$5:$S$216,Cálculo!$D$5:$D$216,$A11)</f>
        <v>-11786580</v>
      </c>
      <c r="R11" s="30" t="n">
        <f aca="false">SUMIFS(Cálculo!$T$5:$T$216,Cálculo!$D$5:$D$216,$A11)</f>
        <v>-11948040</v>
      </c>
      <c r="S11" s="30" t="n">
        <f aca="false">SUMIFS(Cálculo!$U$5:$U$216,Cálculo!$D$5:$D$216,$A11)</f>
        <v>-12116520</v>
      </c>
      <c r="T11" s="30" t="n">
        <f aca="false">SUMIFS(Cálculo!$V$5:$V$216,Cálculo!$D$5:$D$216,$A11)</f>
        <v>-12285000</v>
      </c>
      <c r="U11" s="30" t="n">
        <f aca="false">SUM(I11:T11)</f>
        <v>-136412640</v>
      </c>
      <c r="V11" s="31" t="n">
        <f aca="false">IFERROR(U11/F11-1,"-")</f>
        <v>0.290637805986576</v>
      </c>
    </row>
    <row r="12" customFormat="false" ht="15" hidden="false" customHeight="false" outlineLevel="0" collapsed="false">
      <c r="A12" s="6" t="s">
        <v>153</v>
      </c>
      <c r="B12" s="30" t="n">
        <v>-70183446</v>
      </c>
      <c r="C12" s="30" t="n">
        <f aca="false">SUMIFS(Cálculo!$H$5:$H$216,Cálculo!$D$5:$D$216,$A12)</f>
        <v>-8772864.66144</v>
      </c>
      <c r="D12" s="30" t="n">
        <f aca="false">SUMIFS(Cálculo!$I$5:$I$216,Cálculo!$D$5:$D$216,$A12)</f>
        <v>-8974640.54865312</v>
      </c>
      <c r="E12" s="30" t="n">
        <f aca="false">SUMIFS(Cálculo!$J$5:$J$216,Cálculo!$D$5:$D$216,$A12)</f>
        <v>-9181057.28127214</v>
      </c>
      <c r="F12" s="30" t="n">
        <f aca="false">B12+SUM(C12:E12)</f>
        <v>-97112008.4913653</v>
      </c>
      <c r="G12" s="30" t="n">
        <v>-101110195</v>
      </c>
      <c r="H12" s="30" t="n">
        <f aca="false">F12-G12</f>
        <v>3998186.50863475</v>
      </c>
      <c r="I12" s="30" t="n">
        <f aca="false">SUMIFS(Cálculo!$K$5:$K$216,Cálculo!$D$5:$D$216,$A12)</f>
        <v>-9355497.36961631</v>
      </c>
      <c r="J12" s="30" t="n">
        <f aca="false">SUMIFS(Cálculo!$L$5:$L$216,Cálculo!$D$5:$D$216,$A12)</f>
        <v>-9533251.81963902</v>
      </c>
      <c r="K12" s="30" t="n">
        <f aca="false">SUMIFS(Cálculo!$M$5:$M$216,Cálculo!$D$5:$D$216,$A12)</f>
        <v>-9714383.60421216</v>
      </c>
      <c r="L12" s="30" t="n">
        <f aca="false">SUMIFS(Cálculo!$N$5:$N$216,Cálculo!$D$5:$D$216,$A12)</f>
        <v>-9898956.89269219</v>
      </c>
      <c r="M12" s="30" t="n">
        <f aca="false">SUMIFS(Cálculo!$O$5:$O$216,Cálculo!$D$5:$D$216,$A12)</f>
        <v>-10087037.0736533</v>
      </c>
      <c r="N12" s="30" t="n">
        <f aca="false">SUMIFS(Cálculo!$P$5:$P$216,Cálculo!$D$5:$D$216,$A12)</f>
        <v>-10278690.7780528</v>
      </c>
      <c r="O12" s="30" t="n">
        <f aca="false">SUMIFS(Cálculo!$Q$5:$Q$216,Cálculo!$D$5:$D$216,$A12)</f>
        <v>-10473985.9028358</v>
      </c>
      <c r="P12" s="30" t="n">
        <f aca="false">SUMIFS(Cálculo!$R$5:$R$216,Cálculo!$D$5:$D$216,$A12)</f>
        <v>-10672991.6349896</v>
      </c>
      <c r="Q12" s="30" t="n">
        <f aca="false">SUMIFS(Cálculo!$S$5:$S$216,Cálculo!$D$5:$D$216,$A12)</f>
        <v>-10875778.4760544</v>
      </c>
      <c r="R12" s="30" t="n">
        <f aca="false">SUMIFS(Cálculo!$T$5:$T$216,Cálculo!$D$5:$D$216,$A12)</f>
        <v>-11082418.2670995</v>
      </c>
      <c r="S12" s="30" t="n">
        <f aca="false">SUMIFS(Cálculo!$U$5:$U$216,Cálculo!$D$5:$D$216,$A12)</f>
        <v>-11292984.2141744</v>
      </c>
      <c r="T12" s="30" t="n">
        <f aca="false">SUMIFS(Cálculo!$V$5:$V$216,Cálculo!$D$5:$D$216,$A12)</f>
        <v>-11507550.9142437</v>
      </c>
      <c r="U12" s="30" t="n">
        <f aca="false">SUM(I12:T12)</f>
        <v>-124773526.947263</v>
      </c>
      <c r="V12" s="31" t="n">
        <f aca="false">IFERROR(U12/F12-1,"-")</f>
        <v>0.2848413794094</v>
      </c>
    </row>
    <row r="13" customFormat="false" ht="15" hidden="false" customHeight="false" outlineLevel="0" collapsed="false">
      <c r="A13" s="6" t="s">
        <v>157</v>
      </c>
      <c r="B13" s="30" t="n">
        <v>-74335992</v>
      </c>
      <c r="C13" s="30" t="n">
        <f aca="false">SUMIFS(Cálculo!$H$5:$H$216,Cálculo!$D$5:$D$216,$A13)</f>
        <v>-10216147.32171</v>
      </c>
      <c r="D13" s="30" t="n">
        <f aca="false">SUMIFS(Cálculo!$I$5:$I$216,Cálculo!$D$5:$D$216,$A13)</f>
        <v>-10451118.7101093</v>
      </c>
      <c r="E13" s="30" t="n">
        <f aca="false">SUMIFS(Cálculo!$J$5:$J$216,Cálculo!$D$5:$D$216,$A13)</f>
        <v>-10691494.4404418</v>
      </c>
      <c r="F13" s="30" t="n">
        <f aca="false">B13+SUM(C13:E13)</f>
        <v>-105694752.472261</v>
      </c>
      <c r="G13" s="30" t="n">
        <v>-97145424</v>
      </c>
      <c r="H13" s="30" t="n">
        <f aca="false">F13-G13</f>
        <v>-8549328.47226116</v>
      </c>
      <c r="I13" s="30" t="n">
        <f aca="false">SUMIFS(Cálculo!$K$5:$K$216,Cálculo!$D$5:$D$216,$A13)</f>
        <v>-10894632.8348102</v>
      </c>
      <c r="J13" s="30" t="n">
        <f aca="false">SUMIFS(Cálculo!$L$5:$L$216,Cálculo!$D$5:$D$216,$A13)</f>
        <v>-11101630.8586716</v>
      </c>
      <c r="K13" s="30" t="n">
        <f aca="false">SUMIFS(Cálculo!$M$5:$M$216,Cálculo!$D$5:$D$216,$A13)</f>
        <v>-11312561.8449864</v>
      </c>
      <c r="L13" s="30" t="n">
        <f aca="false">SUMIFS(Cálculo!$N$5:$N$216,Cálculo!$D$5:$D$216,$A13)</f>
        <v>-11527500.5200411</v>
      </c>
      <c r="M13" s="30" t="n">
        <f aca="false">SUMIFS(Cálculo!$O$5:$O$216,Cálculo!$D$5:$D$216,$A13)</f>
        <v>-11746523.0299219</v>
      </c>
      <c r="N13" s="30" t="n">
        <f aca="false">SUMIFS(Cálculo!$P$5:$P$216,Cálculo!$D$5:$D$216,$A13)</f>
        <v>-11969706.9674904</v>
      </c>
      <c r="O13" s="30" t="n">
        <f aca="false">SUMIFS(Cálculo!$Q$5:$Q$216,Cálculo!$D$5:$D$216,$A13)</f>
        <v>-12197131.3998727</v>
      </c>
      <c r="P13" s="30" t="n">
        <f aca="false">SUMIFS(Cálculo!$R$5:$R$216,Cálculo!$D$5:$D$216,$A13)</f>
        <v>-12428876.8964703</v>
      </c>
      <c r="Q13" s="30" t="n">
        <f aca="false">SUMIFS(Cálculo!$S$5:$S$216,Cálculo!$D$5:$D$216,$A13)</f>
        <v>-12665025.5575033</v>
      </c>
      <c r="R13" s="30" t="n">
        <f aca="false">SUMIFS(Cálculo!$T$5:$T$216,Cálculo!$D$5:$D$216,$A13)</f>
        <v>-12905661.0430958</v>
      </c>
      <c r="S13" s="30" t="n">
        <f aca="false">SUMIFS(Cálculo!$U$5:$U$216,Cálculo!$D$5:$D$216,$A13)</f>
        <v>-13150868.6029146</v>
      </c>
      <c r="T13" s="30" t="n">
        <f aca="false">SUMIFS(Cálculo!$V$5:$V$216,Cálculo!$D$5:$D$216,$A13)</f>
        <v>-13400735.10637</v>
      </c>
      <c r="U13" s="30" t="n">
        <f aca="false">SUM(I13:T13)</f>
        <v>-145300854.662148</v>
      </c>
      <c r="V13" s="31" t="n">
        <f aca="false">IFERROR(U13/F13-1,"-")</f>
        <v>0.374721556780046</v>
      </c>
    </row>
    <row r="14" customFormat="false" ht="15" hidden="false" customHeight="false" outlineLevel="0" collapsed="false">
      <c r="A14" s="6" t="s">
        <v>159</v>
      </c>
      <c r="B14" s="30" t="n">
        <v>-43067764</v>
      </c>
      <c r="C14" s="30" t="n">
        <f aca="false">SUMIFS(Cálculo!$H$5:$H$216,Cálculo!$D$5:$D$216,$A14)</f>
        <v>-5389596.34026</v>
      </c>
      <c r="D14" s="30" t="n">
        <f aca="false">SUMIFS(Cálculo!$I$5:$I$216,Cálculo!$D$5:$D$216,$A14)</f>
        <v>-5513557.05608598</v>
      </c>
      <c r="E14" s="30" t="n">
        <f aca="false">SUMIFS(Cálculo!$J$5:$J$216,Cálculo!$D$5:$D$216,$A14)</f>
        <v>-5640368.86837596</v>
      </c>
      <c r="F14" s="30" t="n">
        <f aca="false">B14+SUM(C14:E14)</f>
        <v>-59611286.2647219</v>
      </c>
      <c r="G14" s="30" t="n">
        <v>-64696140</v>
      </c>
      <c r="H14" s="30" t="n">
        <f aca="false">F14-G14</f>
        <v>5084853.73527806</v>
      </c>
      <c r="I14" s="30" t="n">
        <f aca="false">SUMIFS(Cálculo!$K$5:$K$216,Cálculo!$D$5:$D$216,$A14)</f>
        <v>-5747535.8768751</v>
      </c>
      <c r="J14" s="30" t="n">
        <f aca="false">SUMIFS(Cálculo!$L$5:$L$216,Cálculo!$D$5:$D$216,$A14)</f>
        <v>-5856739.05853572</v>
      </c>
      <c r="K14" s="30" t="n">
        <f aca="false">SUMIFS(Cálculo!$M$5:$M$216,Cálculo!$D$5:$D$216,$A14)</f>
        <v>-5968017.1006479</v>
      </c>
      <c r="L14" s="30" t="n">
        <f aca="false">SUMIFS(Cálculo!$N$5:$N$216,Cálculo!$D$5:$D$216,$A14)</f>
        <v>-6081409.42556021</v>
      </c>
      <c r="M14" s="30" t="n">
        <f aca="false">SUMIFS(Cálculo!$O$5:$O$216,Cálculo!$D$5:$D$216,$A14)</f>
        <v>-6196956.20464585</v>
      </c>
      <c r="N14" s="30" t="n">
        <f aca="false">SUMIFS(Cálculo!$P$5:$P$216,Cálculo!$D$5:$D$216,$A14)</f>
        <v>-6314698.37253413</v>
      </c>
      <c r="O14" s="30" t="n">
        <f aca="false">SUMIFS(Cálculo!$Q$5:$Q$216,Cálculo!$D$5:$D$216,$A14)</f>
        <v>-6434677.64161227</v>
      </c>
      <c r="P14" s="30" t="n">
        <f aca="false">SUMIFS(Cálculo!$R$5:$R$216,Cálculo!$D$5:$D$216,$A14)</f>
        <v>-6556936.51680291</v>
      </c>
      <c r="Q14" s="30" t="n">
        <f aca="false">SUMIFS(Cálculo!$S$5:$S$216,Cálculo!$D$5:$D$216,$A14)</f>
        <v>-6681518.31062216</v>
      </c>
      <c r="R14" s="30" t="n">
        <f aca="false">SUMIFS(Cálculo!$T$5:$T$216,Cálculo!$D$5:$D$216,$A14)</f>
        <v>-6808467.15852398</v>
      </c>
      <c r="S14" s="30" t="n">
        <f aca="false">SUMIFS(Cálculo!$U$5:$U$216,Cálculo!$D$5:$D$216,$A14)</f>
        <v>-6937828.03453594</v>
      </c>
      <c r="T14" s="30" t="n">
        <f aca="false">SUMIFS(Cálculo!$V$5:$V$216,Cálculo!$D$5:$D$216,$A14)</f>
        <v>-7069646.76719212</v>
      </c>
      <c r="U14" s="30" t="n">
        <f aca="false">SUM(I14:T14)</f>
        <v>-76654430.4680883</v>
      </c>
      <c r="V14" s="31" t="n">
        <f aca="false">IFERROR(U14/F14-1,"-")</f>
        <v>0.285904654492458</v>
      </c>
    </row>
    <row r="15" customFormat="false" ht="15" hidden="false" customHeight="false" outlineLevel="0" collapsed="false">
      <c r="A15" s="6" t="s">
        <v>161</v>
      </c>
      <c r="B15" s="30" t="n">
        <v>-25828134</v>
      </c>
      <c r="C15" s="30" t="n">
        <f aca="false">SUMIFS(Cálculo!$H$5:$H$216,Cálculo!$D$5:$D$216,$A15)</f>
        <v>-3544316.40105495</v>
      </c>
      <c r="D15" s="30" t="n">
        <f aca="false">SUMIFS(Cálculo!$I$5:$I$216,Cálculo!$D$5:$D$216,$A15)</f>
        <v>-3630515.7985055</v>
      </c>
      <c r="E15" s="30" t="n">
        <f aca="false">SUMIFS(Cálculo!$J$5:$J$216,Cálculo!$D$5:$D$216,$A15)</f>
        <v>-3714179.91956044</v>
      </c>
      <c r="F15" s="30" t="n">
        <f aca="false">B15+SUM(C15:E15)</f>
        <v>-36717146.1191209</v>
      </c>
      <c r="G15" s="30" t="n">
        <v>-35674567</v>
      </c>
      <c r="H15" s="30" t="n">
        <f aca="false">F15-G15</f>
        <v>-1042579.11912088</v>
      </c>
      <c r="I15" s="30" t="n">
        <f aca="false">SUMIFS(Cálculo!$K$5:$K$216,Cálculo!$D$5:$D$216,$A15)</f>
        <v>-3775026.55305494</v>
      </c>
      <c r="J15" s="30" t="n">
        <f aca="false">SUMIFS(Cálculo!$L$5:$L$216,Cálculo!$D$5:$D$216,$A15)</f>
        <v>-3833337.91015385</v>
      </c>
      <c r="K15" s="30" t="n">
        <f aca="false">SUMIFS(Cálculo!$M$5:$M$216,Cálculo!$D$5:$D$216,$A15)</f>
        <v>-3894184.54364835</v>
      </c>
      <c r="L15" s="30" t="n">
        <f aca="false">SUMIFS(Cálculo!$N$5:$N$216,Cálculo!$D$5:$D$216,$A15)</f>
        <v>-3955031.17714286</v>
      </c>
      <c r="M15" s="30" t="n">
        <f aca="false">SUMIFS(Cálculo!$O$5:$O$216,Cálculo!$D$5:$D$216,$A15)</f>
        <v>-4015877.81063736</v>
      </c>
      <c r="N15" s="30" t="n">
        <f aca="false">SUMIFS(Cálculo!$P$5:$P$216,Cálculo!$D$5:$D$216,$A15)</f>
        <v>-4076724.44413187</v>
      </c>
      <c r="O15" s="30" t="n">
        <f aca="false">SUMIFS(Cálculo!$Q$5:$Q$216,Cálculo!$D$5:$D$216,$A15)</f>
        <v>-4135035.80123077</v>
      </c>
      <c r="P15" s="30" t="n">
        <f aca="false">SUMIFS(Cálculo!$R$5:$R$216,Cálculo!$D$5:$D$216,$A15)</f>
        <v>-4195882.43472527</v>
      </c>
      <c r="Q15" s="30" t="n">
        <f aca="false">SUMIFS(Cálculo!$S$5:$S$216,Cálculo!$D$5:$D$216,$A15)</f>
        <v>-4256729.06821978</v>
      </c>
      <c r="R15" s="30" t="n">
        <f aca="false">SUMIFS(Cálculo!$T$5:$T$216,Cálculo!$D$5:$D$216,$A15)</f>
        <v>-4315040.42531868</v>
      </c>
      <c r="S15" s="30" t="n">
        <f aca="false">SUMIFS(Cálculo!$U$5:$U$216,Cálculo!$D$5:$D$216,$A15)</f>
        <v>-4375887.05881319</v>
      </c>
      <c r="T15" s="30" t="n">
        <f aca="false">SUMIFS(Cálculo!$V$5:$V$216,Cálculo!$D$5:$D$216,$A15)</f>
        <v>-4436733.69230769</v>
      </c>
      <c r="U15" s="30" t="n">
        <f aca="false">SUM(I15:T15)</f>
        <v>-49265490.9193846</v>
      </c>
      <c r="V15" s="31" t="n">
        <f aca="false">IFERROR(U15/F15-1,"-")</f>
        <v>0.341757084266662</v>
      </c>
    </row>
    <row r="16" customFormat="false" ht="15" hidden="false" customHeight="false" outlineLevel="0" collapsed="false">
      <c r="A16" s="6" t="s">
        <v>163</v>
      </c>
      <c r="B16" s="30" t="n">
        <v>-14867561</v>
      </c>
      <c r="C16" s="30" t="n">
        <f aca="false">SUMIFS(Cálculo!$H$5:$H$216,Cálculo!$D$5:$D$216,$A16)</f>
        <v>-1888881.4197</v>
      </c>
      <c r="D16" s="30" t="n">
        <f aca="false">SUMIFS(Cálculo!$I$5:$I$216,Cálculo!$D$5:$D$216,$A16)</f>
        <v>-1932325.6923531</v>
      </c>
      <c r="E16" s="30" t="n">
        <f aca="false">SUMIFS(Cálculo!$J$5:$J$216,Cálculo!$D$5:$D$216,$A16)</f>
        <v>-1976769.18327722</v>
      </c>
      <c r="F16" s="30" t="n">
        <f aca="false">B16+SUM(C16:E16)</f>
        <v>-20665537.2953303</v>
      </c>
      <c r="G16" s="30" t="n">
        <v>-21840243</v>
      </c>
      <c r="H16" s="30" t="n">
        <f aca="false">F16-G16</f>
        <v>1174705.70466968</v>
      </c>
      <c r="I16" s="30" t="n">
        <f aca="false">SUMIFS(Cálculo!$K$5:$K$216,Cálculo!$D$5:$D$216,$A16)</f>
        <v>-2014327.79775949</v>
      </c>
      <c r="J16" s="30" t="n">
        <f aca="false">SUMIFS(Cálculo!$L$5:$L$216,Cálculo!$D$5:$D$216,$A16)</f>
        <v>-2052600.02591692</v>
      </c>
      <c r="K16" s="30" t="n">
        <f aca="false">SUMIFS(Cálculo!$M$5:$M$216,Cálculo!$D$5:$D$216,$A16)</f>
        <v>-2091599.42640934</v>
      </c>
      <c r="L16" s="30" t="n">
        <f aca="false">SUMIFS(Cálculo!$N$5:$N$216,Cálculo!$D$5:$D$216,$A16)</f>
        <v>-2131339.81551112</v>
      </c>
      <c r="M16" s="30" t="n">
        <f aca="false">SUMIFS(Cálculo!$O$5:$O$216,Cálculo!$D$5:$D$216,$A16)</f>
        <v>-2171835.27200583</v>
      </c>
      <c r="N16" s="30" t="n">
        <f aca="false">SUMIFS(Cálculo!$P$5:$P$216,Cálculo!$D$5:$D$216,$A16)</f>
        <v>-2213100.14217394</v>
      </c>
      <c r="O16" s="30" t="n">
        <f aca="false">SUMIFS(Cálculo!$Q$5:$Q$216,Cálculo!$D$5:$D$216,$A16)</f>
        <v>-2255149.04487524</v>
      </c>
      <c r="P16" s="30" t="n">
        <f aca="false">SUMIFS(Cálculo!$R$5:$R$216,Cálculo!$D$5:$D$216,$A16)</f>
        <v>-2297996.87672787</v>
      </c>
      <c r="Q16" s="30" t="n">
        <f aca="false">SUMIFS(Cálculo!$S$5:$S$216,Cálculo!$D$5:$D$216,$A16)</f>
        <v>-2341658.8173857</v>
      </c>
      <c r="R16" s="30" t="n">
        <f aca="false">SUMIFS(Cálculo!$T$5:$T$216,Cálculo!$D$5:$D$216,$A16)</f>
        <v>-2386150.33491603</v>
      </c>
      <c r="S16" s="30" t="n">
        <f aca="false">SUMIFS(Cálculo!$U$5:$U$216,Cálculo!$D$5:$D$216,$A16)</f>
        <v>-2431487.19127943</v>
      </c>
      <c r="T16" s="30" t="n">
        <f aca="false">SUMIFS(Cálculo!$V$5:$V$216,Cálculo!$D$5:$D$216,$A16)</f>
        <v>-2477685.44791374</v>
      </c>
      <c r="U16" s="30" t="n">
        <f aca="false">SUM(I16:T16)</f>
        <v>-26864930.1928746</v>
      </c>
      <c r="V16" s="31" t="n">
        <f aca="false">IFERROR(U16/F16-1,"-")</f>
        <v>0.299987017465312</v>
      </c>
    </row>
    <row r="17" customFormat="false" ht="15" hidden="false" customHeight="false" outlineLevel="0" collapsed="false">
      <c r="A17" s="6" t="s">
        <v>165</v>
      </c>
      <c r="B17" s="30" t="n">
        <v>-13907210</v>
      </c>
      <c r="C17" s="30" t="n">
        <f aca="false">SUMIFS(Cálculo!$H$5:$H$216,Cálculo!$D$5:$D$216,$A17)</f>
        <v>-1891494</v>
      </c>
      <c r="D17" s="30" t="n">
        <f aca="false">SUMIFS(Cálculo!$I$5:$I$216,Cálculo!$D$5:$D$216,$A17)</f>
        <v>-1937496</v>
      </c>
      <c r="E17" s="30" t="n">
        <f aca="false">SUMIFS(Cálculo!$J$5:$J$216,Cálculo!$D$5:$D$216,$A17)</f>
        <v>-1982145</v>
      </c>
      <c r="F17" s="30" t="n">
        <f aca="false">B17+SUM(C17:E17)</f>
        <v>-19718345</v>
      </c>
      <c r="G17" s="30" t="n">
        <v>-19069880</v>
      </c>
      <c r="H17" s="30" t="n">
        <f aca="false">F17-G17</f>
        <v>-648465</v>
      </c>
      <c r="I17" s="30" t="n">
        <f aca="false">SUMIFS(Cálculo!$K$5:$K$216,Cálculo!$D$5:$D$216,$A17)</f>
        <v>-2014617</v>
      </c>
      <c r="J17" s="30" t="n">
        <f aca="false">SUMIFS(Cálculo!$L$5:$L$216,Cálculo!$D$5:$D$216,$A17)</f>
        <v>-2045736</v>
      </c>
      <c r="K17" s="30" t="n">
        <f aca="false">SUMIFS(Cálculo!$M$5:$M$216,Cálculo!$D$5:$D$216,$A17)</f>
        <v>-2078208</v>
      </c>
      <c r="L17" s="30" t="n">
        <f aca="false">SUMIFS(Cálculo!$N$5:$N$216,Cálculo!$D$5:$D$216,$A17)</f>
        <v>-2110680</v>
      </c>
      <c r="M17" s="30" t="n">
        <f aca="false">SUMIFS(Cálculo!$O$5:$O$216,Cálculo!$D$5:$D$216,$A17)</f>
        <v>-2143152</v>
      </c>
      <c r="N17" s="30" t="n">
        <f aca="false">SUMIFS(Cálculo!$P$5:$P$216,Cálculo!$D$5:$D$216,$A17)</f>
        <v>-2175624</v>
      </c>
      <c r="O17" s="30" t="n">
        <f aca="false">SUMIFS(Cálculo!$Q$5:$Q$216,Cálculo!$D$5:$D$216,$A17)</f>
        <v>-2206743</v>
      </c>
      <c r="P17" s="30" t="n">
        <f aca="false">SUMIFS(Cálculo!$R$5:$R$216,Cálculo!$D$5:$D$216,$A17)</f>
        <v>-2239215</v>
      </c>
      <c r="Q17" s="30" t="n">
        <f aca="false">SUMIFS(Cálculo!$S$5:$S$216,Cálculo!$D$5:$D$216,$A17)</f>
        <v>-2271687</v>
      </c>
      <c r="R17" s="30" t="n">
        <f aca="false">SUMIFS(Cálculo!$T$5:$T$216,Cálculo!$D$5:$D$216,$A17)</f>
        <v>-2302806</v>
      </c>
      <c r="S17" s="30" t="n">
        <f aca="false">SUMIFS(Cálculo!$U$5:$U$216,Cálculo!$D$5:$D$216,$A17)</f>
        <v>-2335278</v>
      </c>
      <c r="T17" s="30" t="n">
        <f aca="false">SUMIFS(Cálculo!$V$5:$V$216,Cálculo!$D$5:$D$216,$A17)</f>
        <v>-2367750</v>
      </c>
      <c r="U17" s="30" t="n">
        <f aca="false">SUM(I17:T17)</f>
        <v>-26291496</v>
      </c>
      <c r="V17" s="31" t="n">
        <f aca="false">IFERROR(U17/F17-1,"-")</f>
        <v>0.333352063776144</v>
      </c>
    </row>
    <row r="18" customFormat="false" ht="15" hidden="false" customHeight="false" outlineLevel="0" collapsed="false">
      <c r="A18" s="27" t="s">
        <v>167</v>
      </c>
      <c r="B18" s="28" t="n">
        <f aca="false">B19</f>
        <v>-95541356</v>
      </c>
      <c r="C18" s="28" t="n">
        <f aca="false">C19</f>
        <v>-11959222.1395152</v>
      </c>
      <c r="D18" s="28" t="n">
        <f aca="false">D19</f>
        <v>-12113152.721509</v>
      </c>
      <c r="E18" s="28" t="n">
        <f aca="false">E19</f>
        <v>-12020002.5770806</v>
      </c>
      <c r="F18" s="28" t="n">
        <f aca="false">B18+SUM(C18:E18)</f>
        <v>-131633733.438105</v>
      </c>
      <c r="G18" s="28" t="n">
        <f aca="false">G19</f>
        <v>-146054345</v>
      </c>
      <c r="H18" s="28" t="n">
        <f aca="false">F18-G18</f>
        <v>14420611.5618953</v>
      </c>
      <c r="I18" s="28" t="n">
        <f aca="false">I19</f>
        <v>-12122110.6402096</v>
      </c>
      <c r="J18" s="28" t="n">
        <f aca="false">J19</f>
        <v>-12481101.8959399</v>
      </c>
      <c r="K18" s="28" t="n">
        <f aca="false">K19</f>
        <v>-13504938.2648677</v>
      </c>
      <c r="L18" s="28" t="n">
        <f aca="false">L19</f>
        <v>-13494317.8765235</v>
      </c>
      <c r="M18" s="28" t="n">
        <f aca="false">M19</f>
        <v>-13614564.273443</v>
      </c>
      <c r="N18" s="28" t="n">
        <f aca="false">N19</f>
        <v>-13734508.584692</v>
      </c>
      <c r="O18" s="28" t="n">
        <f aca="false">O19</f>
        <v>-14136832.5735365</v>
      </c>
      <c r="P18" s="28" t="n">
        <f aca="false">P19</f>
        <v>-14549486.7163581</v>
      </c>
      <c r="Q18" s="28" t="n">
        <f aca="false">Q19</f>
        <v>-14972718.3200478</v>
      </c>
      <c r="R18" s="28" t="n">
        <f aca="false">R19</f>
        <v>-15107619.5762843</v>
      </c>
      <c r="S18" s="28" t="n">
        <f aca="false">S19</f>
        <v>-15242241.9289442</v>
      </c>
      <c r="T18" s="28" t="n">
        <f aca="false">T19</f>
        <v>-15065889.1898264</v>
      </c>
      <c r="U18" s="28" t="n">
        <f aca="false">SUM(I18:T18)</f>
        <v>-168026329.840673</v>
      </c>
      <c r="V18" s="29" t="n">
        <f aca="false">IFERROR(U18/F18-1,"-")</f>
        <v>0.276468618279223</v>
      </c>
    </row>
    <row r="19" customFormat="false" ht="15" hidden="false" customHeight="false" outlineLevel="0" collapsed="false">
      <c r="A19" s="6" t="s">
        <v>168</v>
      </c>
      <c r="B19" s="30" t="n">
        <v>-95541356</v>
      </c>
      <c r="C19" s="30" t="n">
        <f aca="false">SUMIFS(Cálculo!$H$5:$H$216,Cálculo!$D$5:$D$216,$A19)</f>
        <v>-11959222.1395152</v>
      </c>
      <c r="D19" s="30" t="n">
        <f aca="false">SUMIFS(Cálculo!$I$5:$I$216,Cálculo!$D$5:$D$216,$A19)</f>
        <v>-12113152.721509</v>
      </c>
      <c r="E19" s="30" t="n">
        <f aca="false">SUMIFS(Cálculo!$J$5:$J$216,Cálculo!$D$5:$D$216,$A19)</f>
        <v>-12020002.5770806</v>
      </c>
      <c r="F19" s="30" t="n">
        <f aca="false">B19+SUM(C19:E19)</f>
        <v>-131633733.438105</v>
      </c>
      <c r="G19" s="30" t="n">
        <v>-146054345</v>
      </c>
      <c r="H19" s="30" t="n">
        <f aca="false">F19-G19</f>
        <v>14420611.5618953</v>
      </c>
      <c r="I19" s="30" t="n">
        <f aca="false">SUMIFS(Cálculo!$K$5:$K$216,Cálculo!$D$5:$D$216,$A19)</f>
        <v>-12122110.6402096</v>
      </c>
      <c r="J19" s="30" t="n">
        <f aca="false">SUMIFS(Cálculo!$L$5:$L$216,Cálculo!$D$5:$D$216,$A19)</f>
        <v>-12481101.8959399</v>
      </c>
      <c r="K19" s="30" t="n">
        <f aca="false">SUMIFS(Cálculo!$M$5:$M$216,Cálculo!$D$5:$D$216,$A19)</f>
        <v>-13504938.2648677</v>
      </c>
      <c r="L19" s="30" t="n">
        <f aca="false">SUMIFS(Cálculo!$N$5:$N$216,Cálculo!$D$5:$D$216,$A19)</f>
        <v>-13494317.8765235</v>
      </c>
      <c r="M19" s="30" t="n">
        <f aca="false">SUMIFS(Cálculo!$O$5:$O$216,Cálculo!$D$5:$D$216,$A19)</f>
        <v>-13614564.273443</v>
      </c>
      <c r="N19" s="30" t="n">
        <f aca="false">SUMIFS(Cálculo!$P$5:$P$216,Cálculo!$D$5:$D$216,$A19)</f>
        <v>-13734508.584692</v>
      </c>
      <c r="O19" s="30" t="n">
        <f aca="false">SUMIFS(Cálculo!$Q$5:$Q$216,Cálculo!$D$5:$D$216,$A19)</f>
        <v>-14136832.5735365</v>
      </c>
      <c r="P19" s="30" t="n">
        <f aca="false">SUMIFS(Cálculo!$R$5:$R$216,Cálculo!$D$5:$D$216,$A19)</f>
        <v>-14549486.7163581</v>
      </c>
      <c r="Q19" s="30" t="n">
        <f aca="false">SUMIFS(Cálculo!$S$5:$S$216,Cálculo!$D$5:$D$216,$A19)</f>
        <v>-14972718.3200478</v>
      </c>
      <c r="R19" s="30" t="n">
        <f aca="false">SUMIFS(Cálculo!$T$5:$T$216,Cálculo!$D$5:$D$216,$A19)</f>
        <v>-15107619.5762843</v>
      </c>
      <c r="S19" s="30" t="n">
        <f aca="false">SUMIFS(Cálculo!$U$5:$U$216,Cálculo!$D$5:$D$216,$A19)</f>
        <v>-15242241.9289442</v>
      </c>
      <c r="T19" s="30" t="n">
        <f aca="false">SUMIFS(Cálculo!$V$5:$V$216,Cálculo!$D$5:$D$216,$A19)</f>
        <v>-15065889.1898264</v>
      </c>
      <c r="U19" s="30" t="n">
        <f aca="false">SUM(I19:T19)</f>
        <v>-168026329.840673</v>
      </c>
      <c r="V19" s="31" t="n">
        <f aca="false">IFERROR(U19/F19-1,"-")</f>
        <v>0.276468618279223</v>
      </c>
    </row>
    <row r="20" customFormat="false" ht="15" hidden="false" customHeight="false" outlineLevel="0" collapsed="false">
      <c r="A20" s="32" t="s">
        <v>217</v>
      </c>
      <c r="B20" s="33" t="n">
        <f aca="false">B5+B8+B18</f>
        <v>1422955718</v>
      </c>
      <c r="C20" s="33" t="n">
        <f aca="false">C5+C8+C18</f>
        <v>180399626.379335</v>
      </c>
      <c r="D20" s="33" t="n">
        <f aca="false">D5+D8+D18</f>
        <v>183683763.449338</v>
      </c>
      <c r="E20" s="33" t="n">
        <f aca="false">E5+E8+E18</f>
        <v>178409672.265333</v>
      </c>
      <c r="F20" s="33" t="n">
        <f aca="false">B20+SUM(C20:E20)</f>
        <v>1965448780.09401</v>
      </c>
      <c r="G20" s="33" t="n">
        <f aca="false">G5+G8+G18</f>
        <v>2273440887</v>
      </c>
      <c r="H20" s="33" t="n">
        <f aca="false">F20-G20</f>
        <v>-307992106.905994</v>
      </c>
      <c r="I20" s="33" t="n">
        <f aca="false">I5+I8+I18</f>
        <v>172244636.346945</v>
      </c>
      <c r="J20" s="33" t="n">
        <f aca="false">J5+J8+J18</f>
        <v>183040655.105441</v>
      </c>
      <c r="K20" s="33" t="n">
        <f aca="false">K5+K8+K18</f>
        <v>216792563.575877</v>
      </c>
      <c r="L20" s="33" t="n">
        <f aca="false">L5+L8+L18</f>
        <v>206221237.070743</v>
      </c>
      <c r="M20" s="33" t="n">
        <f aca="false">M5+M8+M18</f>
        <v>208666672.30396</v>
      </c>
      <c r="N20" s="33" t="n">
        <f aca="false">N5+N8+N18</f>
        <v>211082359.65968</v>
      </c>
      <c r="O20" s="33" t="n">
        <f aca="false">O5+O8+O18</f>
        <v>214287147.171661</v>
      </c>
      <c r="P20" s="33" t="n">
        <f aca="false">P5+P8+P18</f>
        <v>226775999.050487</v>
      </c>
      <c r="Q20" s="33" t="n">
        <f aca="false">Q5+Q8+Q18</f>
        <v>239604814.877842</v>
      </c>
      <c r="R20" s="33" t="n">
        <f aca="false">R5+R8+R18</f>
        <v>233004191.151162</v>
      </c>
      <c r="S20" s="33" t="n">
        <f aca="false">S5+S8+S18</f>
        <v>235819667.265243</v>
      </c>
      <c r="T20" s="33" t="n">
        <f aca="false">T5+T8+T18</f>
        <v>227882305.8295</v>
      </c>
      <c r="U20" s="33" t="n">
        <f aca="false">SUM(I20:T20)</f>
        <v>2575422249.40854</v>
      </c>
      <c r="V20" s="34" t="n">
        <f aca="false">IFERROR(U20/F20-1,"-")</f>
        <v>0.310348188918644</v>
      </c>
    </row>
    <row r="21" customFormat="false" ht="15" hidden="false" customHeight="false" outlineLevel="0" collapsed="false">
      <c r="A21" s="35" t="s">
        <v>218</v>
      </c>
      <c r="B21" s="36" t="n">
        <f aca="false">IFERROR(B20/B5,0)</f>
        <v>0.42044210448824</v>
      </c>
      <c r="C21" s="36" t="n">
        <f aca="false">IFERROR(C20/C5,0)</f>
        <v>0.423531926653987</v>
      </c>
      <c r="D21" s="36" t="n">
        <f aca="false">IFERROR(D20/D5,0)</f>
        <v>0.425726908550823</v>
      </c>
      <c r="E21" s="36" t="n">
        <f aca="false">IFERROR(E20/E5,0)</f>
        <v>0.416706372583756</v>
      </c>
      <c r="F21" s="36" t="n">
        <f aca="false">IFERROR(F20/F5,0)</f>
        <v>0.420869694778034</v>
      </c>
      <c r="G21" s="36" t="n">
        <f aca="false">IFERROR(G20/G5,0)</f>
        <v>0.444008376258967</v>
      </c>
      <c r="I21" s="36" t="n">
        <f aca="false">IFERROR(I20/I5,0)</f>
        <v>0.398983902813336</v>
      </c>
      <c r="J21" s="36" t="n">
        <f aca="false">IFERROR(J20/J5,0)</f>
        <v>0.411888350345233</v>
      </c>
      <c r="K21" s="36" t="n">
        <f aca="false">IFERROR(K20/K5,0)</f>
        <v>0.450943055778732</v>
      </c>
      <c r="L21" s="36" t="n">
        <f aca="false">IFERROR(L20/L5,0)</f>
        <v>0.42938207409644</v>
      </c>
      <c r="M21" s="36" t="n">
        <f aca="false">IFERROR(M20/M5,0)</f>
        <v>0.430733400758492</v>
      </c>
      <c r="N21" s="36" t="n">
        <f aca="false">IFERROR(N20/N5,0)</f>
        <v>0.432017885533845</v>
      </c>
      <c r="O21" s="36" t="n">
        <f aca="false">IFERROR(O20/O5,0)</f>
        <v>0.426219222930805</v>
      </c>
      <c r="P21" s="36" t="n">
        <f aca="false">IFERROR(P20/P5,0)</f>
        <v>0.438382296728795</v>
      </c>
      <c r="Q21" s="36" t="n">
        <f aca="false">IFERROR(Q20/Q5,0)</f>
        <v>0.450213253914938</v>
      </c>
      <c r="R21" s="36" t="n">
        <f aca="false">IFERROR(R20/R5,0)</f>
        <v>0.434041924744463</v>
      </c>
      <c r="S21" s="36" t="n">
        <f aca="false">IFERROR(S20/S5,0)</f>
        <v>0.435536392660516</v>
      </c>
      <c r="T21" s="36" t="n">
        <f aca="false">IFERROR(T20/T5,0)</f>
        <v>0.425934651599132</v>
      </c>
      <c r="U21" s="36" t="n">
        <f aca="false">IFERROR(U20/U5,0)</f>
        <v>0.430980570529943</v>
      </c>
    </row>
    <row r="22" customFormat="false" ht="15" hidden="false" customHeight="false" outlineLevel="0" collapsed="false">
      <c r="A22" s="27" t="s">
        <v>185</v>
      </c>
      <c r="B22" s="28" t="n">
        <f aca="false">B23+B24+B25+B26+B27</f>
        <v>-924756121</v>
      </c>
      <c r="C22" s="28" t="n">
        <f aca="false">C23+C24+C25+C26+C27</f>
        <v>-117042340.84706</v>
      </c>
      <c r="D22" s="28" t="n">
        <f aca="false">D23+D24+D25+D26+D27</f>
        <v>-117695145.276236</v>
      </c>
      <c r="E22" s="28" t="n">
        <f aca="false">E23+E24+E25+E26+E27</f>
        <v>-118355836.207283</v>
      </c>
      <c r="F22" s="28" t="n">
        <f aca="false">B22+SUM(C22:E22)</f>
        <v>-1277849443.33058</v>
      </c>
      <c r="G22" s="28" t="n">
        <f aca="false">G23+G24+G25+G26+G27</f>
        <v>-1347498401</v>
      </c>
      <c r="H22" s="28" t="n">
        <f aca="false">F22-G22</f>
        <v>69648957.669421</v>
      </c>
      <c r="I22" s="28" t="n">
        <f aca="false">I23+I24+I25+I26+I27</f>
        <v>-123792558.085266</v>
      </c>
      <c r="J22" s="28" t="n">
        <f aca="false">J23+J24+J25+J26+J27</f>
        <v>-124339836.901513</v>
      </c>
      <c r="K22" s="28" t="n">
        <f aca="false">K23+K24+K25+K26+K27</f>
        <v>-124899766.015268</v>
      </c>
      <c r="L22" s="28" t="n">
        <f aca="false">L23+L24+L25+L26+L27</f>
        <v>-130631608.114055</v>
      </c>
      <c r="M22" s="28" t="n">
        <f aca="false">M23+M24+M25+M26+M27</f>
        <v>-131209334.012543</v>
      </c>
      <c r="N22" s="28" t="n">
        <f aca="false">N23+N24+N25+N26+N27</f>
        <v>-131796212.703102</v>
      </c>
      <c r="O22" s="28" t="n">
        <f aca="false">O23+O24+O25+O26+O27</f>
        <v>-137835486.828906</v>
      </c>
      <c r="P22" s="28" t="n">
        <f aca="false">P23+P24+P25+P26+P27</f>
        <v>-138441196.116914</v>
      </c>
      <c r="Q22" s="28" t="n">
        <f aca="false">Q23+Q24+Q25+Q26+Q27</f>
        <v>-139056589.881394</v>
      </c>
      <c r="R22" s="28" t="n">
        <f aca="false">R23+R24+R25+R26+R27</f>
        <v>-145424509.648229</v>
      </c>
      <c r="S22" s="28" t="n">
        <f aca="false">S23+S24+S25+S26+S27</f>
        <v>-146059827.876908</v>
      </c>
      <c r="T22" s="28" t="n">
        <f aca="false">T23+T24+T25+T26+T27</f>
        <v>-146705393.151932</v>
      </c>
      <c r="U22" s="28" t="n">
        <f aca="false">SUM(I22:T22)</f>
        <v>-1620192319.33603</v>
      </c>
      <c r="V22" s="29" t="n">
        <f aca="false">IFERROR(U22/F22-1,"-")</f>
        <v>0.26790548588664</v>
      </c>
    </row>
    <row r="23" customFormat="false" ht="15" hidden="false" customHeight="false" outlineLevel="0" collapsed="false">
      <c r="A23" s="6" t="s">
        <v>186</v>
      </c>
      <c r="B23" s="30" t="n">
        <v>-701091994</v>
      </c>
      <c r="C23" s="30" t="n">
        <f aca="false">SUMIFS(Cálculo!$H$5:$H$216,Cálculo!$D$5:$D$216,$A23)</f>
        <v>-88980583.0568</v>
      </c>
      <c r="D23" s="30" t="n">
        <f aca="false">SUMIFS(Cálculo!$I$5:$I$216,Cálculo!$D$5:$D$216,$A23)</f>
        <v>-88980583.0568</v>
      </c>
      <c r="E23" s="30" t="n">
        <f aca="false">SUMIFS(Cálculo!$J$5:$J$216,Cálculo!$D$5:$D$216,$A23)</f>
        <v>-88980583.0568</v>
      </c>
      <c r="F23" s="30" t="n">
        <f aca="false">B23+SUM(C23:E23)</f>
        <v>-968033743.1704</v>
      </c>
      <c r="G23" s="30" t="n">
        <v>-1026810649</v>
      </c>
      <c r="H23" s="30" t="n">
        <f aca="false">F23-G23</f>
        <v>58776905.8296</v>
      </c>
      <c r="I23" s="30" t="n">
        <f aca="false">SUMIFS(Cálculo!$K$5:$K$216,Cálculo!$D$5:$D$216,$A23)</f>
        <v>-93874515.124924</v>
      </c>
      <c r="J23" s="30" t="n">
        <f aca="false">SUMIFS(Cálculo!$L$5:$L$216,Cálculo!$D$5:$D$216,$A23)</f>
        <v>-93874515.124924</v>
      </c>
      <c r="K23" s="30" t="n">
        <f aca="false">SUMIFS(Cálculo!$M$5:$M$216,Cálculo!$D$5:$D$216,$A23)</f>
        <v>-93874515.124924</v>
      </c>
      <c r="L23" s="30" t="n">
        <f aca="false">SUMIFS(Cálculo!$N$5:$N$216,Cálculo!$D$5:$D$216,$A23)</f>
        <v>-99037613.4567948</v>
      </c>
      <c r="M23" s="30" t="n">
        <f aca="false">SUMIFS(Cálculo!$O$5:$O$216,Cálculo!$D$5:$D$216,$A23)</f>
        <v>-99037613.4567948</v>
      </c>
      <c r="N23" s="30" t="n">
        <f aca="false">SUMIFS(Cálculo!$P$5:$P$216,Cálculo!$D$5:$D$216,$A23)</f>
        <v>-99037613.4567948</v>
      </c>
      <c r="O23" s="30" t="n">
        <f aca="false">SUMIFS(Cálculo!$Q$5:$Q$216,Cálculo!$D$5:$D$216,$A23)</f>
        <v>-104484682.196919</v>
      </c>
      <c r="P23" s="30" t="n">
        <f aca="false">SUMIFS(Cálculo!$R$5:$R$216,Cálculo!$D$5:$D$216,$A23)</f>
        <v>-104484682.196919</v>
      </c>
      <c r="Q23" s="30" t="n">
        <f aca="false">SUMIFS(Cálculo!$S$5:$S$216,Cálculo!$D$5:$D$216,$A23)</f>
        <v>-104484682.196919</v>
      </c>
      <c r="R23" s="30" t="n">
        <f aca="false">SUMIFS(Cálculo!$T$5:$T$216,Cálculo!$D$5:$D$216,$A23)</f>
        <v>-110231339.717749</v>
      </c>
      <c r="S23" s="30" t="n">
        <f aca="false">SUMIFS(Cálculo!$U$5:$U$216,Cálculo!$D$5:$D$216,$A23)</f>
        <v>-110231339.717749</v>
      </c>
      <c r="T23" s="30" t="n">
        <f aca="false">SUMIFS(Cálculo!$V$5:$V$216,Cálculo!$D$5:$D$216,$A23)</f>
        <v>-110231339.717749</v>
      </c>
      <c r="U23" s="30" t="n">
        <f aca="false">SUM(I23:T23)</f>
        <v>-1222884451.48916</v>
      </c>
      <c r="V23" s="31" t="n">
        <f aca="false">IFERROR(U23/F23-1,"-")</f>
        <v>0.263266348013965</v>
      </c>
    </row>
    <row r="24" customFormat="false" ht="15" hidden="false" customHeight="false" outlineLevel="0" collapsed="false">
      <c r="A24" s="6" t="s">
        <v>188</v>
      </c>
      <c r="B24" s="30" t="n">
        <v>-44643149</v>
      </c>
      <c r="C24" s="30" t="n">
        <f aca="false">SUMIFS(Cálculo!$H$5:$H$216,Cálculo!$D$5:$D$216,$A24)</f>
        <v>-5494064.95704</v>
      </c>
      <c r="D24" s="30" t="n">
        <f aca="false">SUMIFS(Cálculo!$I$5:$I$216,Cálculo!$D$5:$D$216,$A24)</f>
        <v>-5620428.45105192</v>
      </c>
      <c r="E24" s="30" t="n">
        <f aca="false">SUMIFS(Cálculo!$J$5:$J$216,Cálculo!$D$5:$D$216,$A24)</f>
        <v>-5749698.30542611</v>
      </c>
      <c r="F24" s="30" t="n">
        <f aca="false">B24+SUM(C24:E24)</f>
        <v>-61507340.713518</v>
      </c>
      <c r="G24" s="30" t="n">
        <v>-64364048</v>
      </c>
      <c r="H24" s="30" t="n">
        <f aca="false">F24-G24</f>
        <v>2856707.28648197</v>
      </c>
      <c r="I24" s="30" t="n">
        <f aca="false">SUMIFS(Cálculo!$K$5:$K$216,Cálculo!$D$5:$D$216,$A24)</f>
        <v>-5858942.57322921</v>
      </c>
      <c r="J24" s="30" t="n">
        <f aca="false">SUMIFS(Cálculo!$L$5:$L$216,Cálculo!$D$5:$D$216,$A24)</f>
        <v>-5970262.48212056</v>
      </c>
      <c r="K24" s="30" t="n">
        <f aca="false">SUMIFS(Cálculo!$M$5:$M$216,Cálculo!$D$5:$D$216,$A24)</f>
        <v>-6083697.46928085</v>
      </c>
      <c r="L24" s="30" t="n">
        <f aca="false">SUMIFS(Cálculo!$N$5:$N$216,Cálculo!$D$5:$D$216,$A24)</f>
        <v>-6199287.72119719</v>
      </c>
      <c r="M24" s="30" t="n">
        <f aca="false">SUMIFS(Cálculo!$O$5:$O$216,Cálculo!$D$5:$D$216,$A24)</f>
        <v>-6317074.18789993</v>
      </c>
      <c r="N24" s="30" t="n">
        <f aca="false">SUMIFS(Cálculo!$P$5:$P$216,Cálculo!$D$5:$D$216,$A24)</f>
        <v>-6437098.59747003</v>
      </c>
      <c r="O24" s="30" t="n">
        <f aca="false">SUMIFS(Cálculo!$Q$5:$Q$216,Cálculo!$D$5:$D$216,$A24)</f>
        <v>-6559403.47082196</v>
      </c>
      <c r="P24" s="30" t="n">
        <f aca="false">SUMIFS(Cálculo!$R$5:$R$216,Cálculo!$D$5:$D$216,$A24)</f>
        <v>-6684032.13676758</v>
      </c>
      <c r="Q24" s="30" t="n">
        <f aca="false">SUMIFS(Cálculo!$S$5:$S$216,Cálculo!$D$5:$D$216,$A24)</f>
        <v>-6811028.74736616</v>
      </c>
      <c r="R24" s="30" t="n">
        <f aca="false">SUMIFS(Cálculo!$T$5:$T$216,Cálculo!$D$5:$D$216,$A24)</f>
        <v>-6940438.29356612</v>
      </c>
      <c r="S24" s="30" t="n">
        <f aca="false">SUMIFS(Cálculo!$U$5:$U$216,Cálculo!$D$5:$D$216,$A24)</f>
        <v>-7072306.62114387</v>
      </c>
      <c r="T24" s="30" t="n">
        <f aca="false">SUMIFS(Cálculo!$V$5:$V$216,Cálculo!$D$5:$D$216,$A24)</f>
        <v>-7206680.44694561</v>
      </c>
      <c r="U24" s="30" t="n">
        <f aca="false">SUM(I24:T24)</f>
        <v>-78140252.7478091</v>
      </c>
      <c r="V24" s="31" t="n">
        <f aca="false">IFERROR(U24/F24-1,"-")</f>
        <v>0.270421576373493</v>
      </c>
    </row>
    <row r="25" customFormat="false" ht="15" hidden="false" customHeight="false" outlineLevel="0" collapsed="false">
      <c r="A25" s="6" t="s">
        <v>190</v>
      </c>
      <c r="B25" s="30" t="n">
        <v>-59524200</v>
      </c>
      <c r="C25" s="30" t="n">
        <f aca="false">SUMIFS(Cálculo!$H$5:$H$216,Cálculo!$D$5:$D$216,$A25)</f>
        <v>-7325420.29395</v>
      </c>
      <c r="D25" s="30" t="n">
        <f aca="false">SUMIFS(Cálculo!$I$5:$I$216,Cálculo!$D$5:$D$216,$A25)</f>
        <v>-7493904.96071085</v>
      </c>
      <c r="E25" s="30" t="n">
        <f aca="false">SUMIFS(Cálculo!$J$5:$J$216,Cálculo!$D$5:$D$216,$A25)</f>
        <v>-7666264.7748072</v>
      </c>
      <c r="F25" s="30" t="n">
        <f aca="false">B25+SUM(C25:E25)</f>
        <v>-82009790.029468</v>
      </c>
      <c r="G25" s="30" t="n">
        <v>-85818732</v>
      </c>
      <c r="H25" s="30" t="n">
        <f aca="false">F25-G25</f>
        <v>3808941.97053196</v>
      </c>
      <c r="I25" s="30" t="n">
        <f aca="false">SUMIFS(Cálculo!$K$5:$K$216,Cálculo!$D$5:$D$216,$A25)</f>
        <v>-7811923.80552853</v>
      </c>
      <c r="J25" s="30" t="n">
        <f aca="false">SUMIFS(Cálculo!$L$5:$L$216,Cálculo!$D$5:$D$216,$A25)</f>
        <v>-7960350.35783357</v>
      </c>
      <c r="K25" s="30" t="n">
        <f aca="false">SUMIFS(Cálculo!$M$5:$M$216,Cálculo!$D$5:$D$216,$A25)</f>
        <v>-8111597.01463241</v>
      </c>
      <c r="L25" s="30" t="n">
        <f aca="false">SUMIFS(Cálculo!$N$5:$N$216,Cálculo!$D$5:$D$216,$A25)</f>
        <v>-8265717.35791043</v>
      </c>
      <c r="M25" s="30" t="n">
        <f aca="false">SUMIFS(Cálculo!$O$5:$O$216,Cálculo!$D$5:$D$216,$A25)</f>
        <v>-8422765.98771072</v>
      </c>
      <c r="N25" s="30" t="n">
        <f aca="false">SUMIFS(Cálculo!$P$5:$P$216,Cálculo!$D$5:$D$216,$A25)</f>
        <v>-8582798.54147723</v>
      </c>
      <c r="O25" s="30" t="n">
        <f aca="false">SUMIFS(Cálculo!$Q$5:$Q$216,Cálculo!$D$5:$D$216,$A25)</f>
        <v>-8745871.71376529</v>
      </c>
      <c r="P25" s="30" t="n">
        <f aca="false">SUMIFS(Cálculo!$R$5:$R$216,Cálculo!$D$5:$D$216,$A25)</f>
        <v>-8912043.27632683</v>
      </c>
      <c r="Q25" s="30" t="n">
        <f aca="false">SUMIFS(Cálculo!$S$5:$S$216,Cálculo!$D$5:$D$216,$A25)</f>
        <v>-9081372.09857704</v>
      </c>
      <c r="R25" s="30" t="n">
        <f aca="false">SUMIFS(Cálculo!$T$5:$T$216,Cálculo!$D$5:$D$216,$A25)</f>
        <v>-9253918.16845</v>
      </c>
      <c r="S25" s="30" t="n">
        <f aca="false">SUMIFS(Cálculo!$U$5:$U$216,Cálculo!$D$5:$D$216,$A25)</f>
        <v>-9429742.61365055</v>
      </c>
      <c r="T25" s="30" t="n">
        <f aca="false">SUMIFS(Cálculo!$V$5:$V$216,Cálculo!$D$5:$D$216,$A25)</f>
        <v>-9608907.72330991</v>
      </c>
      <c r="U25" s="30" t="n">
        <f aca="false">SUM(I25:T25)</f>
        <v>-104187008.659173</v>
      </c>
      <c r="V25" s="31" t="n">
        <f aca="false">IFERROR(U25/F25-1,"-")</f>
        <v>0.270421599930151</v>
      </c>
    </row>
    <row r="26" customFormat="false" ht="15" hidden="false" customHeight="false" outlineLevel="0" collapsed="false">
      <c r="A26" s="6" t="s">
        <v>192</v>
      </c>
      <c r="B26" s="30" t="n">
        <v>-47206677</v>
      </c>
      <c r="C26" s="30" t="n">
        <f aca="false">SUMIFS(Cálculo!$H$5:$H$216,Cálculo!$D$5:$D$216,$A26)</f>
        <v>-5987562.21327</v>
      </c>
      <c r="D26" s="30" t="n">
        <f aca="false">SUMIFS(Cálculo!$I$5:$I$216,Cálculo!$D$5:$D$216,$A26)</f>
        <v>-6125276.14417521</v>
      </c>
      <c r="E26" s="30" t="n">
        <f aca="false">SUMIFS(Cálculo!$J$5:$J$216,Cálculo!$D$5:$D$216,$A26)</f>
        <v>-6266157.49549124</v>
      </c>
      <c r="F26" s="30" t="n">
        <f aca="false">B26+SUM(C26:E26)</f>
        <v>-65585672.8529365</v>
      </c>
      <c r="G26" s="30" t="n">
        <v>-71515607</v>
      </c>
      <c r="H26" s="30" t="n">
        <f aca="false">F26-G26</f>
        <v>5929934.14706355</v>
      </c>
      <c r="I26" s="30" t="n">
        <f aca="false">SUMIFS(Cálculo!$K$5:$K$216,Cálculo!$D$5:$D$216,$A26)</f>
        <v>-6385214.48790557</v>
      </c>
      <c r="J26" s="30" t="n">
        <f aca="false">SUMIFS(Cálculo!$L$5:$L$216,Cálculo!$D$5:$D$216,$A26)</f>
        <v>-6506533.56317578</v>
      </c>
      <c r="K26" s="30" t="n">
        <f aca="false">SUMIFS(Cálculo!$M$5:$M$216,Cálculo!$D$5:$D$216,$A26)</f>
        <v>-6630157.70087611</v>
      </c>
      <c r="L26" s="30" t="n">
        <f aca="false">SUMIFS(Cálculo!$N$5:$N$216,Cálculo!$D$5:$D$216,$A26)</f>
        <v>-6756130.69719276</v>
      </c>
      <c r="M26" s="30" t="n">
        <f aca="false">SUMIFS(Cálculo!$O$5:$O$216,Cálculo!$D$5:$D$216,$A26)</f>
        <v>-6884497.18043942</v>
      </c>
      <c r="N26" s="30" t="n">
        <f aca="false">SUMIFS(Cálculo!$P$5:$P$216,Cálculo!$D$5:$D$216,$A26)</f>
        <v>-7015302.62686777</v>
      </c>
      <c r="O26" s="30" t="n">
        <f aca="false">SUMIFS(Cálculo!$Q$5:$Q$216,Cálculo!$D$5:$D$216,$A26)</f>
        <v>-7148593.37677826</v>
      </c>
      <c r="P26" s="30" t="n">
        <f aca="false">SUMIFS(Cálculo!$R$5:$R$216,Cálculo!$D$5:$D$216,$A26)</f>
        <v>-7284416.65093704</v>
      </c>
      <c r="Q26" s="30" t="n">
        <f aca="false">SUMIFS(Cálculo!$S$5:$S$216,Cálculo!$D$5:$D$216,$A26)</f>
        <v>-7422820.56730485</v>
      </c>
      <c r="R26" s="30" t="n">
        <f aca="false">SUMIFS(Cálculo!$T$5:$T$216,Cálculo!$D$5:$D$216,$A26)</f>
        <v>-7563854.15808364</v>
      </c>
      <c r="S26" s="30" t="n">
        <f aca="false">SUMIFS(Cálculo!$U$5:$U$216,Cálculo!$D$5:$D$216,$A26)</f>
        <v>-7707567.38708723</v>
      </c>
      <c r="T26" s="30" t="n">
        <f aca="false">SUMIFS(Cálculo!$V$5:$V$216,Cálculo!$D$5:$D$216,$A26)</f>
        <v>-7854011.16744188</v>
      </c>
      <c r="U26" s="30" t="n">
        <f aca="false">SUM(I26:T26)</f>
        <v>-85159099.5640903</v>
      </c>
      <c r="V26" s="31" t="n">
        <f aca="false">IFERROR(U26/F26-1,"-")</f>
        <v>0.29844058709352</v>
      </c>
    </row>
    <row r="27" customFormat="false" ht="15" hidden="false" customHeight="false" outlineLevel="0" collapsed="false">
      <c r="A27" s="6" t="s">
        <v>194</v>
      </c>
      <c r="B27" s="30" t="n">
        <v>-72290101</v>
      </c>
      <c r="C27" s="30" t="n">
        <f aca="false">SUMIFS(Cálculo!$H$5:$H$216,Cálculo!$D$5:$D$216,$A27)</f>
        <v>-9254710.326</v>
      </c>
      <c r="D27" s="30" t="n">
        <f aca="false">SUMIFS(Cálculo!$I$5:$I$216,Cálculo!$D$5:$D$216,$A27)</f>
        <v>-9474952.663498</v>
      </c>
      <c r="E27" s="30" t="n">
        <f aca="false">SUMIFS(Cálculo!$J$5:$J$216,Cálculo!$D$5:$D$216,$A27)</f>
        <v>-9693132.57475845</v>
      </c>
      <c r="F27" s="30" t="n">
        <f aca="false">B27+SUM(C27:E27)</f>
        <v>-100712896.564256</v>
      </c>
      <c r="G27" s="30" t="n">
        <v>-98989365</v>
      </c>
      <c r="H27" s="30" t="n">
        <f aca="false">F27-G27</f>
        <v>-1723531.56425646</v>
      </c>
      <c r="I27" s="30" t="n">
        <f aca="false">SUMIFS(Cálculo!$K$5:$K$216,Cálculo!$D$5:$D$216,$A27)</f>
        <v>-9861962.09367886</v>
      </c>
      <c r="J27" s="30" t="n">
        <f aca="false">SUMIFS(Cálculo!$L$5:$L$216,Cálculo!$D$5:$D$216,$A27)</f>
        <v>-10028175.3734588</v>
      </c>
      <c r="K27" s="30" t="n">
        <f aca="false">SUMIFS(Cálculo!$M$5:$M$216,Cálculo!$D$5:$D$216,$A27)</f>
        <v>-10199798.7055545</v>
      </c>
      <c r="L27" s="30" t="n">
        <f aca="false">SUMIFS(Cálculo!$N$5:$N$216,Cálculo!$D$5:$D$216,$A27)</f>
        <v>-10372858.88096</v>
      </c>
      <c r="M27" s="30" t="n">
        <f aca="false">SUMIFS(Cálculo!$O$5:$O$216,Cálculo!$D$5:$D$216,$A27)</f>
        <v>-10547383.1996983</v>
      </c>
      <c r="N27" s="30" t="n">
        <f aca="false">SUMIFS(Cálculo!$P$5:$P$216,Cálculo!$D$5:$D$216,$A27)</f>
        <v>-10723399.4804925</v>
      </c>
      <c r="O27" s="30" t="n">
        <f aca="false">SUMIFS(Cálculo!$Q$5:$Q$216,Cálculo!$D$5:$D$216,$A27)</f>
        <v>-10896936.0706219</v>
      </c>
      <c r="P27" s="30" t="n">
        <f aca="false">SUMIFS(Cálculo!$R$5:$R$216,Cálculo!$D$5:$D$216,$A27)</f>
        <v>-11076021.8559637</v>
      </c>
      <c r="Q27" s="30" t="n">
        <f aca="false">SUMIFS(Cálculo!$S$5:$S$216,Cálculo!$D$5:$D$216,$A27)</f>
        <v>-11256686.271227</v>
      </c>
      <c r="R27" s="30" t="n">
        <f aca="false">SUMIFS(Cálculo!$T$5:$T$216,Cálculo!$D$5:$D$216,$A27)</f>
        <v>-11434959.3103803</v>
      </c>
      <c r="S27" s="30" t="n">
        <f aca="false">SUMIFS(Cálculo!$U$5:$U$216,Cálculo!$D$5:$D$216,$A27)</f>
        <v>-11618871.5372775</v>
      </c>
      <c r="T27" s="30" t="n">
        <f aca="false">SUMIFS(Cálculo!$V$5:$V$216,Cálculo!$D$5:$D$216,$A27)</f>
        <v>-11804454.0964858</v>
      </c>
      <c r="U27" s="30" t="n">
        <f aca="false">SUM(I27:T27)</f>
        <v>-129821506.875799</v>
      </c>
      <c r="V27" s="31" t="n">
        <f aca="false">IFERROR(U27/F27-1,"-")</f>
        <v>0.289025649192513</v>
      </c>
    </row>
    <row r="28" customFormat="false" ht="15" hidden="false" customHeight="false" outlineLevel="0" collapsed="false">
      <c r="A28" s="32" t="s">
        <v>219</v>
      </c>
      <c r="B28" s="33" t="n">
        <f aca="false">B5+B8+B18+B22</f>
        <v>498199597</v>
      </c>
      <c r="C28" s="33" t="n">
        <f aca="false">C5+C8+C18+C22</f>
        <v>63357285.5322754</v>
      </c>
      <c r="D28" s="33" t="n">
        <f aca="false">D5+D8+D18+D22</f>
        <v>65988618.1731023</v>
      </c>
      <c r="E28" s="33" t="n">
        <f aca="false">E5+E8+E18+E22</f>
        <v>60053836.0580495</v>
      </c>
      <c r="F28" s="33" t="n">
        <f aca="false">B28+SUM(C28:E28)</f>
        <v>687599336.763427</v>
      </c>
      <c r="G28" s="33" t="n">
        <f aca="false">G5+G8+G18+G22</f>
        <v>925942486</v>
      </c>
      <c r="H28" s="33" t="n">
        <f aca="false">F28-G28</f>
        <v>-238343149.236573</v>
      </c>
      <c r="I28" s="33" t="n">
        <f aca="false">I5+I8+I18+I22</f>
        <v>48452078.2616784</v>
      </c>
      <c r="J28" s="33" t="n">
        <f aca="false">J5+J8+J18+J22</f>
        <v>58700818.2039283</v>
      </c>
      <c r="K28" s="33" t="n">
        <f aca="false">K5+K8+K18+K22</f>
        <v>91892797.5606087</v>
      </c>
      <c r="L28" s="33" t="n">
        <f aca="false">L5+L8+L18+L22</f>
        <v>75589628.9566881</v>
      </c>
      <c r="M28" s="33" t="n">
        <f aca="false">M5+M8+M18+M22</f>
        <v>77457338.2914168</v>
      </c>
      <c r="N28" s="33" t="n">
        <f aca="false">N5+N8+N18+N22</f>
        <v>79286146.9565773</v>
      </c>
      <c r="O28" s="33" t="n">
        <f aca="false">O5+O8+O18+O22</f>
        <v>76451660.3427551</v>
      </c>
      <c r="P28" s="33" t="n">
        <f aca="false">P5+P8+P18+P22</f>
        <v>88334802.9335731</v>
      </c>
      <c r="Q28" s="33" t="n">
        <f aca="false">Q5+Q8+Q18+Q22</f>
        <v>100548224.996448</v>
      </c>
      <c r="R28" s="33" t="n">
        <f aca="false">R5+R8+R18+R22</f>
        <v>87579681.502933</v>
      </c>
      <c r="S28" s="33" t="n">
        <f aca="false">S5+S8+S18+S22</f>
        <v>89759839.3883347</v>
      </c>
      <c r="T28" s="33" t="n">
        <f aca="false">T5+T8+T18+T22</f>
        <v>81176912.6775672</v>
      </c>
      <c r="U28" s="33" t="n">
        <f aca="false">SUM(I28:T28)</f>
        <v>955229930.072509</v>
      </c>
      <c r="V28" s="34" t="n">
        <f aca="false">IFERROR(U28/F28-1,"-")</f>
        <v>0.389224623992273</v>
      </c>
    </row>
    <row r="29" customFormat="false" ht="15" hidden="false" customHeight="false" outlineLevel="0" collapsed="false">
      <c r="A29" s="35" t="s">
        <v>218</v>
      </c>
      <c r="B29" s="36" t="n">
        <f aca="false">IFERROR(B28/B5,0)</f>
        <v>0.1472035175573</v>
      </c>
      <c r="C29" s="36" t="n">
        <f aca="false">IFERROR(C28/C5,0)</f>
        <v>0.148746611883921</v>
      </c>
      <c r="D29" s="36" t="n">
        <f aca="false">IFERROR(D28/D5,0)</f>
        <v>0.152942916057596</v>
      </c>
      <c r="E29" s="36" t="n">
        <f aca="false">IFERROR(E28/E5,0)</f>
        <v>0.140266028549574</v>
      </c>
      <c r="F29" s="36" t="n">
        <f aca="false">IFERROR(F28/F5,0)</f>
        <v>0.147238496329251</v>
      </c>
      <c r="G29" s="36" t="n">
        <f aca="false">IFERROR(G28/G5,0)</f>
        <v>0.180838755064605</v>
      </c>
      <c r="I29" s="36" t="n">
        <f aca="false">IFERROR(I28/I5,0)</f>
        <v>0.112233389057891</v>
      </c>
      <c r="J29" s="36" t="n">
        <f aca="false">IFERROR(J28/J5,0)</f>
        <v>0.132091874124923</v>
      </c>
      <c r="K29" s="36" t="n">
        <f aca="false">IFERROR(K28/K5,0)</f>
        <v>0.191143175081898</v>
      </c>
      <c r="L29" s="36" t="n">
        <f aca="false">IFERROR(L28/L5,0)</f>
        <v>0.157388405397204</v>
      </c>
      <c r="M29" s="36" t="n">
        <f aca="false">IFERROR(M28/M5,0)</f>
        <v>0.159888794734614</v>
      </c>
      <c r="N29" s="36" t="n">
        <f aca="false">IFERROR(N28/N5,0)</f>
        <v>0.162273311779967</v>
      </c>
      <c r="O29" s="36" t="n">
        <f aca="false">IFERROR(O28/O5,0)</f>
        <v>0.152063097078592</v>
      </c>
      <c r="P29" s="36" t="n">
        <f aca="false">IFERROR(P28/P5,0)</f>
        <v>0.170760635839969</v>
      </c>
      <c r="Q29" s="36" t="n">
        <f aca="false">IFERROR(Q28/Q5,0)</f>
        <v>0.188928355108813</v>
      </c>
      <c r="R29" s="36" t="n">
        <f aca="false">IFERROR(R28/R5,0)</f>
        <v>0.16314407625131</v>
      </c>
      <c r="S29" s="36" t="n">
        <f aca="false">IFERROR(S28/S5,0)</f>
        <v>0.165777846717981</v>
      </c>
      <c r="T29" s="36" t="n">
        <f aca="false">IFERROR(T28/T5,0)</f>
        <v>0.151727708271841</v>
      </c>
      <c r="U29" s="36" t="n">
        <f aca="false">IFERROR(U28/U5,0)</f>
        <v>0.159851667175926</v>
      </c>
    </row>
    <row r="30" customFormat="false" ht="15" hidden="false" customHeight="false" outlineLevel="0" collapsed="false">
      <c r="A30" s="27" t="s">
        <v>197</v>
      </c>
      <c r="B30" s="28" t="n">
        <f aca="false">B31+B32+B33</f>
        <v>104570319</v>
      </c>
      <c r="C30" s="28" t="n">
        <f aca="false">C31+C32+C33</f>
        <v>13900211.27786</v>
      </c>
      <c r="D30" s="28" t="n">
        <f aca="false">D31+D32+D33</f>
        <v>13649415.4912512</v>
      </c>
      <c r="E30" s="28" t="n">
        <f aca="false">E31+E32+E33</f>
        <v>13321815.7795504</v>
      </c>
      <c r="F30" s="28" t="n">
        <f aca="false">B30+SUM(C30:E30)</f>
        <v>145441761.548662</v>
      </c>
      <c r="G30" s="28" t="n">
        <f aca="false">G31+G32+G33</f>
        <v>145708166</v>
      </c>
      <c r="H30" s="28" t="n">
        <f aca="false">F30-G30</f>
        <v>-266404.45133844</v>
      </c>
      <c r="I30" s="28" t="n">
        <f aca="false">I31+I32+I33</f>
        <v>14280590.945709</v>
      </c>
      <c r="J30" s="28" t="n">
        <f aca="false">J31+J32+J33</f>
        <v>13993604.7444431</v>
      </c>
      <c r="K30" s="28" t="n">
        <f aca="false">K31+K32+K33</f>
        <v>13772060.971353</v>
      </c>
      <c r="L30" s="28" t="n">
        <f aca="false">L31+L32+L33</f>
        <v>15116212.4630951</v>
      </c>
      <c r="M30" s="28" t="n">
        <f aca="false">M31+M32+M33</f>
        <v>14849709.0411715</v>
      </c>
      <c r="N30" s="28" t="n">
        <f aca="false">N31+N32+N33</f>
        <v>14578142.0542315</v>
      </c>
      <c r="O30" s="28" t="n">
        <f aca="false">O31+O32+O33</f>
        <v>15960299.7739989</v>
      </c>
      <c r="P30" s="28" t="n">
        <f aca="false">P31+P32+P33</f>
        <v>15713429.2058728</v>
      </c>
      <c r="Q30" s="28" t="n">
        <f aca="false">Q31+Q32+Q33</f>
        <v>15426086.9309524</v>
      </c>
      <c r="R30" s="28" t="n">
        <f aca="false">R31+R32+R33</f>
        <v>16885339.548638</v>
      </c>
      <c r="S30" s="28" t="n">
        <f aca="false">S31+S32+S33</f>
        <v>16622088.5367093</v>
      </c>
      <c r="T30" s="28" t="n">
        <f aca="false">T31+T32+T33</f>
        <v>16318054.589554</v>
      </c>
      <c r="U30" s="28" t="n">
        <f aca="false">SUM(I30:T30)</f>
        <v>183515618.805729</v>
      </c>
      <c r="V30" s="29" t="n">
        <f aca="false">IFERROR(U30/F30-1,"-")</f>
        <v>0.261780776385388</v>
      </c>
    </row>
    <row r="31" customFormat="false" ht="15" hidden="false" customHeight="false" outlineLevel="0" collapsed="false">
      <c r="A31" s="6" t="s">
        <v>198</v>
      </c>
      <c r="B31" s="30" t="n">
        <v>-22500000</v>
      </c>
      <c r="C31" s="30" t="n">
        <f aca="false">SUMIFS(Cálculo!$H$5:$H$216,Cálculo!$D$5:$D$216,$A31)</f>
        <v>-2500000</v>
      </c>
      <c r="D31" s="30" t="n">
        <f aca="false">SUMIFS(Cálculo!$I$5:$I$216,Cálculo!$D$5:$D$216,$A31)</f>
        <v>-2500000</v>
      </c>
      <c r="E31" s="30" t="n">
        <f aca="false">SUMIFS(Cálculo!$J$5:$J$216,Cálculo!$D$5:$D$216,$A31)</f>
        <v>-2500000</v>
      </c>
      <c r="F31" s="30" t="n">
        <f aca="false">B31+SUM(C31:E31)</f>
        <v>-30000000</v>
      </c>
      <c r="G31" s="30" t="n">
        <v>-30000000</v>
      </c>
      <c r="H31" s="30" t="n">
        <f aca="false">F31-G31</f>
        <v>0</v>
      </c>
      <c r="I31" s="30" t="n">
        <f aca="false">SUMIFS(Cálculo!$K$5:$K$216,Cálculo!$D$5:$D$216,$A31)</f>
        <v>-2500000</v>
      </c>
      <c r="J31" s="30" t="n">
        <f aca="false">SUMIFS(Cálculo!$L$5:$L$216,Cálculo!$D$5:$D$216,$A31)</f>
        <v>-2500000</v>
      </c>
      <c r="K31" s="30" t="n">
        <f aca="false">SUMIFS(Cálculo!$M$5:$M$216,Cálculo!$D$5:$D$216,$A31)</f>
        <v>-2500000</v>
      </c>
      <c r="L31" s="30" t="n">
        <f aca="false">SUMIFS(Cálculo!$N$5:$N$216,Cálculo!$D$5:$D$216,$A31)</f>
        <v>-2500000</v>
      </c>
      <c r="M31" s="30" t="n">
        <f aca="false">SUMIFS(Cálculo!$O$5:$O$216,Cálculo!$D$5:$D$216,$A31)</f>
        <v>-2500000</v>
      </c>
      <c r="N31" s="30" t="n">
        <f aca="false">SUMIFS(Cálculo!$P$5:$P$216,Cálculo!$D$5:$D$216,$A31)</f>
        <v>-2500000</v>
      </c>
      <c r="O31" s="30" t="n">
        <f aca="false">SUMIFS(Cálculo!$Q$5:$Q$216,Cálculo!$D$5:$D$216,$A31)</f>
        <v>-2500000</v>
      </c>
      <c r="P31" s="30" t="n">
        <f aca="false">SUMIFS(Cálculo!$R$5:$R$216,Cálculo!$D$5:$D$216,$A31)</f>
        <v>-2500000</v>
      </c>
      <c r="Q31" s="30" t="n">
        <f aca="false">SUMIFS(Cálculo!$S$5:$S$216,Cálculo!$D$5:$D$216,$A31)</f>
        <v>-2500000</v>
      </c>
      <c r="R31" s="30" t="n">
        <f aca="false">SUMIFS(Cálculo!$T$5:$T$216,Cálculo!$D$5:$D$216,$A31)</f>
        <v>-2500000</v>
      </c>
      <c r="S31" s="30" t="n">
        <f aca="false">SUMIFS(Cálculo!$U$5:$U$216,Cálculo!$D$5:$D$216,$A31)</f>
        <v>-2500000</v>
      </c>
      <c r="T31" s="30" t="n">
        <f aca="false">SUMIFS(Cálculo!$V$5:$V$216,Cálculo!$D$5:$D$216,$A31)</f>
        <v>-2500000</v>
      </c>
      <c r="U31" s="30" t="n">
        <f aca="false">SUM(I31:T31)</f>
        <v>-30000000</v>
      </c>
      <c r="V31" s="31" t="n">
        <f aca="false">IFERROR(U31/F31-1,"-")</f>
        <v>0</v>
      </c>
    </row>
    <row r="32" customFormat="false" ht="15" hidden="false" customHeight="false" outlineLevel="0" collapsed="false">
      <c r="A32" s="6" t="s">
        <v>200</v>
      </c>
      <c r="B32" s="30" t="n">
        <v>-89369808</v>
      </c>
      <c r="C32" s="30" t="n">
        <f aca="false">SUMIFS(Cálculo!$H$5:$H$216,Cálculo!$D$5:$D$216,$A32)</f>
        <v>-11272098.28734</v>
      </c>
      <c r="D32" s="30" t="n">
        <f aca="false">SUMIFS(Cálculo!$I$5:$I$216,Cálculo!$D$5:$D$216,$A32)</f>
        <v>-11522894.0739488</v>
      </c>
      <c r="E32" s="30" t="n">
        <f aca="false">SUMIFS(Cálculo!$J$5:$J$216,Cálculo!$D$5:$D$216,$A32)</f>
        <v>-11850493.7856496</v>
      </c>
      <c r="F32" s="30" t="n">
        <f aca="false">B32+SUM(C32:E32)</f>
        <v>-124015294.146938</v>
      </c>
      <c r="G32" s="30" t="n">
        <v>-136334738</v>
      </c>
      <c r="H32" s="30" t="n">
        <f aca="false">F32-G32</f>
        <v>12319443.8530615</v>
      </c>
      <c r="I32" s="30" t="n">
        <f aca="false">SUMIFS(Cálculo!$K$5:$K$216,Cálculo!$D$5:$D$216,$A32)</f>
        <v>-12413695.645577</v>
      </c>
      <c r="J32" s="30" t="n">
        <f aca="false">SUMIFS(Cálculo!$L$5:$L$216,Cálculo!$D$5:$D$216,$A32)</f>
        <v>-12700681.8468429</v>
      </c>
      <c r="K32" s="30" t="n">
        <f aca="false">SUMIFS(Cálculo!$M$5:$M$216,Cálculo!$D$5:$D$216,$A32)</f>
        <v>-12922225.619933</v>
      </c>
      <c r="L32" s="30" t="n">
        <f aca="false">SUMIFS(Cálculo!$N$5:$N$216,Cálculo!$D$5:$D$216,$A32)</f>
        <v>-13183759.8907117</v>
      </c>
      <c r="M32" s="30" t="n">
        <f aca="false">SUMIFS(Cálculo!$O$5:$O$216,Cálculo!$D$5:$D$216,$A32)</f>
        <v>-13450263.3126352</v>
      </c>
      <c r="N32" s="30" t="n">
        <f aca="false">SUMIFS(Cálculo!$P$5:$P$216,Cálculo!$D$5:$D$216,$A32)</f>
        <v>-13721830.2995753</v>
      </c>
      <c r="O32" s="30" t="n">
        <f aca="false">SUMIFS(Cálculo!$Q$5:$Q$216,Cálculo!$D$5:$D$216,$A32)</f>
        <v>-14033671.0592672</v>
      </c>
      <c r="P32" s="30" t="n">
        <f aca="false">SUMIFS(Cálculo!$R$5:$R$216,Cálculo!$D$5:$D$216,$A32)</f>
        <v>-14280541.6273933</v>
      </c>
      <c r="Q32" s="30" t="n">
        <f aca="false">SUMIFS(Cálculo!$S$5:$S$216,Cálculo!$D$5:$D$216,$A32)</f>
        <v>-14567883.9023137</v>
      </c>
      <c r="R32" s="30" t="n">
        <f aca="false">SUMIFS(Cálculo!$T$5:$T$216,Cálculo!$D$5:$D$216,$A32)</f>
        <v>-14895799.6804577</v>
      </c>
      <c r="S32" s="30" t="n">
        <f aca="false">SUMIFS(Cálculo!$U$5:$U$216,Cálculo!$D$5:$D$216,$A32)</f>
        <v>-15159050.6923864</v>
      </c>
      <c r="T32" s="30" t="n">
        <f aca="false">SUMIFS(Cálculo!$V$5:$V$216,Cálculo!$D$5:$D$216,$A32)</f>
        <v>-15463084.6395417</v>
      </c>
      <c r="U32" s="30" t="n">
        <f aca="false">SUM(I32:T32)</f>
        <v>-166792488.216635</v>
      </c>
      <c r="V32" s="31" t="n">
        <f aca="false">IFERROR(U32/F32-1,"-")</f>
        <v>0.344934827304545</v>
      </c>
    </row>
    <row r="33" customFormat="false" ht="15" hidden="false" customHeight="false" outlineLevel="0" collapsed="false">
      <c r="A33" s="6" t="s">
        <v>203</v>
      </c>
      <c r="B33" s="30" t="n">
        <v>216440127</v>
      </c>
      <c r="C33" s="30" t="n">
        <f aca="false">SUMIFS(Cálculo!$H$5:$H$216,Cálculo!$D$5:$D$216,$A33)</f>
        <v>27672309.5652</v>
      </c>
      <c r="D33" s="30" t="n">
        <f aca="false">SUMIFS(Cálculo!$I$5:$I$216,Cálculo!$D$5:$D$216,$A33)</f>
        <v>27672309.5652</v>
      </c>
      <c r="E33" s="30" t="n">
        <f aca="false">SUMIFS(Cálculo!$J$5:$J$216,Cálculo!$D$5:$D$216,$A33)</f>
        <v>27672309.5652</v>
      </c>
      <c r="F33" s="30" t="n">
        <f aca="false">B33+SUM(C33:E33)</f>
        <v>299457055.6956</v>
      </c>
      <c r="G33" s="30" t="n">
        <v>312042904</v>
      </c>
      <c r="H33" s="30" t="n">
        <f aca="false">F33-G33</f>
        <v>-12585848.3044</v>
      </c>
      <c r="I33" s="30" t="n">
        <f aca="false">SUMIFS(Cálculo!$K$5:$K$216,Cálculo!$D$5:$D$216,$A33)</f>
        <v>29194286.591286</v>
      </c>
      <c r="J33" s="30" t="n">
        <f aca="false">SUMIFS(Cálculo!$L$5:$L$216,Cálculo!$D$5:$D$216,$A33)</f>
        <v>29194286.591286</v>
      </c>
      <c r="K33" s="30" t="n">
        <f aca="false">SUMIFS(Cálculo!$M$5:$M$216,Cálculo!$D$5:$D$216,$A33)</f>
        <v>29194286.591286</v>
      </c>
      <c r="L33" s="30" t="n">
        <f aca="false">SUMIFS(Cálculo!$N$5:$N$216,Cálculo!$D$5:$D$216,$A33)</f>
        <v>30799972.3538067</v>
      </c>
      <c r="M33" s="30" t="n">
        <f aca="false">SUMIFS(Cálculo!$O$5:$O$216,Cálculo!$D$5:$D$216,$A33)</f>
        <v>30799972.3538067</v>
      </c>
      <c r="N33" s="30" t="n">
        <f aca="false">SUMIFS(Cálculo!$P$5:$P$216,Cálculo!$D$5:$D$216,$A33)</f>
        <v>30799972.3538067</v>
      </c>
      <c r="O33" s="30" t="n">
        <f aca="false">SUMIFS(Cálculo!$Q$5:$Q$216,Cálculo!$D$5:$D$216,$A33)</f>
        <v>32493970.8332661</v>
      </c>
      <c r="P33" s="30" t="n">
        <f aca="false">SUMIFS(Cálculo!$R$5:$R$216,Cálculo!$D$5:$D$216,$A33)</f>
        <v>32493970.8332661</v>
      </c>
      <c r="Q33" s="30" t="n">
        <f aca="false">SUMIFS(Cálculo!$S$5:$S$216,Cálculo!$D$5:$D$216,$A33)</f>
        <v>32493970.8332661</v>
      </c>
      <c r="R33" s="30" t="n">
        <f aca="false">SUMIFS(Cálculo!$T$5:$T$216,Cálculo!$D$5:$D$216,$A33)</f>
        <v>34281139.2290957</v>
      </c>
      <c r="S33" s="30" t="n">
        <f aca="false">SUMIFS(Cálculo!$U$5:$U$216,Cálculo!$D$5:$D$216,$A33)</f>
        <v>34281139.2290957</v>
      </c>
      <c r="T33" s="30" t="n">
        <f aca="false">SUMIFS(Cálculo!$V$5:$V$216,Cálculo!$D$5:$D$216,$A33)</f>
        <v>34281139.2290957</v>
      </c>
      <c r="U33" s="30" t="n">
        <f aca="false">SUM(I33:T33)</f>
        <v>380308107.022364</v>
      </c>
      <c r="V33" s="31" t="n">
        <f aca="false">IFERROR(U33/F33-1,"-")</f>
        <v>0.269992140071494</v>
      </c>
    </row>
    <row r="34" customFormat="false" ht="15" hidden="false" customHeight="false" outlineLevel="0" collapsed="false">
      <c r="A34" s="32" t="s">
        <v>220</v>
      </c>
      <c r="B34" s="33" t="n">
        <f aca="false">B5+B8+B18+B22+B30</f>
        <v>602769916</v>
      </c>
      <c r="C34" s="33" t="n">
        <f aca="false">C5+C8+C18+C22+C30</f>
        <v>77257496.8101354</v>
      </c>
      <c r="D34" s="33" t="n">
        <f aca="false">D5+D8+D18+D22+D30</f>
        <v>79638033.6643535</v>
      </c>
      <c r="E34" s="33" t="n">
        <f aca="false">E5+E8+E18+E22+E30</f>
        <v>73375651.8375998</v>
      </c>
      <c r="F34" s="33" t="n">
        <f aca="false">B34+SUM(C34:E34)</f>
        <v>833041098.312089</v>
      </c>
      <c r="G34" s="33" t="n">
        <f aca="false">G5+G8+G18+G22+G30</f>
        <v>1071650652</v>
      </c>
      <c r="H34" s="33" t="n">
        <f aca="false">F34-G34</f>
        <v>-238609553.687911</v>
      </c>
      <c r="I34" s="33" t="n">
        <f aca="false">I5+I8+I18+I22+I30</f>
        <v>62732669.2073874</v>
      </c>
      <c r="J34" s="33" t="n">
        <f aca="false">J5+J8+J18+J22+J30</f>
        <v>72694422.9483714</v>
      </c>
      <c r="K34" s="33" t="n">
        <f aca="false">K5+K8+K18+K22+K30</f>
        <v>105664858.531962</v>
      </c>
      <c r="L34" s="33" t="n">
        <f aca="false">L5+L8+L18+L22+L30</f>
        <v>90705841.4197832</v>
      </c>
      <c r="M34" s="33" t="n">
        <f aca="false">M5+M8+M18+M22+M30</f>
        <v>92307047.3325883</v>
      </c>
      <c r="N34" s="33" t="n">
        <f aca="false">N5+N8+N18+N22+N30</f>
        <v>93864289.0108087</v>
      </c>
      <c r="O34" s="33" t="n">
        <f aca="false">O5+O8+O18+O22+O30</f>
        <v>92411960.116754</v>
      </c>
      <c r="P34" s="33" t="n">
        <f aca="false">P5+P8+P18+P22+P30</f>
        <v>104048232.139446</v>
      </c>
      <c r="Q34" s="33" t="n">
        <f aca="false">Q5+Q8+Q18+Q22+Q30</f>
        <v>115974311.9274</v>
      </c>
      <c r="R34" s="33" t="n">
        <f aca="false">R5+R8+R18+R22+R30</f>
        <v>104465021.051571</v>
      </c>
      <c r="S34" s="33" t="n">
        <f aca="false">S5+S8+S18+S22+S30</f>
        <v>106381927.925044</v>
      </c>
      <c r="T34" s="33" t="n">
        <f aca="false">T5+T8+T18+T22+T30</f>
        <v>97494967.2671212</v>
      </c>
      <c r="U34" s="33" t="n">
        <f aca="false">SUM(I34:T34)</f>
        <v>1138745548.87824</v>
      </c>
      <c r="V34" s="34" t="n">
        <f aca="false">IFERROR(U34/F34-1,"-")</f>
        <v>0.36697403187618</v>
      </c>
    </row>
    <row r="35" customFormat="false" ht="15" hidden="false" customHeight="false" outlineLevel="0" collapsed="false">
      <c r="A35" s="35" t="s">
        <v>218</v>
      </c>
      <c r="B35" s="36" t="n">
        <f aca="false">IFERROR(B34/B5,0)</f>
        <v>0.178101011014905</v>
      </c>
      <c r="C35" s="36" t="n">
        <f aca="false">IFERROR(C34/C5,0)</f>
        <v>0.181380733037976</v>
      </c>
      <c r="D35" s="36" t="n">
        <f aca="false">IFERROR(D34/D5,0)</f>
        <v>0.184578392985413</v>
      </c>
      <c r="E35" s="36" t="n">
        <f aca="false">IFERROR(E34/E5,0)</f>
        <v>0.171381412930022</v>
      </c>
      <c r="F35" s="36" t="n">
        <f aca="false">IFERROR(F34/F5,0)</f>
        <v>0.178382543638404</v>
      </c>
      <c r="G35" s="36" t="n">
        <f aca="false">IFERROR(G34/G5,0)</f>
        <v>0.20929590412147</v>
      </c>
      <c r="I35" s="36" t="n">
        <f aca="false">IFERROR(I34/I5,0)</f>
        <v>0.14531265370636</v>
      </c>
      <c r="J35" s="36" t="n">
        <f aca="false">IFERROR(J34/J5,0)</f>
        <v>0.163581068535049</v>
      </c>
      <c r="K35" s="36" t="n">
        <f aca="false">IFERROR(K34/K5,0)</f>
        <v>0.219789984531242</v>
      </c>
      <c r="L35" s="36" t="n">
        <f aca="false">IFERROR(L34/L5,0)</f>
        <v>0.188862519082496</v>
      </c>
      <c r="M35" s="36" t="n">
        <f aca="false">IFERROR(M34/M5,0)</f>
        <v>0.190541824300642</v>
      </c>
      <c r="N35" s="36" t="n">
        <f aca="false">IFERROR(N34/N5,0)</f>
        <v>0.19211009262435</v>
      </c>
      <c r="O35" s="36" t="n">
        <f aca="false">IFERROR(O34/O5,0)</f>
        <v>0.183808288786087</v>
      </c>
      <c r="P35" s="36" t="n">
        <f aca="false">IFERROR(P34/P5,0)</f>
        <v>0.201136377600993</v>
      </c>
      <c r="Q35" s="36" t="n">
        <f aca="false">IFERROR(Q34/Q5,0)</f>
        <v>0.21791370248549</v>
      </c>
      <c r="R35" s="36" t="n">
        <f aca="false">IFERROR(R34/R5,0)</f>
        <v>0.19459821122393</v>
      </c>
      <c r="S35" s="36" t="n">
        <f aca="false">IFERROR(S34/S5,0)</f>
        <v>0.196477255989979</v>
      </c>
      <c r="T35" s="36" t="n">
        <f aca="false">IFERROR(T34/T5,0)</f>
        <v>0.182227772202112</v>
      </c>
      <c r="U35" s="36" t="n">
        <f aca="false">IFERROR(U34/U5,0)</f>
        <v>0.190561841444325</v>
      </c>
    </row>
    <row r="36" customFormat="false" ht="15" hidden="false" customHeight="false" outlineLevel="0" collapsed="false">
      <c r="A36" s="27" t="s">
        <v>205</v>
      </c>
      <c r="B36" s="28" t="n">
        <f aca="false">B37</f>
        <v>-210969473</v>
      </c>
      <c r="C36" s="28" t="n">
        <f aca="false">C37</f>
        <v>-27040123.8835474</v>
      </c>
      <c r="D36" s="28" t="n">
        <f aca="false">D37</f>
        <v>-27873311.7825237</v>
      </c>
      <c r="E36" s="28" t="n">
        <f aca="false">E37</f>
        <v>-25681478.1431599</v>
      </c>
      <c r="F36" s="28" t="n">
        <f aca="false">B36+SUM(C36:E36)</f>
        <v>-291564386.809231</v>
      </c>
      <c r="G36" s="28" t="n">
        <f aca="false">G37</f>
        <v>-375077736</v>
      </c>
      <c r="H36" s="28" t="n">
        <f aca="false">F36-G36</f>
        <v>83513349.190769</v>
      </c>
      <c r="I36" s="28" t="n">
        <f aca="false">I37</f>
        <v>-21956434.2225856</v>
      </c>
      <c r="J36" s="28" t="n">
        <f aca="false">J37</f>
        <v>-25443048.03193</v>
      </c>
      <c r="K36" s="28" t="n">
        <f aca="false">K37</f>
        <v>-36982700.4861866</v>
      </c>
      <c r="L36" s="28" t="n">
        <f aca="false">L37</f>
        <v>-31747044.4969241</v>
      </c>
      <c r="M36" s="28" t="n">
        <f aca="false">M37</f>
        <v>-32307466.5664059</v>
      </c>
      <c r="N36" s="28" t="n">
        <f aca="false">N37</f>
        <v>-32852501.1537831</v>
      </c>
      <c r="O36" s="28" t="n">
        <f aca="false">O37</f>
        <v>-32344186.0408639</v>
      </c>
      <c r="P36" s="28" t="n">
        <f aca="false">P37</f>
        <v>-36416881.2488061</v>
      </c>
      <c r="Q36" s="28" t="n">
        <f aca="false">Q37</f>
        <v>-40591009.1745902</v>
      </c>
      <c r="R36" s="28" t="n">
        <f aca="false">R37</f>
        <v>-36562757.3680499</v>
      </c>
      <c r="S36" s="28" t="n">
        <f aca="false">S37</f>
        <v>-37233674.7737654</v>
      </c>
      <c r="T36" s="28" t="n">
        <f aca="false">T37</f>
        <v>-34123238.5434925</v>
      </c>
      <c r="U36" s="28" t="n">
        <f aca="false">SUM(I36:T36)</f>
        <v>-398560942.107383</v>
      </c>
      <c r="V36" s="29" t="n">
        <f aca="false">IFERROR(U36/F36-1,"-")</f>
        <v>0.366974020623991</v>
      </c>
    </row>
    <row r="37" customFormat="false" ht="15" hidden="false" customHeight="false" outlineLevel="0" collapsed="false">
      <c r="A37" s="6" t="s">
        <v>206</v>
      </c>
      <c r="B37" s="30" t="n">
        <v>-210969473</v>
      </c>
      <c r="C37" s="30" t="n">
        <f aca="false">SUMIFS(Cálculo!$H$5:$H$216,Cálculo!$D$5:$D$216,$A37)</f>
        <v>-27040123.8835474</v>
      </c>
      <c r="D37" s="30" t="n">
        <f aca="false">SUMIFS(Cálculo!$I$5:$I$216,Cálculo!$D$5:$D$216,$A37)</f>
        <v>-27873311.7825237</v>
      </c>
      <c r="E37" s="30" t="n">
        <f aca="false">SUMIFS(Cálculo!$J$5:$J$216,Cálculo!$D$5:$D$216,$A37)</f>
        <v>-25681478.1431599</v>
      </c>
      <c r="F37" s="30" t="n">
        <f aca="false">B37+SUM(C37:E37)</f>
        <v>-291564386.809231</v>
      </c>
      <c r="G37" s="30" t="n">
        <v>-375077736</v>
      </c>
      <c r="H37" s="30" t="n">
        <f aca="false">F37-G37</f>
        <v>83513349.190769</v>
      </c>
      <c r="I37" s="30" t="n">
        <f aca="false">SUMIFS(Cálculo!$K$5:$K$216,Cálculo!$D$5:$D$216,$A37)</f>
        <v>-21956434.2225856</v>
      </c>
      <c r="J37" s="30" t="n">
        <f aca="false">SUMIFS(Cálculo!$L$5:$L$216,Cálculo!$D$5:$D$216,$A37)</f>
        <v>-25443048.03193</v>
      </c>
      <c r="K37" s="30" t="n">
        <f aca="false">SUMIFS(Cálculo!$M$5:$M$216,Cálculo!$D$5:$D$216,$A37)</f>
        <v>-36982700.4861866</v>
      </c>
      <c r="L37" s="30" t="n">
        <f aca="false">SUMIFS(Cálculo!$N$5:$N$216,Cálculo!$D$5:$D$216,$A37)</f>
        <v>-31747044.4969241</v>
      </c>
      <c r="M37" s="30" t="n">
        <f aca="false">SUMIFS(Cálculo!$O$5:$O$216,Cálculo!$D$5:$D$216,$A37)</f>
        <v>-32307466.5664059</v>
      </c>
      <c r="N37" s="30" t="n">
        <f aca="false">SUMIFS(Cálculo!$P$5:$P$216,Cálculo!$D$5:$D$216,$A37)</f>
        <v>-32852501.1537831</v>
      </c>
      <c r="O37" s="30" t="n">
        <f aca="false">SUMIFS(Cálculo!$Q$5:$Q$216,Cálculo!$D$5:$D$216,$A37)</f>
        <v>-32344186.0408639</v>
      </c>
      <c r="P37" s="30" t="n">
        <f aca="false">SUMIFS(Cálculo!$R$5:$R$216,Cálculo!$D$5:$D$216,$A37)</f>
        <v>-36416881.2488061</v>
      </c>
      <c r="Q37" s="30" t="n">
        <f aca="false">SUMIFS(Cálculo!$S$5:$S$216,Cálculo!$D$5:$D$216,$A37)</f>
        <v>-40591009.1745902</v>
      </c>
      <c r="R37" s="30" t="n">
        <f aca="false">SUMIFS(Cálculo!$T$5:$T$216,Cálculo!$D$5:$D$216,$A37)</f>
        <v>-36562757.3680499</v>
      </c>
      <c r="S37" s="30" t="n">
        <f aca="false">SUMIFS(Cálculo!$U$5:$U$216,Cálculo!$D$5:$D$216,$A37)</f>
        <v>-37233674.7737654</v>
      </c>
      <c r="T37" s="30" t="n">
        <f aca="false">SUMIFS(Cálculo!$V$5:$V$216,Cálculo!$D$5:$D$216,$A37)</f>
        <v>-34123238.5434925</v>
      </c>
      <c r="U37" s="30" t="n">
        <f aca="false">SUM(I37:T37)</f>
        <v>-398560942.107383</v>
      </c>
      <c r="V37" s="31" t="n">
        <f aca="false">IFERROR(U37/F37-1,"-")</f>
        <v>0.366974020623991</v>
      </c>
    </row>
    <row r="38" customFormat="false" ht="15" hidden="false" customHeight="false" outlineLevel="0" collapsed="false">
      <c r="A38" s="32" t="s">
        <v>221</v>
      </c>
      <c r="B38" s="33" t="n">
        <f aca="false">B5+B8+B18+B22+B30+B36</f>
        <v>391800443</v>
      </c>
      <c r="C38" s="33" t="n">
        <f aca="false">C5+C8+C18+C22+C30+C36</f>
        <v>50217372.926588</v>
      </c>
      <c r="D38" s="33" t="n">
        <f aca="false">D5+D8+D18+D22+D30+D36</f>
        <v>51764721.8818298</v>
      </c>
      <c r="E38" s="33" t="n">
        <f aca="false">E5+E8+E18+E22+E30+E36</f>
        <v>47694173.6944399</v>
      </c>
      <c r="F38" s="33" t="n">
        <f aca="false">B38+SUM(C38:E38)</f>
        <v>541476711.502858</v>
      </c>
      <c r="G38" s="33" t="n">
        <f aca="false">G5+G8+G18+G22+G30+G36</f>
        <v>696572916</v>
      </c>
      <c r="H38" s="33" t="n">
        <f aca="false">F38-G38</f>
        <v>-155096204.497142</v>
      </c>
      <c r="I38" s="33" t="n">
        <f aca="false">I5+I8+I18+I22+I30+I36</f>
        <v>40776234.9848018</v>
      </c>
      <c r="J38" s="33" t="n">
        <f aca="false">J5+J8+J18+J22+J30+J36</f>
        <v>47251374.9164414</v>
      </c>
      <c r="K38" s="33" t="n">
        <f aca="false">K5+K8+K18+K22+K30+K36</f>
        <v>68682158.0457751</v>
      </c>
      <c r="L38" s="33" t="n">
        <f aca="false">L5+L8+L18+L22+L30+L36</f>
        <v>58958796.9228591</v>
      </c>
      <c r="M38" s="33" t="n">
        <f aca="false">M5+M8+M18+M22+M30+M36</f>
        <v>59999580.7661824</v>
      </c>
      <c r="N38" s="33" t="n">
        <f aca="false">N5+N8+N18+N22+N30+N36</f>
        <v>61011787.8570257</v>
      </c>
      <c r="O38" s="33" t="n">
        <f aca="false">O5+O8+O18+O22+O30+O36</f>
        <v>60067774.0758901</v>
      </c>
      <c r="P38" s="33" t="n">
        <f aca="false">P5+P8+P18+P22+P30+P36</f>
        <v>67631350.8906398</v>
      </c>
      <c r="Q38" s="33" t="n">
        <f aca="false">Q5+Q8+Q18+Q22+Q30+Q36</f>
        <v>75383302.7528103</v>
      </c>
      <c r="R38" s="33" t="n">
        <f aca="false">R5+R8+R18+R22+R30+R36</f>
        <v>67902263.6835212</v>
      </c>
      <c r="S38" s="33" t="n">
        <f aca="false">S5+S8+S18+S22+S30+S36</f>
        <v>69148253.1512786</v>
      </c>
      <c r="T38" s="33" t="n">
        <f aca="false">T5+T8+T18+T22+T30+T36</f>
        <v>63371728.7236288</v>
      </c>
      <c r="U38" s="33" t="n">
        <f aca="false">SUM(I38:T38)</f>
        <v>740184606.770854</v>
      </c>
      <c r="V38" s="34" t="n">
        <f aca="false">IFERROR(U38/F38-1,"-")</f>
        <v>0.366974037935051</v>
      </c>
    </row>
    <row r="39" customFormat="false" ht="15" hidden="false" customHeight="false" outlineLevel="0" collapsed="false">
      <c r="A39" s="35" t="s">
        <v>218</v>
      </c>
      <c r="B39" s="36" t="n">
        <f aca="false">IFERROR(B38/B5,0)</f>
        <v>0.115765656450558</v>
      </c>
      <c r="C39" s="36" t="n">
        <f aca="false">IFERROR(C38/C5,0)</f>
        <v>0.117897476474684</v>
      </c>
      <c r="D39" s="36" t="n">
        <f aca="false">IFERROR(D38/D5,0)</f>
        <v>0.119975955440518</v>
      </c>
      <c r="E39" s="36" t="n">
        <f aca="false">IFERROR(E38/E5,0)</f>
        <v>0.111397918404514</v>
      </c>
      <c r="F39" s="36" t="n">
        <f aca="false">IFERROR(F38/F5,0)</f>
        <v>0.115948652851041</v>
      </c>
      <c r="G39" s="36" t="n">
        <f aca="false">IFERROR(G38/G5,0)</f>
        <v>0.136042336155597</v>
      </c>
      <c r="I39" s="36" t="n">
        <f aca="false">IFERROR(I38/I5,0)</f>
        <v>0.094453224909134</v>
      </c>
      <c r="J39" s="36" t="n">
        <f aca="false">IFERROR(J38/J5,0)</f>
        <v>0.106327694547782</v>
      </c>
      <c r="K39" s="36" t="n">
        <f aca="false">IFERROR(K38/K5,0)</f>
        <v>0.142863489945307</v>
      </c>
      <c r="L39" s="36" t="n">
        <f aca="false">IFERROR(L38/L5,0)</f>
        <v>0.122760637403623</v>
      </c>
      <c r="M39" s="36" t="n">
        <f aca="false">IFERROR(M38/M5,0)</f>
        <v>0.123852185795417</v>
      </c>
      <c r="N39" s="36" t="n">
        <f aca="false">IFERROR(N38/N5,0)</f>
        <v>0.124871560205827</v>
      </c>
      <c r="O39" s="36" t="n">
        <f aca="false">IFERROR(O38/O5,0)</f>
        <v>0.119475387710957</v>
      </c>
      <c r="P39" s="36" t="n">
        <f aca="false">IFERROR(P38/P5,0)</f>
        <v>0.130738645440645</v>
      </c>
      <c r="Q39" s="36" t="n">
        <f aca="false">IFERROR(Q38/Q5,0)</f>
        <v>0.141643906615569</v>
      </c>
      <c r="R39" s="36" t="n">
        <f aca="false">IFERROR(R38/R5,0)</f>
        <v>0.126488837295554</v>
      </c>
      <c r="S39" s="36" t="n">
        <f aca="false">IFERROR(S38/S5,0)</f>
        <v>0.127710216393486</v>
      </c>
      <c r="T39" s="36" t="n">
        <f aca="false">IFERROR(T38/T5,0)</f>
        <v>0.118448051931373</v>
      </c>
      <c r="U39" s="36" t="n">
        <f aca="false">IFERROR(U38/U5,0)</f>
        <v>0.123865196938811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223</v>
      </c>
    </row>
    <row r="4" customFormat="false" ht="30" hidden="false" customHeight="true" outlineLevel="0" collapsed="false">
      <c r="A4" s="9" t="s">
        <v>224</v>
      </c>
      <c r="B4" s="10" t="s">
        <v>225</v>
      </c>
      <c r="C4" s="10" t="s">
        <v>129</v>
      </c>
      <c r="D4" s="10" t="s">
        <v>226</v>
      </c>
      <c r="E4" s="10" t="s">
        <v>227</v>
      </c>
      <c r="F4" s="10" t="s">
        <v>228</v>
      </c>
      <c r="G4" s="10" t="s">
        <v>229</v>
      </c>
      <c r="H4" s="10" t="s">
        <v>230</v>
      </c>
      <c r="I4" s="10" t="s">
        <v>231</v>
      </c>
      <c r="J4" s="10" t="s">
        <v>232</v>
      </c>
    </row>
    <row r="5" customFormat="false" ht="15" hidden="false" customHeight="false" outlineLevel="0" collapsed="false">
      <c r="A5" s="6" t="s">
        <v>135</v>
      </c>
      <c r="B5" s="6" t="s">
        <v>233</v>
      </c>
      <c r="C5" s="6" t="s">
        <v>136</v>
      </c>
      <c r="D5" s="30" t="n">
        <f aca="false">SUMPRODUCT((Cálculo!$A$5:$A$216=$A5)*(Cálculo!$F$5:$F$216="rev")*Cálculo!$H$5:$J$216)</f>
        <v>369484692.721132</v>
      </c>
      <c r="E5" s="30" t="n">
        <f aca="false">SUMPRODUCT((Cálculo!$A$5:$A$216=$A5)*Cálculo!$H$5:$J$216)</f>
        <v>221397549.928709</v>
      </c>
      <c r="F5" s="30" t="n">
        <f aca="false">SUMPRODUCT((Cálculo!$A$5:$A$216=$A5)*(Cálculo!$F$5:$F$216="rev")*Cálculo!$K$5:$V$216)</f>
        <v>1720118242.60421</v>
      </c>
      <c r="G5" s="30" t="n">
        <f aca="false">SUMPRODUCT((Cálculo!$A$5:$A$216=$A5)*Cálculo!$K$5:$V$216)</f>
        <v>1041850398.28542</v>
      </c>
      <c r="H5" s="31" t="n">
        <f aca="false">IFERROR(G5/F5,0)</f>
        <v>0.605685337484756</v>
      </c>
      <c r="I5" s="18" t="n">
        <f aca="false">AVERAGE(Drivers!$G$9:$R$9)</f>
        <v>30</v>
      </c>
      <c r="J5" s="30" t="n">
        <f aca="false">IFERROR(F5/12/I5,0)</f>
        <v>4778106.22945614</v>
      </c>
    </row>
    <row r="6" customFormat="false" ht="15" hidden="false" customHeight="false" outlineLevel="0" collapsed="false">
      <c r="A6" s="6" t="s">
        <v>170</v>
      </c>
      <c r="B6" s="6" t="s">
        <v>234</v>
      </c>
      <c r="C6" s="6" t="s">
        <v>136</v>
      </c>
      <c r="D6" s="30" t="n">
        <f aca="false">SUMPRODUCT((Cálculo!$A$5:$A$216=$A6)*(Cálculo!$F$5:$F$216="rev")*Cálculo!$H$5:$J$216)</f>
        <v>216965317.100122</v>
      </c>
      <c r="E6" s="30" t="n">
        <f aca="false">SUMPRODUCT((Cálculo!$A$5:$A$216=$A6)*Cálculo!$H$5:$J$216)</f>
        <v>37000632.7971428</v>
      </c>
      <c r="F6" s="30" t="n">
        <f aca="false">SUMPRODUCT((Cálculo!$A$5:$A$216=$A6)*(Cálculo!$F$5:$F$216="rev")*Cálculo!$K$5:$V$216)</f>
        <v>1010071614.08444</v>
      </c>
      <c r="G6" s="30" t="n">
        <f aca="false">SUMPRODUCT((Cálculo!$A$5:$A$216=$A6)*Cálculo!$K$5:$V$216)</f>
        <v>188432428.136239</v>
      </c>
      <c r="H6" s="31" t="n">
        <f aca="false">IFERROR(G6/F6,0)</f>
        <v>0.186553532946314</v>
      </c>
      <c r="I6" s="18" t="n">
        <f aca="false">AVERAGE(Drivers!$G$15:$R$15)</f>
        <v>40</v>
      </c>
      <c r="J6" s="30" t="n">
        <f aca="false">IFERROR(F6/12/I6,0)</f>
        <v>2104315.86267592</v>
      </c>
    </row>
    <row r="7" customFormat="false" ht="15" hidden="false" customHeight="false" outlineLevel="0" collapsed="false">
      <c r="A7" s="6" t="s">
        <v>171</v>
      </c>
      <c r="B7" s="6" t="s">
        <v>235</v>
      </c>
      <c r="C7" s="6" t="s">
        <v>136</v>
      </c>
      <c r="D7" s="30" t="n">
        <f aca="false">SUMPRODUCT((Cálculo!$A$5:$A$216=$A7)*(Cálculo!$F$5:$F$216="rev")*Cálculo!$H$5:$J$216)</f>
        <v>143898963.783836</v>
      </c>
      <c r="E7" s="30" t="n">
        <f aca="false">SUMPRODUCT((Cálculo!$A$5:$A$216=$A7)*Cálculo!$H$5:$J$216)</f>
        <v>42110145.9649208</v>
      </c>
      <c r="F7" s="30" t="n">
        <f aca="false">SUMPRODUCT((Cálculo!$A$5:$A$216=$A7)*(Cálculo!$F$5:$F$216="rev")*Cálculo!$K$5:$V$216)</f>
        <v>669914715.203743</v>
      </c>
      <c r="G7" s="30" t="n">
        <f aca="false">SUMPRODUCT((Cálculo!$A$5:$A$216=$A7)*Cálculo!$K$5:$V$216)</f>
        <v>205202429.608303</v>
      </c>
      <c r="H7" s="31" t="n">
        <f aca="false">IFERROR(G7/F7,0)</f>
        <v>0.306311273586361</v>
      </c>
      <c r="I7" s="18" t="n">
        <f aca="false">AVERAGE(Drivers!$G$21:$R$21)</f>
        <v>22</v>
      </c>
      <c r="J7" s="30" t="n">
        <f aca="false">IFERROR(F7/12/I7,0)</f>
        <v>2537555.73940812</v>
      </c>
    </row>
    <row r="8" customFormat="false" ht="15" hidden="false" customHeight="false" outlineLevel="0" collapsed="false">
      <c r="A8" s="6" t="s">
        <v>172</v>
      </c>
      <c r="B8" s="6" t="s">
        <v>236</v>
      </c>
      <c r="C8" s="6" t="s">
        <v>136</v>
      </c>
      <c r="D8" s="30" t="n">
        <f aca="false">SUMPRODUCT((Cálculo!$A$5:$A$216=$A8)*(Cálculo!$F$5:$F$216="rev")*Cálculo!$H$5:$J$216)</f>
        <v>92651310.3442549</v>
      </c>
      <c r="E8" s="30" t="n">
        <f aca="false">SUMPRODUCT((Cálculo!$A$5:$A$216=$A8)*Cálculo!$H$5:$J$216)</f>
        <v>46560145.5591842</v>
      </c>
      <c r="F8" s="30" t="n">
        <f aca="false">SUMPRODUCT((Cálculo!$A$5:$A$216=$A8)*(Cálculo!$F$5:$F$216="rev")*Cálculo!$K$5:$V$216)</f>
        <v>431333725.764446</v>
      </c>
      <c r="G8" s="30" t="n">
        <f aca="false">SUMPRODUCT((Cálculo!$A$5:$A$216=$A8)*Cálculo!$K$5:$V$216)</f>
        <v>219916811.801539</v>
      </c>
      <c r="H8" s="31" t="n">
        <f aca="false">IFERROR(G8/F8,0)</f>
        <v>0.509853041080394</v>
      </c>
      <c r="I8" s="18" t="n">
        <f aca="false">AVERAGE(Drivers!$G$27:$R$27)</f>
        <v>9</v>
      </c>
      <c r="J8" s="30" t="n">
        <f aca="false">IFERROR(F8/12/I8,0)</f>
        <v>3993830.79411524</v>
      </c>
    </row>
    <row r="9" customFormat="false" ht="15" hidden="false" customHeight="false" outlineLevel="0" collapsed="false">
      <c r="A9" s="6" t="s">
        <v>173</v>
      </c>
      <c r="B9" s="6" t="s">
        <v>237</v>
      </c>
      <c r="C9" s="6" t="s">
        <v>136</v>
      </c>
      <c r="D9" s="30" t="n">
        <f aca="false">SUMPRODUCT((Cálculo!$A$5:$A$216=$A9)*(Cálculo!$F$5:$F$216="rev")*Cálculo!$H$5:$J$216)</f>
        <v>116262293.7338</v>
      </c>
      <c r="E9" s="30" t="n">
        <f aca="false">SUMPRODUCT((Cálculo!$A$5:$A$216=$A9)*Cálculo!$H$5:$J$216)</f>
        <v>75605687.5197897</v>
      </c>
      <c r="F9" s="30" t="n">
        <f aca="false">SUMPRODUCT((Cálculo!$A$5:$A$216=$A9)*(Cálculo!$F$5:$F$216="rev")*Cálculo!$K$5:$V$216)</f>
        <v>541253525.026158</v>
      </c>
      <c r="G9" s="30" t="n">
        <f aca="false">SUMPRODUCT((Cálculo!$A$5:$A$216=$A9)*Cálculo!$K$5:$V$216)</f>
        <v>354349281.399299</v>
      </c>
      <c r="H9" s="31" t="n">
        <f aca="false">IFERROR(G9/F9,0)</f>
        <v>0.654682630255708</v>
      </c>
      <c r="I9" s="18" t="n">
        <f aca="false">AVERAGE(Drivers!$G$33:$R$33)</f>
        <v>6</v>
      </c>
      <c r="J9" s="30" t="n">
        <f aca="false">IFERROR(F9/12/I9,0)</f>
        <v>7517410.06980775</v>
      </c>
    </row>
    <row r="10" customFormat="false" ht="15" hidden="false" customHeight="false" outlineLevel="0" collapsed="false">
      <c r="A10" s="6" t="s">
        <v>174</v>
      </c>
      <c r="B10" s="6" t="s">
        <v>238</v>
      </c>
      <c r="C10" s="6" t="s">
        <v>136</v>
      </c>
      <c r="D10" s="30" t="n">
        <f aca="false">SUMPRODUCT((Cálculo!$A$5:$A$216=$A10)*(Cálculo!$F$5:$F$216="rev")*Cálculo!$H$5:$J$216)</f>
        <v>77914945.21611</v>
      </c>
      <c r="E10" s="30" t="n">
        <f aca="false">SUMPRODUCT((Cálculo!$A$5:$A$216=$A10)*Cálculo!$H$5:$J$216)</f>
        <v>42623958.4598871</v>
      </c>
      <c r="F10" s="30" t="n">
        <f aca="false">SUMPRODUCT((Cálculo!$A$5:$A$216=$A10)*(Cálculo!$F$5:$F$216="rev")*Cálculo!$K$5:$V$216)</f>
        <v>362729285.618585</v>
      </c>
      <c r="G10" s="30" t="n">
        <f aca="false">SUMPRODUCT((Cálculo!$A$5:$A$216=$A10)*Cálculo!$K$5:$V$216)</f>
        <v>200624423.22544</v>
      </c>
      <c r="H10" s="31" t="n">
        <f aca="false">IFERROR(G10/F10,0)</f>
        <v>0.553096844340269</v>
      </c>
      <c r="I10" s="18" t="n">
        <f aca="false">AVERAGE(Drivers!$G$39:$R$39)</f>
        <v>6</v>
      </c>
      <c r="J10" s="30" t="n">
        <f aca="false">IFERROR(F10/12/I10,0)</f>
        <v>5037906.74470257</v>
      </c>
    </row>
    <row r="11" customFormat="false" ht="15" hidden="false" customHeight="false" outlineLevel="0" collapsed="false">
      <c r="A11" s="6" t="s">
        <v>175</v>
      </c>
      <c r="B11" s="6" t="s">
        <v>239</v>
      </c>
      <c r="C11" s="6" t="s">
        <v>176</v>
      </c>
      <c r="D11" s="30" t="n">
        <f aca="false">SUMPRODUCT((Cálculo!$A$5:$A$216=$A11)*(Cálculo!$F$5:$F$216="rev")*Cálculo!$H$5:$J$216)</f>
        <v>58826451.1320256</v>
      </c>
      <c r="E11" s="30" t="n">
        <f aca="false">SUMPRODUCT((Cálculo!$A$5:$A$216=$A11)*Cálculo!$H$5:$J$216)</f>
        <v>41459731.0950066</v>
      </c>
      <c r="F11" s="30" t="n">
        <f aca="false">SUMPRODUCT((Cálculo!$A$5:$A$216=$A11)*(Cálculo!$F$5:$F$216="rev")*Cálculo!$K$5:$V$216)</f>
        <v>267404407.665469</v>
      </c>
      <c r="G11" s="30" t="n">
        <f aca="false">SUMPRODUCT((Cálculo!$A$5:$A$216=$A11)*Cálculo!$K$5:$V$216)</f>
        <v>187907619.678205</v>
      </c>
      <c r="H11" s="31" t="n">
        <f aca="false">IFERROR(G11/F11,0)</f>
        <v>0.702709507740363</v>
      </c>
      <c r="I11" s="18" t="n">
        <f aca="false">AVERAGE(Drivers!$G$45:$R$45)</f>
        <v>4</v>
      </c>
      <c r="J11" s="30" t="n">
        <f aca="false">IFERROR(F11/12/I11,0)</f>
        <v>5570925.15969727</v>
      </c>
    </row>
    <row r="12" customFormat="false" ht="15" hidden="false" customHeight="false" outlineLevel="0" collapsed="false">
      <c r="A12" s="6" t="s">
        <v>177</v>
      </c>
      <c r="B12" s="6" t="s">
        <v>240</v>
      </c>
      <c r="C12" s="6" t="s">
        <v>176</v>
      </c>
      <c r="D12" s="30" t="n">
        <f aca="false">SUMPRODUCT((Cálculo!$A$5:$A$216=$A12)*(Cálculo!$F$5:$F$216="rev")*Cálculo!$H$5:$J$216)</f>
        <v>23636903.3388118</v>
      </c>
      <c r="E12" s="30" t="n">
        <f aca="false">SUMPRODUCT((Cálculo!$A$5:$A$216=$A12)*Cálculo!$H$5:$J$216)</f>
        <v>15373290.1648752</v>
      </c>
      <c r="F12" s="30" t="n">
        <f aca="false">SUMPRODUCT((Cálculo!$A$5:$A$216=$A12)*(Cálculo!$F$5:$F$216="rev")*Cálculo!$K$5:$V$216)</f>
        <v>107445069.60271</v>
      </c>
      <c r="G12" s="30" t="n">
        <f aca="false">SUMPRODUCT((Cálculo!$A$5:$A$216=$A12)*Cálculo!$K$5:$V$216)</f>
        <v>69608548.9290307</v>
      </c>
      <c r="H12" s="31" t="n">
        <f aca="false">IFERROR(G12/F12,0)</f>
        <v>0.647852425303609</v>
      </c>
      <c r="I12" s="18" t="n">
        <f aca="false">AVERAGE(Drivers!$G$51:$R$51)</f>
        <v>2</v>
      </c>
      <c r="J12" s="30" t="n">
        <f aca="false">IFERROR(F12/12/I12,0)</f>
        <v>4476877.90011292</v>
      </c>
    </row>
    <row r="13" customFormat="false" ht="15" hidden="false" customHeight="false" outlineLevel="0" collapsed="false">
      <c r="A13" s="6" t="s">
        <v>178</v>
      </c>
      <c r="B13" s="6" t="s">
        <v>241</v>
      </c>
      <c r="C13" s="6" t="s">
        <v>136</v>
      </c>
      <c r="D13" s="30" t="n">
        <f aca="false">SUMPRODUCT((Cálculo!$A$5:$A$216=$A13)*(Cálculo!$F$5:$F$216="rev")*Cálculo!$H$5:$J$216)</f>
        <v>69850382.2068533</v>
      </c>
      <c r="E13" s="30" t="n">
        <f aca="false">SUMPRODUCT((Cálculo!$A$5:$A$216=$A13)*Cálculo!$H$5:$J$216)</f>
        <v>22475575.4056024</v>
      </c>
      <c r="F13" s="30" t="n">
        <f aca="false">SUMPRODUCT((Cálculo!$A$5:$A$216=$A13)*(Cálculo!$F$5:$F$216="rev")*Cálculo!$K$5:$V$216)</f>
        <v>325185099.826501</v>
      </c>
      <c r="G13" s="30" t="n">
        <f aca="false">SUMPRODUCT((Cálculo!$A$5:$A$216=$A13)*Cálculo!$K$5:$V$216)</f>
        <v>108322864.919903</v>
      </c>
      <c r="H13" s="31" t="n">
        <f aca="false">IFERROR(G13/F13,0)</f>
        <v>0.333111403252172</v>
      </c>
      <c r="I13" s="18" t="n">
        <f aca="false">AVERAGE(Drivers!$G$57:$R$57)</f>
        <v>10</v>
      </c>
      <c r="J13" s="30" t="n">
        <f aca="false">IFERROR(F13/12/I13,0)</f>
        <v>2709875.83188751</v>
      </c>
    </row>
    <row r="14" customFormat="false" ht="15" hidden="false" customHeight="false" outlineLevel="0" collapsed="false">
      <c r="A14" s="6" t="s">
        <v>179</v>
      </c>
      <c r="B14" s="6" t="s">
        <v>242</v>
      </c>
      <c r="C14" s="6" t="s">
        <v>136</v>
      </c>
      <c r="D14" s="30" t="n">
        <f aca="false">SUMPRODUCT((Cálculo!$A$5:$A$216=$A14)*(Cálculo!$F$5:$F$216="rev")*Cálculo!$H$5:$J$216)</f>
        <v>43172831.731917</v>
      </c>
      <c r="E14" s="30" t="n">
        <f aca="false">SUMPRODUCT((Cálculo!$A$5:$A$216=$A14)*Cálculo!$H$5:$J$216)</f>
        <v>2163240.53716995</v>
      </c>
      <c r="F14" s="30" t="n">
        <f aca="false">SUMPRODUCT((Cálculo!$A$5:$A$216=$A14)*(Cálculo!$F$5:$F$216="rev")*Cálculo!$K$5:$V$216)</f>
        <v>200989044.769446</v>
      </c>
      <c r="G14" s="30" t="n">
        <f aca="false">SUMPRODUCT((Cálculo!$A$5:$A$216=$A14)*Cálculo!$K$5:$V$216)</f>
        <v>13567753.1963598</v>
      </c>
      <c r="H14" s="31" t="n">
        <f aca="false">IFERROR(G14/F14,0)</f>
        <v>0.0675049389479083</v>
      </c>
      <c r="I14" s="18" t="n">
        <f aca="false">AVERAGE(Drivers!$G$63:$R$63)</f>
        <v>9</v>
      </c>
      <c r="J14" s="30" t="n">
        <f aca="false">IFERROR(F14/12/I14,0)</f>
        <v>1861009.67379116</v>
      </c>
    </row>
    <row r="15" customFormat="false" ht="15" hidden="false" customHeight="false" outlineLevel="0" collapsed="false">
      <c r="A15" s="6" t="s">
        <v>180</v>
      </c>
      <c r="B15" s="6" t="s">
        <v>243</v>
      </c>
      <c r="C15" s="6" t="s">
        <v>136</v>
      </c>
      <c r="D15" s="30" t="n">
        <f aca="false">SUMPRODUCT((Cálculo!$A$5:$A$216=$A15)*(Cálculo!$F$5:$F$216="rev")*Cálculo!$H$5:$J$216)</f>
        <v>11540646.4898406</v>
      </c>
      <c r="E15" s="30" t="n">
        <f aca="false">SUMPRODUCT((Cálculo!$A$5:$A$216=$A15)*Cálculo!$H$5:$J$216)</f>
        <v>-5790562.14784289</v>
      </c>
      <c r="F15" s="30" t="n">
        <f aca="false">SUMPRODUCT((Cálculo!$A$5:$A$216=$A15)*(Cálculo!$F$5:$F$216="rev")*Cálculo!$K$5:$V$216)</f>
        <v>53726925.4983829</v>
      </c>
      <c r="G15" s="30" t="n">
        <f aca="false">SUMPRODUCT((Cálculo!$A$5:$A$216=$A15)*Cálculo!$K$5:$V$216)</f>
        <v>-25713742.0902083</v>
      </c>
      <c r="H15" s="31" t="n">
        <f aca="false">IFERROR(G15/F15,0)</f>
        <v>-0.478600661617652</v>
      </c>
      <c r="I15" s="18" t="n">
        <f aca="false">AVERAGE(Drivers!$G$69:$R$69)</f>
        <v>4</v>
      </c>
      <c r="J15" s="30" t="n">
        <f aca="false">IFERROR(F15/12/I15,0)</f>
        <v>1119310.94788298</v>
      </c>
    </row>
    <row r="16" customFormat="false" ht="15" hidden="false" customHeight="false" outlineLevel="0" collapsed="false">
      <c r="A16" s="6" t="s">
        <v>181</v>
      </c>
      <c r="B16" s="6" t="s">
        <v>244</v>
      </c>
      <c r="C16" s="6" t="s">
        <v>136</v>
      </c>
      <c r="D16" s="30" t="n">
        <f aca="false">SUMPRODUCT((Cálculo!$A$5:$A$216=$A16)*(Cálculo!$F$5:$F$216="rev")*Cálculo!$H$5:$J$216)</f>
        <v>61337843.6128069</v>
      </c>
      <c r="E16" s="30" t="n">
        <f aca="false">SUMPRODUCT((Cálculo!$A$5:$A$216=$A16)*Cálculo!$H$5:$J$216)</f>
        <v>1513666.80956068</v>
      </c>
      <c r="F16" s="30" t="n">
        <f aca="false">SUMPRODUCT((Cálculo!$A$5:$A$216=$A16)*(Cálculo!$F$5:$F$216="rev")*Cálculo!$K$5:$V$216)</f>
        <v>285555385.213281</v>
      </c>
      <c r="G16" s="30" t="n">
        <f aca="false">SUMPRODUCT((Cálculo!$A$5:$A$216=$A16)*Cálculo!$K$5:$V$216)</f>
        <v>11353432.3190123</v>
      </c>
      <c r="H16" s="31" t="n">
        <f aca="false">IFERROR(G16/F16,0)</f>
        <v>0.0397591252237546</v>
      </c>
      <c r="I16" s="18" t="n">
        <f aca="false">AVERAGE(Drivers!$G$75:$R$75)</f>
        <v>14</v>
      </c>
      <c r="J16" s="30" t="n">
        <f aca="false">IFERROR(F16/12/I16,0)</f>
        <v>1699734.43579334</v>
      </c>
    </row>
    <row r="17" customFormat="false" ht="15" hidden="false" customHeight="false" outlineLevel="0" collapsed="false">
      <c r="A17" s="32"/>
      <c r="B17" s="32" t="s">
        <v>245</v>
      </c>
      <c r="C17" s="32"/>
      <c r="D17" s="33" t="n">
        <f aca="false">SUM(D5:D16)</f>
        <v>1285542581.41151</v>
      </c>
      <c r="E17" s="33" t="n">
        <f aca="false">SUM(E5:E16)</f>
        <v>542493062.094006</v>
      </c>
      <c r="F17" s="33" t="n">
        <f aca="false">SUM(F5:F16)</f>
        <v>5975727040.87738</v>
      </c>
      <c r="G17" s="33" t="n">
        <f aca="false">SUM(G5:G16)</f>
        <v>2575422249.40854</v>
      </c>
      <c r="H17" s="34" t="n">
        <f aca="false">IFERROR(G17/F17,0)</f>
        <v>0.430980570529943</v>
      </c>
      <c r="I17" s="37" t="n">
        <f aca="false">SUM(I5:I16)</f>
        <v>156</v>
      </c>
      <c r="J17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3" min="3" style="0" width="9"/>
    <col collapsed="false" customWidth="true" hidden="false" outlineLevel="0" max="18" min="4" style="0" width="1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38" t="s">
        <v>247</v>
      </c>
    </row>
    <row r="4" customFormat="false" ht="30" hidden="false" customHeight="true" outlineLevel="0" collapsed="false">
      <c r="A4" s="9" t="s">
        <v>225</v>
      </c>
      <c r="B4" s="10"/>
      <c r="C4" s="10" t="s">
        <v>248</v>
      </c>
      <c r="D4" s="10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  <c r="M4" s="10" t="s">
        <v>75</v>
      </c>
      <c r="N4" s="10" t="s">
        <v>76</v>
      </c>
      <c r="O4" s="10" t="s">
        <v>77</v>
      </c>
      <c r="P4" s="10" t="s">
        <v>78</v>
      </c>
      <c r="Q4" s="10" t="s">
        <v>79</v>
      </c>
      <c r="R4" s="10" t="s">
        <v>80</v>
      </c>
    </row>
    <row r="5" customFormat="false" ht="15" hidden="false" customHeight="false" outlineLevel="0" collapsed="false">
      <c r="A5" s="6" t="s">
        <v>249</v>
      </c>
      <c r="C5" s="39" t="n">
        <f aca="false">Drivers!C9</f>
        <v>30</v>
      </c>
      <c r="D5" s="39" t="n">
        <f aca="false">Drivers!D9</f>
        <v>30</v>
      </c>
      <c r="E5" s="39" t="n">
        <f aca="false">Drivers!E9</f>
        <v>30</v>
      </c>
      <c r="F5" s="39" t="n">
        <f aca="false">Drivers!F9</f>
        <v>30</v>
      </c>
      <c r="G5" s="39" t="n">
        <f aca="false">Drivers!G9</f>
        <v>30</v>
      </c>
      <c r="H5" s="39" t="n">
        <f aca="false">Drivers!H9</f>
        <v>30</v>
      </c>
      <c r="I5" s="39" t="n">
        <f aca="false">Drivers!I9</f>
        <v>30</v>
      </c>
      <c r="J5" s="39" t="n">
        <f aca="false">Drivers!J9</f>
        <v>30</v>
      </c>
      <c r="K5" s="39" t="n">
        <f aca="false">Drivers!K9</f>
        <v>30</v>
      </c>
      <c r="L5" s="39" t="n">
        <f aca="false">Drivers!L9</f>
        <v>30</v>
      </c>
      <c r="M5" s="39" t="n">
        <f aca="false">Drivers!M9</f>
        <v>30</v>
      </c>
      <c r="N5" s="39" t="n">
        <f aca="false">Drivers!N9</f>
        <v>30</v>
      </c>
      <c r="O5" s="39" t="n">
        <f aca="false">Drivers!O9</f>
        <v>30</v>
      </c>
      <c r="P5" s="39" t="n">
        <f aca="false">Drivers!P9</f>
        <v>30</v>
      </c>
      <c r="Q5" s="39" t="n">
        <f aca="false">Drivers!Q9</f>
        <v>30</v>
      </c>
      <c r="R5" s="39" t="n">
        <f aca="false">Drivers!R9</f>
        <v>30</v>
      </c>
    </row>
    <row r="6" customFormat="false" ht="15" hidden="false" customHeight="false" outlineLevel="0" collapsed="false">
      <c r="A6" s="6" t="s">
        <v>250</v>
      </c>
      <c r="C6" s="39" t="n">
        <f aca="false">Drivers!C15</f>
        <v>40</v>
      </c>
      <c r="D6" s="39" t="n">
        <f aca="false">Drivers!D15</f>
        <v>40</v>
      </c>
      <c r="E6" s="39" t="n">
        <f aca="false">Drivers!E15</f>
        <v>40</v>
      </c>
      <c r="F6" s="39" t="n">
        <f aca="false">Drivers!F15</f>
        <v>40</v>
      </c>
      <c r="G6" s="39" t="n">
        <f aca="false">Drivers!G15</f>
        <v>40</v>
      </c>
      <c r="H6" s="39" t="n">
        <f aca="false">Drivers!H15</f>
        <v>40</v>
      </c>
      <c r="I6" s="39" t="n">
        <f aca="false">Drivers!I15</f>
        <v>40</v>
      </c>
      <c r="J6" s="39" t="n">
        <f aca="false">Drivers!J15</f>
        <v>40</v>
      </c>
      <c r="K6" s="39" t="n">
        <f aca="false">Drivers!K15</f>
        <v>40</v>
      </c>
      <c r="L6" s="39" t="n">
        <f aca="false">Drivers!L15</f>
        <v>40</v>
      </c>
      <c r="M6" s="39" t="n">
        <f aca="false">Drivers!M15</f>
        <v>40</v>
      </c>
      <c r="N6" s="39" t="n">
        <f aca="false">Drivers!N15</f>
        <v>40</v>
      </c>
      <c r="O6" s="39" t="n">
        <f aca="false">Drivers!O15</f>
        <v>40</v>
      </c>
      <c r="P6" s="39" t="n">
        <f aca="false">Drivers!P15</f>
        <v>40</v>
      </c>
      <c r="Q6" s="39" t="n">
        <f aca="false">Drivers!Q15</f>
        <v>40</v>
      </c>
      <c r="R6" s="39" t="n">
        <f aca="false">Drivers!R15</f>
        <v>40</v>
      </c>
    </row>
    <row r="7" customFormat="false" ht="15" hidden="false" customHeight="false" outlineLevel="0" collapsed="false">
      <c r="A7" s="6" t="s">
        <v>251</v>
      </c>
      <c r="C7" s="39" t="n">
        <f aca="false">Drivers!C21</f>
        <v>22</v>
      </c>
      <c r="D7" s="39" t="n">
        <f aca="false">Drivers!D21</f>
        <v>22</v>
      </c>
      <c r="E7" s="39" t="n">
        <f aca="false">Drivers!E21</f>
        <v>22</v>
      </c>
      <c r="F7" s="39" t="n">
        <f aca="false">Drivers!F21</f>
        <v>22</v>
      </c>
      <c r="G7" s="39" t="n">
        <f aca="false">Drivers!G21</f>
        <v>22</v>
      </c>
      <c r="H7" s="39" t="n">
        <f aca="false">Drivers!H21</f>
        <v>22</v>
      </c>
      <c r="I7" s="39" t="n">
        <f aca="false">Drivers!I21</f>
        <v>22</v>
      </c>
      <c r="J7" s="39" t="n">
        <f aca="false">Drivers!J21</f>
        <v>22</v>
      </c>
      <c r="K7" s="39" t="n">
        <f aca="false">Drivers!K21</f>
        <v>22</v>
      </c>
      <c r="L7" s="39" t="n">
        <f aca="false">Drivers!L21</f>
        <v>22</v>
      </c>
      <c r="M7" s="39" t="n">
        <f aca="false">Drivers!M21</f>
        <v>22</v>
      </c>
      <c r="N7" s="39" t="n">
        <f aca="false">Drivers!N21</f>
        <v>22</v>
      </c>
      <c r="O7" s="39" t="n">
        <f aca="false">Drivers!O21</f>
        <v>22</v>
      </c>
      <c r="P7" s="39" t="n">
        <f aca="false">Drivers!P21</f>
        <v>22</v>
      </c>
      <c r="Q7" s="39" t="n">
        <f aca="false">Drivers!Q21</f>
        <v>22</v>
      </c>
      <c r="R7" s="39" t="n">
        <f aca="false">Drivers!R21</f>
        <v>22</v>
      </c>
    </row>
    <row r="8" customFormat="false" ht="15" hidden="false" customHeight="false" outlineLevel="0" collapsed="false">
      <c r="A8" s="6" t="s">
        <v>252</v>
      </c>
      <c r="C8" s="39" t="n">
        <f aca="false">Drivers!C27</f>
        <v>9</v>
      </c>
      <c r="D8" s="39" t="n">
        <f aca="false">Drivers!D27</f>
        <v>9</v>
      </c>
      <c r="E8" s="39" t="n">
        <f aca="false">Drivers!E27</f>
        <v>9</v>
      </c>
      <c r="F8" s="39" t="n">
        <f aca="false">Drivers!F27</f>
        <v>9</v>
      </c>
      <c r="G8" s="39" t="n">
        <f aca="false">Drivers!G27</f>
        <v>9</v>
      </c>
      <c r="H8" s="39" t="n">
        <f aca="false">Drivers!H27</f>
        <v>9</v>
      </c>
      <c r="I8" s="39" t="n">
        <f aca="false">Drivers!I27</f>
        <v>9</v>
      </c>
      <c r="J8" s="39" t="n">
        <f aca="false">Drivers!J27</f>
        <v>9</v>
      </c>
      <c r="K8" s="39" t="n">
        <f aca="false">Drivers!K27</f>
        <v>9</v>
      </c>
      <c r="L8" s="39" t="n">
        <f aca="false">Drivers!L27</f>
        <v>9</v>
      </c>
      <c r="M8" s="39" t="n">
        <f aca="false">Drivers!M27</f>
        <v>9</v>
      </c>
      <c r="N8" s="39" t="n">
        <f aca="false">Drivers!N27</f>
        <v>9</v>
      </c>
      <c r="O8" s="39" t="n">
        <f aca="false">Drivers!O27</f>
        <v>9</v>
      </c>
      <c r="P8" s="39" t="n">
        <f aca="false">Drivers!P27</f>
        <v>9</v>
      </c>
      <c r="Q8" s="39" t="n">
        <f aca="false">Drivers!Q27</f>
        <v>9</v>
      </c>
      <c r="R8" s="39" t="n">
        <f aca="false">Drivers!R27</f>
        <v>9</v>
      </c>
    </row>
    <row r="9" customFormat="false" ht="15" hidden="false" customHeight="false" outlineLevel="0" collapsed="false">
      <c r="A9" s="6" t="s">
        <v>253</v>
      </c>
      <c r="C9" s="39" t="n">
        <f aca="false">Drivers!C33</f>
        <v>6</v>
      </c>
      <c r="D9" s="39" t="n">
        <f aca="false">Drivers!D33</f>
        <v>6</v>
      </c>
      <c r="E9" s="39" t="n">
        <f aca="false">Drivers!E33</f>
        <v>6</v>
      </c>
      <c r="F9" s="39" t="n">
        <f aca="false">Drivers!F33</f>
        <v>6</v>
      </c>
      <c r="G9" s="39" t="n">
        <f aca="false">Drivers!G33</f>
        <v>6</v>
      </c>
      <c r="H9" s="39" t="n">
        <f aca="false">Drivers!H33</f>
        <v>6</v>
      </c>
      <c r="I9" s="39" t="n">
        <f aca="false">Drivers!I33</f>
        <v>6</v>
      </c>
      <c r="J9" s="39" t="n">
        <f aca="false">Drivers!J33</f>
        <v>6</v>
      </c>
      <c r="K9" s="39" t="n">
        <f aca="false">Drivers!K33</f>
        <v>6</v>
      </c>
      <c r="L9" s="39" t="n">
        <f aca="false">Drivers!L33</f>
        <v>6</v>
      </c>
      <c r="M9" s="39" t="n">
        <f aca="false">Drivers!M33</f>
        <v>6</v>
      </c>
      <c r="N9" s="39" t="n">
        <f aca="false">Drivers!N33</f>
        <v>6</v>
      </c>
      <c r="O9" s="39" t="n">
        <f aca="false">Drivers!O33</f>
        <v>6</v>
      </c>
      <c r="P9" s="39" t="n">
        <f aca="false">Drivers!P33</f>
        <v>6</v>
      </c>
      <c r="Q9" s="39" t="n">
        <f aca="false">Drivers!Q33</f>
        <v>6</v>
      </c>
      <c r="R9" s="39" t="n">
        <f aca="false">Drivers!R33</f>
        <v>6</v>
      </c>
    </row>
    <row r="10" customFormat="false" ht="15" hidden="false" customHeight="false" outlineLevel="0" collapsed="false">
      <c r="A10" s="6" t="s">
        <v>254</v>
      </c>
      <c r="C10" s="39" t="n">
        <f aca="false">Drivers!C39</f>
        <v>6</v>
      </c>
      <c r="D10" s="39" t="n">
        <f aca="false">Drivers!D39</f>
        <v>6</v>
      </c>
      <c r="E10" s="39" t="n">
        <f aca="false">Drivers!E39</f>
        <v>6</v>
      </c>
      <c r="F10" s="39" t="n">
        <f aca="false">Drivers!F39</f>
        <v>6</v>
      </c>
      <c r="G10" s="39" t="n">
        <f aca="false">Drivers!G39</f>
        <v>6</v>
      </c>
      <c r="H10" s="39" t="n">
        <f aca="false">Drivers!H39</f>
        <v>6</v>
      </c>
      <c r="I10" s="39" t="n">
        <f aca="false">Drivers!I39</f>
        <v>6</v>
      </c>
      <c r="J10" s="39" t="n">
        <f aca="false">Drivers!J39</f>
        <v>6</v>
      </c>
      <c r="K10" s="39" t="n">
        <f aca="false">Drivers!K39</f>
        <v>6</v>
      </c>
      <c r="L10" s="39" t="n">
        <f aca="false">Drivers!L39</f>
        <v>6</v>
      </c>
      <c r="M10" s="39" t="n">
        <f aca="false">Drivers!M39</f>
        <v>6</v>
      </c>
      <c r="N10" s="39" t="n">
        <f aca="false">Drivers!N39</f>
        <v>6</v>
      </c>
      <c r="O10" s="39" t="n">
        <f aca="false">Drivers!O39</f>
        <v>6</v>
      </c>
      <c r="P10" s="39" t="n">
        <f aca="false">Drivers!P39</f>
        <v>6</v>
      </c>
      <c r="Q10" s="39" t="n">
        <f aca="false">Drivers!Q39</f>
        <v>6</v>
      </c>
      <c r="R10" s="39" t="n">
        <f aca="false">Drivers!R39</f>
        <v>6</v>
      </c>
    </row>
    <row r="11" customFormat="false" ht="15" hidden="false" customHeight="false" outlineLevel="0" collapsed="false">
      <c r="A11" s="6" t="s">
        <v>255</v>
      </c>
      <c r="C11" s="39" t="n">
        <f aca="false">Drivers!C45</f>
        <v>4</v>
      </c>
      <c r="D11" s="39" t="n">
        <f aca="false">Drivers!D45</f>
        <v>4</v>
      </c>
      <c r="E11" s="39" t="n">
        <f aca="false">Drivers!E45</f>
        <v>4</v>
      </c>
      <c r="F11" s="39" t="n">
        <f aca="false">Drivers!F45</f>
        <v>4</v>
      </c>
      <c r="G11" s="39" t="n">
        <f aca="false">Drivers!G45</f>
        <v>4</v>
      </c>
      <c r="H11" s="39" t="n">
        <f aca="false">Drivers!H45</f>
        <v>4</v>
      </c>
      <c r="I11" s="39" t="n">
        <f aca="false">Drivers!I45</f>
        <v>4</v>
      </c>
      <c r="J11" s="39" t="n">
        <f aca="false">Drivers!J45</f>
        <v>4</v>
      </c>
      <c r="K11" s="39" t="n">
        <f aca="false">Drivers!K45</f>
        <v>4</v>
      </c>
      <c r="L11" s="39" t="n">
        <f aca="false">Drivers!L45</f>
        <v>4</v>
      </c>
      <c r="M11" s="39" t="n">
        <f aca="false">Drivers!M45</f>
        <v>4</v>
      </c>
      <c r="N11" s="39" t="n">
        <f aca="false">Drivers!N45</f>
        <v>4</v>
      </c>
      <c r="O11" s="39" t="n">
        <f aca="false">Drivers!O45</f>
        <v>4</v>
      </c>
      <c r="P11" s="39" t="n">
        <f aca="false">Drivers!P45</f>
        <v>4</v>
      </c>
      <c r="Q11" s="39" t="n">
        <f aca="false">Drivers!Q45</f>
        <v>4</v>
      </c>
      <c r="R11" s="39" t="n">
        <f aca="false">Drivers!R45</f>
        <v>4</v>
      </c>
    </row>
    <row r="12" customFormat="false" ht="15" hidden="false" customHeight="false" outlineLevel="0" collapsed="false">
      <c r="A12" s="6" t="s">
        <v>256</v>
      </c>
      <c r="C12" s="39" t="n">
        <f aca="false">Drivers!C51</f>
        <v>2</v>
      </c>
      <c r="D12" s="39" t="n">
        <f aca="false">Drivers!D51</f>
        <v>2</v>
      </c>
      <c r="E12" s="39" t="n">
        <f aca="false">Drivers!E51</f>
        <v>2</v>
      </c>
      <c r="F12" s="39" t="n">
        <f aca="false">Drivers!F51</f>
        <v>2</v>
      </c>
      <c r="G12" s="39" t="n">
        <f aca="false">Drivers!G51</f>
        <v>2</v>
      </c>
      <c r="H12" s="39" t="n">
        <f aca="false">Drivers!H51</f>
        <v>2</v>
      </c>
      <c r="I12" s="39" t="n">
        <f aca="false">Drivers!I51</f>
        <v>2</v>
      </c>
      <c r="J12" s="39" t="n">
        <f aca="false">Drivers!J51</f>
        <v>2</v>
      </c>
      <c r="K12" s="39" t="n">
        <f aca="false">Drivers!K51</f>
        <v>2</v>
      </c>
      <c r="L12" s="39" t="n">
        <f aca="false">Drivers!L51</f>
        <v>2</v>
      </c>
      <c r="M12" s="39" t="n">
        <f aca="false">Drivers!M51</f>
        <v>2</v>
      </c>
      <c r="N12" s="39" t="n">
        <f aca="false">Drivers!N51</f>
        <v>2</v>
      </c>
      <c r="O12" s="39" t="n">
        <f aca="false">Drivers!O51</f>
        <v>2</v>
      </c>
      <c r="P12" s="39" t="n">
        <f aca="false">Drivers!P51</f>
        <v>2</v>
      </c>
      <c r="Q12" s="39" t="n">
        <f aca="false">Drivers!Q51</f>
        <v>2</v>
      </c>
      <c r="R12" s="39" t="n">
        <f aca="false">Drivers!R51</f>
        <v>2</v>
      </c>
    </row>
    <row r="13" customFormat="false" ht="15" hidden="false" customHeight="false" outlineLevel="0" collapsed="false">
      <c r="A13" s="6" t="s">
        <v>257</v>
      </c>
      <c r="C13" s="39" t="n">
        <f aca="false">Drivers!C57</f>
        <v>10</v>
      </c>
      <c r="D13" s="39" t="n">
        <f aca="false">Drivers!D57</f>
        <v>10</v>
      </c>
      <c r="E13" s="39" t="n">
        <f aca="false">Drivers!E57</f>
        <v>10</v>
      </c>
      <c r="F13" s="39" t="n">
        <f aca="false">Drivers!F57</f>
        <v>10</v>
      </c>
      <c r="G13" s="39" t="n">
        <f aca="false">Drivers!G57</f>
        <v>10</v>
      </c>
      <c r="H13" s="39" t="n">
        <f aca="false">Drivers!H57</f>
        <v>10</v>
      </c>
      <c r="I13" s="39" t="n">
        <f aca="false">Drivers!I57</f>
        <v>10</v>
      </c>
      <c r="J13" s="39" t="n">
        <f aca="false">Drivers!J57</f>
        <v>10</v>
      </c>
      <c r="K13" s="39" t="n">
        <f aca="false">Drivers!K57</f>
        <v>10</v>
      </c>
      <c r="L13" s="39" t="n">
        <f aca="false">Drivers!L57</f>
        <v>10</v>
      </c>
      <c r="M13" s="39" t="n">
        <f aca="false">Drivers!M57</f>
        <v>10</v>
      </c>
      <c r="N13" s="39" t="n">
        <f aca="false">Drivers!N57</f>
        <v>10</v>
      </c>
      <c r="O13" s="39" t="n">
        <f aca="false">Drivers!O57</f>
        <v>10</v>
      </c>
      <c r="P13" s="39" t="n">
        <f aca="false">Drivers!P57</f>
        <v>10</v>
      </c>
      <c r="Q13" s="39" t="n">
        <f aca="false">Drivers!Q57</f>
        <v>10</v>
      </c>
      <c r="R13" s="39" t="n">
        <f aca="false">Drivers!R57</f>
        <v>10</v>
      </c>
    </row>
    <row r="14" customFormat="false" ht="15" hidden="false" customHeight="false" outlineLevel="0" collapsed="false">
      <c r="A14" s="6" t="s">
        <v>258</v>
      </c>
      <c r="C14" s="39" t="n">
        <f aca="false">Drivers!C63</f>
        <v>9</v>
      </c>
      <c r="D14" s="39" t="n">
        <f aca="false">Drivers!D63</f>
        <v>9</v>
      </c>
      <c r="E14" s="39" t="n">
        <f aca="false">Drivers!E63</f>
        <v>9</v>
      </c>
      <c r="F14" s="39" t="n">
        <f aca="false">Drivers!F63</f>
        <v>9</v>
      </c>
      <c r="G14" s="39" t="n">
        <f aca="false">Drivers!G63</f>
        <v>9</v>
      </c>
      <c r="H14" s="39" t="n">
        <f aca="false">Drivers!H63</f>
        <v>9</v>
      </c>
      <c r="I14" s="39" t="n">
        <f aca="false">Drivers!I63</f>
        <v>9</v>
      </c>
      <c r="J14" s="39" t="n">
        <f aca="false">Drivers!J63</f>
        <v>9</v>
      </c>
      <c r="K14" s="39" t="n">
        <f aca="false">Drivers!K63</f>
        <v>9</v>
      </c>
      <c r="L14" s="39" t="n">
        <f aca="false">Drivers!L63</f>
        <v>9</v>
      </c>
      <c r="M14" s="39" t="n">
        <f aca="false">Drivers!M63</f>
        <v>9</v>
      </c>
      <c r="N14" s="39" t="n">
        <f aca="false">Drivers!N63</f>
        <v>9</v>
      </c>
      <c r="O14" s="39" t="n">
        <f aca="false">Drivers!O63</f>
        <v>9</v>
      </c>
      <c r="P14" s="39" t="n">
        <f aca="false">Drivers!P63</f>
        <v>9</v>
      </c>
      <c r="Q14" s="39" t="n">
        <f aca="false">Drivers!Q63</f>
        <v>9</v>
      </c>
      <c r="R14" s="39" t="n">
        <f aca="false">Drivers!R63</f>
        <v>9</v>
      </c>
    </row>
    <row r="15" customFormat="false" ht="15" hidden="false" customHeight="false" outlineLevel="0" collapsed="false">
      <c r="A15" s="6" t="s">
        <v>259</v>
      </c>
      <c r="C15" s="39" t="n">
        <f aca="false">Drivers!C69</f>
        <v>4</v>
      </c>
      <c r="D15" s="39" t="n">
        <f aca="false">Drivers!D69</f>
        <v>4</v>
      </c>
      <c r="E15" s="39" t="n">
        <f aca="false">Drivers!E69</f>
        <v>4</v>
      </c>
      <c r="F15" s="39" t="n">
        <f aca="false">Drivers!F69</f>
        <v>4</v>
      </c>
      <c r="G15" s="39" t="n">
        <f aca="false">Drivers!G69</f>
        <v>4</v>
      </c>
      <c r="H15" s="39" t="n">
        <f aca="false">Drivers!H69</f>
        <v>4</v>
      </c>
      <c r="I15" s="39" t="n">
        <f aca="false">Drivers!I69</f>
        <v>4</v>
      </c>
      <c r="J15" s="39" t="n">
        <f aca="false">Drivers!J69</f>
        <v>4</v>
      </c>
      <c r="K15" s="39" t="n">
        <f aca="false">Drivers!K69</f>
        <v>4</v>
      </c>
      <c r="L15" s="39" t="n">
        <f aca="false">Drivers!L69</f>
        <v>4</v>
      </c>
      <c r="M15" s="39" t="n">
        <f aca="false">Drivers!M69</f>
        <v>4</v>
      </c>
      <c r="N15" s="39" t="n">
        <f aca="false">Drivers!N69</f>
        <v>4</v>
      </c>
      <c r="O15" s="39" t="n">
        <f aca="false">Drivers!O69</f>
        <v>4</v>
      </c>
      <c r="P15" s="39" t="n">
        <f aca="false">Drivers!P69</f>
        <v>4</v>
      </c>
      <c r="Q15" s="39" t="n">
        <f aca="false">Drivers!Q69</f>
        <v>4</v>
      </c>
      <c r="R15" s="39" t="n">
        <f aca="false">Drivers!R69</f>
        <v>4</v>
      </c>
    </row>
    <row r="16" customFormat="false" ht="15" hidden="false" customHeight="false" outlineLevel="0" collapsed="false">
      <c r="A16" s="6" t="s">
        <v>260</v>
      </c>
      <c r="C16" s="39" t="n">
        <f aca="false">Drivers!C75</f>
        <v>14</v>
      </c>
      <c r="D16" s="39" t="n">
        <f aca="false">Drivers!D75</f>
        <v>14</v>
      </c>
      <c r="E16" s="39" t="n">
        <f aca="false">Drivers!E75</f>
        <v>14</v>
      </c>
      <c r="F16" s="39" t="n">
        <f aca="false">Drivers!F75</f>
        <v>14</v>
      </c>
      <c r="G16" s="39" t="n">
        <f aca="false">Drivers!G75</f>
        <v>14</v>
      </c>
      <c r="H16" s="39" t="n">
        <f aca="false">Drivers!H75</f>
        <v>14</v>
      </c>
      <c r="I16" s="39" t="n">
        <f aca="false">Drivers!I75</f>
        <v>14</v>
      </c>
      <c r="J16" s="39" t="n">
        <f aca="false">Drivers!J75</f>
        <v>14</v>
      </c>
      <c r="K16" s="39" t="n">
        <f aca="false">Drivers!K75</f>
        <v>14</v>
      </c>
      <c r="L16" s="39" t="n">
        <f aca="false">Drivers!L75</f>
        <v>14</v>
      </c>
      <c r="M16" s="39" t="n">
        <f aca="false">Drivers!M75</f>
        <v>14</v>
      </c>
      <c r="N16" s="39" t="n">
        <f aca="false">Drivers!N75</f>
        <v>14</v>
      </c>
      <c r="O16" s="39" t="n">
        <f aca="false">Drivers!O75</f>
        <v>14</v>
      </c>
      <c r="P16" s="39" t="n">
        <f aca="false">Drivers!P75</f>
        <v>14</v>
      </c>
      <c r="Q16" s="39" t="n">
        <f aca="false">Drivers!Q75</f>
        <v>14</v>
      </c>
      <c r="R16" s="39" t="n">
        <f aca="false">Drivers!R75</f>
        <v>14</v>
      </c>
    </row>
    <row r="17" customFormat="false" ht="15" hidden="false" customHeight="false" outlineLevel="0" collapsed="false">
      <c r="A17" s="3" t="s">
        <v>261</v>
      </c>
      <c r="C17" s="40" t="n">
        <f aca="false">SUM(C5:C16)</f>
        <v>156</v>
      </c>
      <c r="D17" s="40" t="n">
        <f aca="false">SUM(D5:D16)</f>
        <v>156</v>
      </c>
      <c r="E17" s="40" t="n">
        <f aca="false">SUM(E5:E16)</f>
        <v>156</v>
      </c>
      <c r="F17" s="40" t="n">
        <f aca="false">SUM(F5:F16)</f>
        <v>156</v>
      </c>
      <c r="G17" s="40" t="n">
        <f aca="false">SUM(G5:G16)</f>
        <v>156</v>
      </c>
      <c r="H17" s="40" t="n">
        <f aca="false">SUM(H5:H16)</f>
        <v>156</v>
      </c>
      <c r="I17" s="40" t="n">
        <f aca="false">SUM(I5:I16)</f>
        <v>156</v>
      </c>
      <c r="J17" s="40" t="n">
        <f aca="false">SUM(J5:J16)</f>
        <v>156</v>
      </c>
      <c r="K17" s="40" t="n">
        <f aca="false">SUM(K5:K16)</f>
        <v>156</v>
      </c>
      <c r="L17" s="40" t="n">
        <f aca="false">SUM(L5:L16)</f>
        <v>156</v>
      </c>
      <c r="M17" s="40" t="n">
        <f aca="false">SUM(M5:M16)</f>
        <v>156</v>
      </c>
      <c r="N17" s="40" t="n">
        <f aca="false">SUM(N5:N16)</f>
        <v>156</v>
      </c>
      <c r="O17" s="40" t="n">
        <f aca="false">SUM(O5:O16)</f>
        <v>156</v>
      </c>
      <c r="P17" s="40" t="n">
        <f aca="false">SUM(P5:P16)</f>
        <v>156</v>
      </c>
      <c r="Q17" s="40" t="n">
        <f aca="false">SUM(Q5:Q16)</f>
        <v>156</v>
      </c>
      <c r="R17" s="40" t="n">
        <f aca="false">SUM(R5:R16)</f>
        <v>156</v>
      </c>
    </row>
    <row r="19" customFormat="false" ht="15" hidden="false" customHeight="false" outlineLevel="0" collapsed="false">
      <c r="A19" s="3" t="s">
        <v>262</v>
      </c>
      <c r="D19" s="30" t="n">
        <f aca="false">-SUMIFS(Cálculo!$H$5:$H$216,Cálculo!$F$5:$F$216,"pos_sal")</f>
        <v>146629924.4122</v>
      </c>
      <c r="E19" s="30" t="n">
        <f aca="false">-SUMIFS(Cálculo!$I$5:$I$216,Cálculo!$F$5:$F$216,"pos_sal")</f>
        <v>146629924.4122</v>
      </c>
      <c r="F19" s="30" t="n">
        <f aca="false">-SUMIFS(Cálculo!$J$5:$J$216,Cálculo!$F$5:$F$216,"pos_sal")</f>
        <v>146629924.4122</v>
      </c>
      <c r="G19" s="30" t="n">
        <f aca="false">-SUMIFS(Cálculo!$K$5:$K$216,Cálculo!$F$5:$F$216,"pos_sal")</f>
        <v>154694570.254871</v>
      </c>
      <c r="H19" s="30" t="n">
        <f aca="false">-SUMIFS(Cálculo!$L$5:$L$216,Cálculo!$F$5:$F$216,"pos_sal")</f>
        <v>154694570.254871</v>
      </c>
      <c r="I19" s="30" t="n">
        <f aca="false">-SUMIFS(Cálculo!$M$5:$M$216,Cálculo!$F$5:$F$216,"pos_sal")</f>
        <v>154694570.254871</v>
      </c>
      <c r="J19" s="30" t="n">
        <f aca="false">-SUMIFS(Cálculo!$N$5:$N$216,Cálculo!$F$5:$F$216,"pos_sal")</f>
        <v>163202771.618889</v>
      </c>
      <c r="K19" s="30" t="n">
        <f aca="false">-SUMIFS(Cálculo!$O$5:$O$216,Cálculo!$F$5:$F$216,"pos_sal")</f>
        <v>163202771.618889</v>
      </c>
      <c r="L19" s="30" t="n">
        <f aca="false">-SUMIFS(Cálculo!$P$5:$P$216,Cálculo!$F$5:$F$216,"pos_sal")</f>
        <v>163202771.618889</v>
      </c>
      <c r="M19" s="30" t="n">
        <f aca="false">-SUMIFS(Cálculo!$Q$5:$Q$216,Cálculo!$F$5:$F$216,"pos_sal")</f>
        <v>172178924.057928</v>
      </c>
      <c r="N19" s="30" t="n">
        <f aca="false">-SUMIFS(Cálculo!$R$5:$R$216,Cálculo!$F$5:$F$216,"pos_sal")</f>
        <v>172178924.057928</v>
      </c>
      <c r="O19" s="30" t="n">
        <f aca="false">-SUMIFS(Cálculo!$S$5:$S$216,Cálculo!$F$5:$F$216,"pos_sal")</f>
        <v>172178924.057928</v>
      </c>
      <c r="P19" s="30" t="n">
        <f aca="false">-SUMIFS(Cálculo!$T$5:$T$216,Cálculo!$F$5:$F$216,"pos_sal")</f>
        <v>181648764.881114</v>
      </c>
      <c r="Q19" s="30" t="n">
        <f aca="false">-SUMIFS(Cálculo!$U$5:$U$216,Cálculo!$F$5:$F$216,"pos_sal")</f>
        <v>181648764.881114</v>
      </c>
      <c r="R19" s="30" t="n">
        <f aca="false">-SUMIFS(Cálculo!$V$5:$V$216,Cálculo!$F$5:$F$216,"pos_sal")</f>
        <v>181648764.881114</v>
      </c>
    </row>
    <row r="20" customFormat="false" ht="15" hidden="false" customHeight="false" outlineLevel="0" collapsed="false">
      <c r="A20" s="6" t="s">
        <v>263</v>
      </c>
      <c r="D20" s="24" t="n">
        <f aca="false">IFERROR(D19/D17,0)</f>
        <v>939935.412898718</v>
      </c>
      <c r="E20" s="24" t="n">
        <f aca="false">IFERROR(E19/E17,0)</f>
        <v>939935.412898718</v>
      </c>
      <c r="F20" s="24" t="n">
        <f aca="false">IFERROR(F19/F17,0)</f>
        <v>939935.412898718</v>
      </c>
      <c r="G20" s="24" t="n">
        <f aca="false">IFERROR(G19/G17,0)</f>
        <v>991631.860608148</v>
      </c>
      <c r="H20" s="24" t="n">
        <f aca="false">IFERROR(H19/H17,0)</f>
        <v>991631.860608148</v>
      </c>
      <c r="I20" s="24" t="n">
        <f aca="false">IFERROR(I19/I17,0)</f>
        <v>991631.860608148</v>
      </c>
      <c r="J20" s="24" t="n">
        <f aca="false">IFERROR(J19/J17,0)</f>
        <v>1046171.6129416</v>
      </c>
      <c r="K20" s="24" t="n">
        <f aca="false">IFERROR(K19/K17,0)</f>
        <v>1046171.6129416</v>
      </c>
      <c r="L20" s="24" t="n">
        <f aca="false">IFERROR(L19/L17,0)</f>
        <v>1046171.6129416</v>
      </c>
      <c r="M20" s="24" t="n">
        <f aca="false">IFERROR(M19/M17,0)</f>
        <v>1103711.05165338</v>
      </c>
      <c r="N20" s="24" t="n">
        <f aca="false">IFERROR(N19/N17,0)</f>
        <v>1103711.05165338</v>
      </c>
      <c r="O20" s="24" t="n">
        <f aca="false">IFERROR(O19/O17,0)</f>
        <v>1103711.05165338</v>
      </c>
      <c r="P20" s="24" t="n">
        <f aca="false">IFERROR(P19/P17,0)</f>
        <v>1164415.15949432</v>
      </c>
      <c r="Q20" s="24" t="n">
        <f aca="false">IFERROR(Q19/Q17,0)</f>
        <v>1164415.15949432</v>
      </c>
      <c r="R20" s="24" t="n">
        <f aca="false">IFERROR(R19/R17,0)</f>
        <v>1164415.15949432</v>
      </c>
    </row>
    <row r="21" customFormat="false" ht="15" hidden="false" customHeight="false" outlineLevel="0" collapsed="false">
      <c r="A21" s="6" t="s">
        <v>264</v>
      </c>
      <c r="D21" s="41" t="n">
        <f aca="false">Supuestos!D10</f>
        <v>1.06</v>
      </c>
      <c r="E21" s="41" t="n">
        <f aca="false">Supuestos!E10</f>
        <v>1.06</v>
      </c>
      <c r="F21" s="41" t="n">
        <f aca="false">Supuestos!F10</f>
        <v>1.06</v>
      </c>
      <c r="G21" s="41" t="n">
        <f aca="false">Supuestos!G10</f>
        <v>1.1183</v>
      </c>
      <c r="H21" s="41" t="n">
        <f aca="false">Supuestos!H10</f>
        <v>1.1183</v>
      </c>
      <c r="I21" s="41" t="n">
        <f aca="false">Supuestos!I10</f>
        <v>1.1183</v>
      </c>
      <c r="J21" s="41" t="n">
        <f aca="false">Supuestos!J10</f>
        <v>1.1798065</v>
      </c>
      <c r="K21" s="41" t="n">
        <f aca="false">Supuestos!K10</f>
        <v>1.1798065</v>
      </c>
      <c r="L21" s="41" t="n">
        <f aca="false">Supuestos!L10</f>
        <v>1.1798065</v>
      </c>
      <c r="M21" s="41" t="n">
        <f aca="false">Supuestos!M10</f>
        <v>1.2446958575</v>
      </c>
      <c r="N21" s="41" t="n">
        <f aca="false">Supuestos!N10</f>
        <v>1.2446958575</v>
      </c>
      <c r="O21" s="41" t="n">
        <f aca="false">Supuestos!O10</f>
        <v>1.2446958575</v>
      </c>
      <c r="P21" s="41" t="n">
        <f aca="false">Supuestos!P10</f>
        <v>1.3131541296625</v>
      </c>
      <c r="Q21" s="41" t="n">
        <f aca="false">Supuestos!Q10</f>
        <v>1.3131541296625</v>
      </c>
      <c r="R21" s="41" t="n">
        <f aca="false">Supuestos!R10</f>
        <v>1.3131541296625</v>
      </c>
    </row>
    <row r="23" customFormat="false" ht="15" hidden="false" customHeight="false" outlineLevel="0" collapsed="false">
      <c r="A23" s="12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2026-10-04T09:13:49Z</dcterms:created>
  <dc:creator>openpyxl</dc:creator>
  <dc:description/>
  <dc:language>en-US</dc:language>
  <cp:lastModifiedBy/>
  <dcterms:modified xsi:type="dcterms:W3CDTF">2026-10-04T09:13:49Z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