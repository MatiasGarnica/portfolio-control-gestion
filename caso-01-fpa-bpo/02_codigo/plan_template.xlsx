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Cálculo" sheetId="4" state="visible" r:id="rId4"/>
    <sheet xmlns:r="http://schemas.openxmlformats.org/officeDocument/2006/relationships" name="EERR" sheetId="5" state="visible" r:id="rId5"/>
    <sheet xmlns:r="http://schemas.openxmlformats.org/officeDocument/2006/relationships" name="Por cartera" sheetId="6" state="visible" r:id="rId6"/>
    <sheet xmlns:r="http://schemas.openxmlformats.org/officeDocument/2006/relationships" name="Dotación" sheetId="7" state="visible" r:id="rId7"/>
  </sheets>
  <definedNames>
    <definedName name="_xlnm._FilterDatabase" localSheetId="3" hidden="1">'Cálculo'!$A$4:$V$216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0.0000"/>
    <numFmt numFmtId="166" formatCode="#,##0;(#,##0);&quot;-&quot;"/>
    <numFmt numFmtId="167" formatCode="0.0"/>
    <numFmt numFmtId="168" formatCode="#,##0.0,,;(#,##0.0,,);&quot;-&quot;"/>
  </numFmts>
  <fonts count="12">
    <font>
      <name val="Calibri"/>
      <family val="2"/>
      <color theme="1"/>
      <sz val="11"/>
      <scheme val="minor"/>
    </font>
    <font>
      <name val="Arial"/>
      <b val="1"/>
      <color rgb="0013294B"/>
      <sz val="14"/>
    </font>
    <font>
      <name val="Arial"/>
      <color rgb="005D6874"/>
      <sz val="10"/>
    </font>
    <font>
      <name val="Arial"/>
      <b val="1"/>
      <sz val="10"/>
    </font>
    <font>
      <name val="Arial"/>
      <sz val="10"/>
    </font>
    <font>
      <name val="Arial"/>
      <b val="1"/>
      <color rgb="0013294B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color rgb="005D6874"/>
      <sz val="9"/>
    </font>
    <font>
      <name val="Arial"/>
      <i val="1"/>
      <color rgb="005D6874"/>
      <sz val="10"/>
    </font>
    <font>
      <name val="Arial"/>
      <b val="1"/>
      <color rgb="00A82A2A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3294B"/>
      </patternFill>
    </fill>
    <fill>
      <patternFill patternType="solid">
        <fgColor rgb="00EEF2F7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top style="thin">
        <color rgb="008B949E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164" fontId="6" fillId="2" borderId="0" pivotButton="0" quotePrefix="0" xfId="0"/>
    <xf numFmtId="0" fontId="9" fillId="0" borderId="0" pivotButton="0" quotePrefix="0" xfId="0"/>
    <xf numFmtId="165" fontId="4" fillId="0" borderId="0" pivotButton="0" quotePrefix="0" xfId="0"/>
    <xf numFmtId="166" fontId="6" fillId="2" borderId="0" pivotButton="0" quotePrefix="0" xfId="0"/>
    <xf numFmtId="2" fontId="6" fillId="2" borderId="0" pivotButton="0" quotePrefix="0" xfId="0"/>
    <xf numFmtId="0" fontId="5" fillId="4" borderId="0" pivotButton="0" quotePrefix="0" xfId="0"/>
    <xf numFmtId="0" fontId="0" fillId="4" borderId="0" pivotButton="0" quotePrefix="0" xfId="0"/>
    <xf numFmtId="167" fontId="4" fillId="0" borderId="0" pivotButton="0" quotePrefix="0" xfId="0"/>
    <xf numFmtId="167" fontId="6" fillId="2" borderId="0" pivotButton="0" quotePrefix="0" xfId="0"/>
    <xf numFmtId="10" fontId="4" fillId="0" borderId="0" pivotButton="0" quotePrefix="0" xfId="0"/>
    <xf numFmtId="10" fontId="6" fillId="2" borderId="0" pivotButton="0" quotePrefix="0" xfId="0"/>
    <xf numFmtId="1" fontId="4" fillId="0" borderId="0" pivotButton="0" quotePrefix="0" xfId="0"/>
    <xf numFmtId="1" fontId="6" fillId="2" borderId="0" pivotButton="0" quotePrefix="0" xfId="0"/>
    <xf numFmtId="166" fontId="4" fillId="0" borderId="0" pivotButton="0" quotePrefix="0" xfId="0"/>
    <xf numFmtId="0" fontId="4" fillId="0" borderId="1" pivotButton="0" quotePrefix="0" xfId="0"/>
    <xf numFmtId="166" fontId="4" fillId="0" borderId="1" pivotButton="0" quotePrefix="0" xfId="0"/>
    <xf numFmtId="0" fontId="3" fillId="5" borderId="0" pivotButton="0" quotePrefix="0" xfId="0"/>
    <xf numFmtId="168" fontId="3" fillId="5" borderId="0" pivotButton="0" quotePrefix="0" xfId="0"/>
    <xf numFmtId="164" fontId="3" fillId="5" borderId="0" pivotButton="0" quotePrefix="0" xfId="0"/>
    <xf numFmtId="168" fontId="4" fillId="0" borderId="0" pivotButton="0" quotePrefix="0" xfId="0"/>
    <xf numFmtId="164" fontId="4" fillId="0" borderId="0" pivotButton="0" quotePrefix="0" xfId="0"/>
    <xf numFmtId="0" fontId="3" fillId="4" borderId="1" pivotButton="0" quotePrefix="0" xfId="0"/>
    <xf numFmtId="168" fontId="3" fillId="4" borderId="1" pivotButton="0" quotePrefix="0" xfId="0"/>
    <xf numFmtId="164" fontId="3" fillId="4" borderId="1" pivotButton="0" quotePrefix="0" xfId="0"/>
    <xf numFmtId="0" fontId="10" fillId="0" borderId="0" pivotButton="0" quotePrefix="0" xfId="0"/>
    <xf numFmtId="164" fontId="10" fillId="0" borderId="0" pivotButton="0" quotePrefix="0" xfId="0"/>
    <xf numFmtId="167" fontId="3" fillId="4" borderId="1" pivotButton="0" quotePrefix="0" xfId="0"/>
    <xf numFmtId="0" fontId="11" fillId="0" borderId="0" pivotButton="0" quotePrefix="0" xfId="0"/>
    <xf numFmtId="1" fontId="7" fillId="0" borderId="0" pivotButton="0" quotePrefix="0" xfId="0"/>
    <xf numFmtId="1" fontId="3" fillId="4" borderId="1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Planificador</author>
  </authors>
  <commentList>
    <comment ref="C7" authorId="0" shapeId="0">
      <text>
        <t>Tipo de cambio promedio real de septiembre 2025 (fuente: KPI de operación del caso).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Planificador · reproyección oct–dic 2025 y presupuesto 2026</t>
        </is>
      </c>
    </row>
    <row r="2">
      <c r="A2" s="2" t="inlineStr">
        <is>
          <t>Cobranzas del Sur S.A. · datos 100% ficticios · generado el 2026-10-04</t>
        </is>
      </c>
    </row>
    <row r="4">
      <c r="A4" s="3" t="inlineStr">
        <is>
          <t>Para qué sirve</t>
        </is>
      </c>
      <c r="B4" s="4" t="inlineStr">
        <is>
          <t>Arma el cierre 2025 (real ene–sep + reproyección oct–dic) y el presupuesto 2026 mes a mes, desde la operación real de jul–sep 2025.</t>
        </is>
      </c>
    </row>
    <row r="5">
      <c r="A5" s="3" t="inlineStr">
        <is>
          <t>Qué se carga</t>
        </is>
      </c>
      <c r="B5" s="4" t="inlineStr">
        <is>
          <t>Celdas azules con fondo amarillo: supuestos mes a mes (hoja Supuestos) y lo que proyecta cada supervisor por cartera (hoja Drivers). Todo lo demás son fórmulas.</t>
        </is>
      </c>
    </row>
    <row r="6">
      <c r="A6" s="3" t="inlineStr">
        <is>
          <t>Supuestos</t>
        </is>
      </c>
      <c r="B6" s="4" t="inlineStr">
        <is>
          <t>Inflación mensual, tipo de cambio, aumentos salariales por tramos (paritarias), aumento del precio del SMS y estacionalidad.</t>
        </is>
      </c>
    </row>
    <row r="7">
      <c r="A7" s="3" t="inlineStr">
        <is>
          <t>Drivers por cartera</t>
        </is>
      </c>
      <c r="B7" s="4" t="inlineStr">
        <is>
          <t>Volumen de deuda asignada (índice real, sep-25 = 100), % de recupero, fee y posiciones. Para dar de baja una cartera, poné volumen y posiciones en 0.</t>
        </is>
      </c>
    </row>
    <row r="8">
      <c r="A8" s="3" t="inlineStr">
        <is>
          <t>Cálculo</t>
        </is>
      </c>
      <c r="B8" s="4" t="inlineStr">
        <is>
          <t>Una fila por cartera y línea del estado de resultados. La columna Categoría dice con qué índice se mueve cada línea (ver la lista abajo).</t>
        </is>
      </c>
    </row>
    <row r="9">
      <c r="A9" s="3" t="inlineStr">
        <is>
          <t>EERR</t>
        </is>
      </c>
      <c r="B9" s="4" t="inlineStr">
        <is>
          <t>Estado de resultados mensual: real ene–sep, reproyección oct–dic, cierre 2025 contra presupuesto 2025, y presupuesto 2026 mes a mes.</t>
        </is>
      </c>
    </row>
    <row r="10">
      <c r="A10" s="3" t="inlineStr">
        <is>
          <t>Por cartera</t>
        </is>
      </c>
      <c r="B10" s="4" t="inlineStr">
        <is>
          <t>Ingresos y margen de contribución por cartera para el cierre 2025 y el presupuesto 2026.</t>
        </is>
      </c>
    </row>
    <row r="11">
      <c r="A11" s="3" t="inlineStr">
        <is>
          <t>Dotación</t>
        </is>
      </c>
      <c r="B11" s="4" t="inlineStr">
        <is>
          <t>Posiciones por cartera y remuneraciones operativas. Información sensible: solo RRHH, Gerencia y Control de Gestión.</t>
        </is>
      </c>
    </row>
    <row r="12">
      <c r="A12" s="3" t="inlineStr">
        <is>
          <t>Base</t>
        </is>
      </c>
      <c r="B12" s="4" t="inlineStr">
        <is>
          <t>Run-rate de jul–sep 2025 llevado a precios de septiembre; los ingresos se desestacionalizan y la estacionalidad se vuelve a aplicar mes a mes.</t>
        </is>
      </c>
    </row>
    <row r="13">
      <c r="A13" s="3" t="inlineStr">
        <is>
          <t>Montos</t>
        </is>
      </c>
      <c r="B13" s="4" t="inlineStr">
        <is>
          <t>En pesos; las tablas de resultados se muestran en millones (formato de celda). Índices: sep-25 = 1.</t>
        </is>
      </c>
    </row>
    <row r="14">
      <c r="A14" s="3" t="inlineStr">
        <is>
          <t>Al abrir</t>
        </is>
      </c>
      <c r="B14" s="4" t="inlineStr">
        <is>
          <t>Si Excel abre en Vista protegida y ves celdas vacías, tocá «Habilitar edición»: el archivo recalcula todo al abrir.</t>
        </is>
      </c>
    </row>
    <row r="16">
      <c r="A16" s="5" t="inlineStr">
        <is>
          <t>Categorías de cálculo</t>
        </is>
      </c>
    </row>
    <row r="17">
      <c r="A17" s="6" t="inlineStr">
        <is>
          <t>rev</t>
        </is>
      </c>
      <c r="B17" s="6" t="inlineStr">
        <is>
          <t>Ingreso: precios (o TC) × volumen × recupero × fee × estacionalidad</t>
        </is>
      </c>
    </row>
    <row r="18">
      <c r="A18" s="6" t="inlineStr">
        <is>
          <t>iibb</t>
        </is>
      </c>
      <c r="B18" s="6" t="inlineStr">
        <is>
          <t>Igual que el ingreso (es un % de lo facturado)</t>
        </is>
      </c>
    </row>
    <row r="19">
      <c r="A19" s="6" t="inlineStr">
        <is>
          <t>pos_sal</t>
        </is>
      </c>
      <c r="B19" s="6" t="inlineStr">
        <is>
          <t>Índice salarial × posiciones</t>
        </is>
      </c>
    </row>
    <row r="20">
      <c r="A20" s="6" t="inlineStr">
        <is>
          <t>pos_usd</t>
        </is>
      </c>
      <c r="B20" s="6" t="inlineStr">
        <is>
          <t>Índice de TC × posiciones</t>
        </is>
      </c>
    </row>
    <row r="21">
      <c r="A21" s="6" t="inlineStr">
        <is>
          <t>pos_inf</t>
        </is>
      </c>
      <c r="B21" s="6" t="inlineStr">
        <is>
          <t>Índice de precios × posiciones</t>
        </is>
      </c>
    </row>
    <row r="22">
      <c r="A22" s="6" t="inlineStr">
        <is>
          <t>vol_usd</t>
        </is>
      </c>
      <c r="B22" s="6" t="inlineStr">
        <is>
          <t>Índice de TC × volumen</t>
        </is>
      </c>
    </row>
    <row r="23">
      <c r="A23" s="6" t="inlineStr">
        <is>
          <t>vol_inf</t>
        </is>
      </c>
      <c r="B23" s="6" t="inlineStr">
        <is>
          <t>Índice de precios × volumen</t>
        </is>
      </c>
    </row>
    <row r="24">
      <c r="A24" s="6" t="inlineStr">
        <is>
          <t>sms</t>
        </is>
      </c>
      <c r="B24" s="6" t="inlineStr">
        <is>
          <t>Índice de precio SMS × volumen</t>
        </is>
      </c>
    </row>
    <row r="25">
      <c r="A25" s="6" t="inlineStr">
        <is>
          <t>zero</t>
        </is>
      </c>
      <c r="B25" s="6" t="inlineStr">
        <is>
          <t>No se presupuesta (se carga aparte si hay desvinculaciones)</t>
        </is>
      </c>
    </row>
    <row r="26">
      <c r="A26" s="6" t="inlineStr">
        <is>
          <t>sal</t>
        </is>
      </c>
      <c r="B26" s="6" t="inlineStr">
        <is>
          <t>Índice salarial</t>
        </is>
      </c>
    </row>
    <row r="27">
      <c r="A27" s="6" t="inlineStr">
        <is>
          <t>usd</t>
        </is>
      </c>
      <c r="B27" s="6" t="inlineStr">
        <is>
          <t>Índice de TC</t>
        </is>
      </c>
    </row>
    <row r="28">
      <c r="A28" s="6" t="inlineStr">
        <is>
          <t>inf</t>
        </is>
      </c>
      <c r="B28" s="6" t="inlineStr">
        <is>
          <t>Índice de precios</t>
        </is>
      </c>
    </row>
    <row r="29">
      <c r="A29" s="6" t="inlineStr">
        <is>
          <t>fix</t>
        </is>
      </c>
      <c r="B29" s="6" t="inlineStr">
        <is>
          <t>Fijo</t>
        </is>
      </c>
    </row>
    <row r="30">
      <c r="A30" s="6" t="inlineStr">
        <is>
          <t>ic</t>
        </is>
      </c>
      <c r="B30" s="6" t="inlineStr">
        <is>
          <t>Índice salarial</t>
        </is>
      </c>
    </row>
    <row r="31">
      <c r="A31" s="6" t="inlineStr">
        <is>
          <t>difc</t>
        </is>
      </c>
      <c r="B31" s="6" t="inlineStr">
        <is>
          <t>Saldo US$ × variación del TC</t>
        </is>
      </c>
    </row>
    <row r="32">
      <c r="A32" s="6" t="inlineStr">
        <is>
          <t>tax</t>
        </is>
      </c>
      <c r="B32" s="6" t="inlineStr">
        <is>
          <t>Tasa × resultado antes de impuestos</t>
        </is>
      </c>
    </row>
    <row r="34">
      <c r="A34" s="5" t="inlineStr">
        <is>
          <t>Colores</t>
        </is>
      </c>
    </row>
    <row r="35">
      <c r="A35" s="7" t="inlineStr">
        <is>
          <t>1.234</t>
        </is>
      </c>
      <c r="B35" s="6" t="inlineStr">
        <is>
          <t>Dato que se carga (supuesto o proyección)</t>
        </is>
      </c>
    </row>
    <row r="36">
      <c r="A36" s="6" t="inlineStr">
        <is>
          <t>1.234</t>
        </is>
      </c>
      <c r="B36" s="6" t="inlineStr">
        <is>
          <t>Fórmula</t>
        </is>
      </c>
    </row>
    <row r="37">
      <c r="A37" s="8" t="inlineStr">
        <is>
          <t>1.234</t>
        </is>
      </c>
      <c r="B37" s="6" t="inlineStr">
        <is>
          <t>Vínculo a otra hoja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70" customWidth="1" min="19" max="19"/>
  </cols>
  <sheetData>
    <row r="1">
      <c r="A1" s="1" t="inlineStr">
        <is>
          <t>Supuestos mes a mes</t>
        </is>
      </c>
    </row>
    <row r="2">
      <c r="A2" s="2" t="inlineStr">
        <is>
          <t>Celdas azules: se cargan. Índices con base sep-25 = 1.</t>
        </is>
      </c>
    </row>
    <row r="4" ht="30" customHeight="1">
      <c r="A4" s="9" t="inlineStr">
        <is>
          <t>Supuesto</t>
        </is>
      </c>
      <c r="B4" s="10" t="inlineStr">
        <is>
          <t>Unidad</t>
        </is>
      </c>
      <c r="C4" s="10" t="inlineStr">
        <is>
          <t>Base sep-25</t>
        </is>
      </c>
      <c r="D4" s="10" t="inlineStr">
        <is>
          <t>oct-25</t>
        </is>
      </c>
      <c r="E4" s="10" t="inlineStr">
        <is>
          <t>nov-25</t>
        </is>
      </c>
      <c r="F4" s="10" t="inlineStr">
        <is>
          <t>dic-25</t>
        </is>
      </c>
      <c r="G4" s="10" t="inlineStr">
        <is>
          <t>ene-26</t>
        </is>
      </c>
      <c r="H4" s="10" t="inlineStr">
        <is>
          <t>feb-26</t>
        </is>
      </c>
      <c r="I4" s="10" t="inlineStr">
        <is>
          <t>mar-26</t>
        </is>
      </c>
      <c r="J4" s="10" t="inlineStr">
        <is>
          <t>abr-26</t>
        </is>
      </c>
      <c r="K4" s="10" t="inlineStr">
        <is>
          <t>may-26</t>
        </is>
      </c>
      <c r="L4" s="10" t="inlineStr">
        <is>
          <t>jun-26</t>
        </is>
      </c>
      <c r="M4" s="10" t="inlineStr">
        <is>
          <t>jul-26</t>
        </is>
      </c>
      <c r="N4" s="10" t="inlineStr">
        <is>
          <t>ago-26</t>
        </is>
      </c>
      <c r="O4" s="10" t="inlineStr">
        <is>
          <t>sep-26</t>
        </is>
      </c>
      <c r="P4" s="10" t="inlineStr">
        <is>
          <t>oct-26</t>
        </is>
      </c>
      <c r="Q4" s="10" t="inlineStr">
        <is>
          <t>nov-26</t>
        </is>
      </c>
      <c r="R4" s="10" t="inlineStr">
        <is>
          <t>dic-26</t>
        </is>
      </c>
      <c r="S4" s="10" t="inlineStr">
        <is>
          <t>Comentario</t>
        </is>
      </c>
    </row>
    <row r="5">
      <c r="A5" s="6" t="inlineStr">
        <is>
          <t>Inflación mensual</t>
        </is>
      </c>
      <c r="B5" s="2" t="inlineStr">
        <is>
          <t>%</t>
        </is>
      </c>
      <c r="D5" s="11" t="n">
        <v>0.023</v>
      </c>
      <c r="E5" s="11" t="n">
        <v>0.023</v>
      </c>
      <c r="F5" s="11" t="n">
        <v>0.023</v>
      </c>
      <c r="G5" s="11" t="n">
        <v>0.019</v>
      </c>
      <c r="H5" s="11" t="n">
        <v>0.019</v>
      </c>
      <c r="I5" s="11" t="n">
        <v>0.019</v>
      </c>
      <c r="J5" s="11" t="n">
        <v>0.019</v>
      </c>
      <c r="K5" s="11" t="n">
        <v>0.019</v>
      </c>
      <c r="L5" s="11" t="n">
        <v>0.019</v>
      </c>
      <c r="M5" s="11" t="n">
        <v>0.019</v>
      </c>
      <c r="N5" s="11" t="n">
        <v>0.019</v>
      </c>
      <c r="O5" s="11" t="n">
        <v>0.019</v>
      </c>
      <c r="P5" s="11" t="n">
        <v>0.019</v>
      </c>
      <c r="Q5" s="11" t="n">
        <v>0.019</v>
      </c>
      <c r="R5" s="11" t="n">
        <v>0.019</v>
      </c>
      <c r="S5" s="12" t="inlineStr">
        <is>
          <t>Variación mensual de precios. Ajusta la deuda en pesos (y el ingreso) y los costos que siguen a la inflación.</t>
        </is>
      </c>
    </row>
    <row r="6">
      <c r="A6" s="3" t="inlineStr">
        <is>
          <t>Índice de precios</t>
        </is>
      </c>
      <c r="B6" s="2" t="inlineStr">
        <is>
          <t>índice</t>
        </is>
      </c>
      <c r="C6" s="13" t="n">
        <v>1</v>
      </c>
      <c r="D6" s="13">
        <f>C6*(1+D5)</f>
        <v/>
      </c>
      <c r="E6" s="13">
        <f>D6*(1+E5)</f>
        <v/>
      </c>
      <c r="F6" s="13">
        <f>E6*(1+F5)</f>
        <v/>
      </c>
      <c r="G6" s="13">
        <f>F6*(1+G5)</f>
        <v/>
      </c>
      <c r="H6" s="13">
        <f>G6*(1+H5)</f>
        <v/>
      </c>
      <c r="I6" s="13">
        <f>H6*(1+I5)</f>
        <v/>
      </c>
      <c r="J6" s="13">
        <f>I6*(1+J5)</f>
        <v/>
      </c>
      <c r="K6" s="13">
        <f>J6*(1+K5)</f>
        <v/>
      </c>
      <c r="L6" s="13">
        <f>K6*(1+L5)</f>
        <v/>
      </c>
      <c r="M6" s="13">
        <f>L6*(1+M5)</f>
        <v/>
      </c>
      <c r="N6" s="13">
        <f>M6*(1+N5)</f>
        <v/>
      </c>
      <c r="O6" s="13">
        <f>N6*(1+O5)</f>
        <v/>
      </c>
      <c r="P6" s="13">
        <f>O6*(1+P5)</f>
        <v/>
      </c>
      <c r="Q6" s="13">
        <f>P6*(1+Q5)</f>
        <v/>
      </c>
      <c r="R6" s="13">
        <f>Q6*(1+R5)</f>
        <v/>
      </c>
      <c r="S6" s="12" t="inlineStr">
        <is>
          <t>Acumula la inflación desde sep-25.</t>
        </is>
      </c>
    </row>
    <row r="7">
      <c r="A7" s="6" t="inlineStr">
        <is>
          <t>Tipo de cambio promedio</t>
        </is>
      </c>
      <c r="B7" s="2" t="inlineStr">
        <is>
          <t>$ / US$</t>
        </is>
      </c>
      <c r="C7" s="14" t="n">
        <v>1365</v>
      </c>
      <c r="D7" s="14" t="n">
        <v>1398</v>
      </c>
      <c r="E7" s="14" t="n">
        <v>1432</v>
      </c>
      <c r="F7" s="14" t="n">
        <v>1465</v>
      </c>
      <c r="G7" s="14" t="n">
        <v>1489</v>
      </c>
      <c r="H7" s="14" t="n">
        <v>1512</v>
      </c>
      <c r="I7" s="14" t="n">
        <v>1536</v>
      </c>
      <c r="J7" s="14" t="n">
        <v>1560</v>
      </c>
      <c r="K7" s="14" t="n">
        <v>1584</v>
      </c>
      <c r="L7" s="14" t="n">
        <v>1608</v>
      </c>
      <c r="M7" s="14" t="n">
        <v>1631</v>
      </c>
      <c r="N7" s="14" t="n">
        <v>1655</v>
      </c>
      <c r="O7" s="14" t="n">
        <v>1679</v>
      </c>
      <c r="P7" s="14" t="n">
        <v>1702</v>
      </c>
      <c r="Q7" s="14" t="n">
        <v>1726</v>
      </c>
      <c r="R7" s="14" t="n">
        <v>1750</v>
      </c>
      <c r="S7" s="12" t="inlineStr">
        <is>
          <t>Mueve los ingresos de carteras en dólares y los costos en dólares (Paraguay, licencias, mailing).</t>
        </is>
      </c>
    </row>
    <row r="8">
      <c r="A8" s="3" t="inlineStr">
        <is>
          <t>Índice de tipo de cambio</t>
        </is>
      </c>
      <c r="B8" s="2" t="inlineStr">
        <is>
          <t>índice</t>
        </is>
      </c>
      <c r="C8" s="13" t="n">
        <v>1</v>
      </c>
      <c r="D8" s="13">
        <f>D7/$C$7</f>
        <v/>
      </c>
      <c r="E8" s="13">
        <f>E7/$C$7</f>
        <v/>
      </c>
      <c r="F8" s="13">
        <f>F7/$C$7</f>
        <v/>
      </c>
      <c r="G8" s="13">
        <f>G7/$C$7</f>
        <v/>
      </c>
      <c r="H8" s="13">
        <f>H7/$C$7</f>
        <v/>
      </c>
      <c r="I8" s="13">
        <f>I7/$C$7</f>
        <v/>
      </c>
      <c r="J8" s="13">
        <f>J7/$C$7</f>
        <v/>
      </c>
      <c r="K8" s="13">
        <f>K7/$C$7</f>
        <v/>
      </c>
      <c r="L8" s="13">
        <f>L7/$C$7</f>
        <v/>
      </c>
      <c r="M8" s="13">
        <f>M7/$C$7</f>
        <v/>
      </c>
      <c r="N8" s="13">
        <f>N7/$C$7</f>
        <v/>
      </c>
      <c r="O8" s="13">
        <f>O7/$C$7</f>
        <v/>
      </c>
      <c r="P8" s="13">
        <f>P7/$C$7</f>
        <v/>
      </c>
      <c r="Q8" s="13">
        <f>Q7/$C$7</f>
        <v/>
      </c>
      <c r="R8" s="13">
        <f>R7/$C$7</f>
        <v/>
      </c>
      <c r="S8" s="12" t="inlineStr">
        <is>
          <t>TC del mes / TC de sep-25.</t>
        </is>
      </c>
    </row>
    <row r="9">
      <c r="A9" s="6" t="inlineStr">
        <is>
          <t>Aumento salarial del mes (paritaria)</t>
        </is>
      </c>
      <c r="B9" s="2" t="inlineStr">
        <is>
          <t>%</t>
        </is>
      </c>
      <c r="D9" s="11" t="n">
        <v>0.06</v>
      </c>
      <c r="E9" s="11" t="n">
        <v>0</v>
      </c>
      <c r="F9" s="11" t="n">
        <v>0</v>
      </c>
      <c r="G9" s="11" t="n">
        <v>0.055</v>
      </c>
      <c r="H9" s="11" t="n">
        <v>0</v>
      </c>
      <c r="I9" s="11" t="n">
        <v>0</v>
      </c>
      <c r="J9" s="11" t="n">
        <v>0.055</v>
      </c>
      <c r="K9" s="11" t="n">
        <v>0</v>
      </c>
      <c r="L9" s="11" t="n">
        <v>0</v>
      </c>
      <c r="M9" s="11" t="n">
        <v>0.055</v>
      </c>
      <c r="N9" s="11" t="n">
        <v>0</v>
      </c>
      <c r="O9" s="11" t="n">
        <v>0</v>
      </c>
      <c r="P9" s="11" t="n">
        <v>0.055</v>
      </c>
      <c r="Q9" s="11" t="n">
        <v>0</v>
      </c>
      <c r="R9" s="11" t="n">
        <v>0</v>
      </c>
      <c r="S9" s="12" t="inlineStr">
        <is>
          <t>Cargá el % en el mes del tramo (trimestral, bimestral o mensual).</t>
        </is>
      </c>
    </row>
    <row r="10">
      <c r="A10" s="3" t="inlineStr">
        <is>
          <t>Índice salarial</t>
        </is>
      </c>
      <c r="B10" s="2" t="inlineStr">
        <is>
          <t>índice</t>
        </is>
      </c>
      <c r="C10" s="13" t="n">
        <v>1</v>
      </c>
      <c r="D10" s="13">
        <f>C10*(1+D9)</f>
        <v/>
      </c>
      <c r="E10" s="13">
        <f>D10*(1+E9)</f>
        <v/>
      </c>
      <c r="F10" s="13">
        <f>E10*(1+F9)</f>
        <v/>
      </c>
      <c r="G10" s="13">
        <f>F10*(1+G9)</f>
        <v/>
      </c>
      <c r="H10" s="13">
        <f>G10*(1+H9)</f>
        <v/>
      </c>
      <c r="I10" s="13">
        <f>H10*(1+I9)</f>
        <v/>
      </c>
      <c r="J10" s="13">
        <f>I10*(1+J9)</f>
        <v/>
      </c>
      <c r="K10" s="13">
        <f>J10*(1+K9)</f>
        <v/>
      </c>
      <c r="L10" s="13">
        <f>K10*(1+L9)</f>
        <v/>
      </c>
      <c r="M10" s="13">
        <f>L10*(1+M9)</f>
        <v/>
      </c>
      <c r="N10" s="13">
        <f>M10*(1+N9)</f>
        <v/>
      </c>
      <c r="O10" s="13">
        <f>N10*(1+O9)</f>
        <v/>
      </c>
      <c r="P10" s="13">
        <f>O10*(1+P9)</f>
        <v/>
      </c>
      <c r="Q10" s="13">
        <f>P10*(1+Q9)</f>
        <v/>
      </c>
      <c r="R10" s="13">
        <f>Q10*(1+R9)</f>
        <v/>
      </c>
      <c r="S10" s="12" t="inlineStr">
        <is>
          <t>Acumula los tramos de paritaria.</t>
        </is>
      </c>
    </row>
    <row r="11">
      <c r="A11" s="6" t="inlineStr">
        <is>
          <t>Aumento del precio del SMS</t>
        </is>
      </c>
      <c r="B11" s="2" t="inlineStr">
        <is>
          <t>%</t>
        </is>
      </c>
      <c r="D11" s="11" t="n">
        <v>0.023</v>
      </c>
      <c r="E11" s="11" t="n">
        <v>0.023</v>
      </c>
      <c r="F11" s="11" t="n">
        <v>0.023</v>
      </c>
      <c r="G11" s="11" t="n">
        <v>0.019</v>
      </c>
      <c r="H11" s="11" t="n">
        <v>0.019</v>
      </c>
      <c r="I11" s="11" t="n">
        <v>0.019</v>
      </c>
      <c r="J11" s="11" t="n">
        <v>0.019</v>
      </c>
      <c r="K11" s="11" t="n">
        <v>0.019</v>
      </c>
      <c r="L11" s="11" t="n">
        <v>0.019</v>
      </c>
      <c r="M11" s="11" t="n">
        <v>0.019</v>
      </c>
      <c r="N11" s="11" t="n">
        <v>0.019</v>
      </c>
      <c r="O11" s="11" t="n">
        <v>0.019</v>
      </c>
      <c r="P11" s="11" t="n">
        <v>0.019</v>
      </c>
      <c r="Q11" s="11" t="n">
        <v>0.019</v>
      </c>
      <c r="R11" s="11" t="n">
        <v>0.019</v>
      </c>
      <c r="S11" s="12" t="inlineStr">
        <is>
          <t>Por defecto, igual a la inflación.</t>
        </is>
      </c>
    </row>
    <row r="12">
      <c r="A12" s="3" t="inlineStr">
        <is>
          <t>Índice de precio SMS</t>
        </is>
      </c>
      <c r="B12" s="2" t="inlineStr">
        <is>
          <t>índice</t>
        </is>
      </c>
      <c r="C12" s="13" t="n">
        <v>1</v>
      </c>
      <c r="D12" s="13">
        <f>C12*(1+D11)</f>
        <v/>
      </c>
      <c r="E12" s="13">
        <f>D12*(1+E11)</f>
        <v/>
      </c>
      <c r="F12" s="13">
        <f>E12*(1+F11)</f>
        <v/>
      </c>
      <c r="G12" s="13">
        <f>F12*(1+G11)</f>
        <v/>
      </c>
      <c r="H12" s="13">
        <f>G12*(1+H11)</f>
        <v/>
      </c>
      <c r="I12" s="13">
        <f>H12*(1+I11)</f>
        <v/>
      </c>
      <c r="J12" s="13">
        <f>I12*(1+J11)</f>
        <v/>
      </c>
      <c r="K12" s="13">
        <f>J12*(1+K11)</f>
        <v/>
      </c>
      <c r="L12" s="13">
        <f>K12*(1+L11)</f>
        <v/>
      </c>
      <c r="M12" s="13">
        <f>L12*(1+M11)</f>
        <v/>
      </c>
      <c r="N12" s="13">
        <f>M12*(1+N11)</f>
        <v/>
      </c>
      <c r="O12" s="13">
        <f>N12*(1+O11)</f>
        <v/>
      </c>
      <c r="P12" s="13">
        <f>O12*(1+P11)</f>
        <v/>
      </c>
      <c r="Q12" s="13">
        <f>P12*(1+Q11)</f>
        <v/>
      </c>
      <c r="R12" s="13">
        <f>Q12*(1+R11)</f>
        <v/>
      </c>
      <c r="S12" s="12" t="inlineStr"/>
    </row>
    <row r="13">
      <c r="A13" s="6" t="inlineStr">
        <is>
          <t>Estacionalidad de ingresos</t>
        </is>
      </c>
      <c r="B13" s="2" t="inlineStr">
        <is>
          <t>factor</t>
        </is>
      </c>
      <c r="D13" s="15" t="n">
        <v>1.01</v>
      </c>
      <c r="E13" s="15" t="n">
        <v>1</v>
      </c>
      <c r="F13" s="15" t="n">
        <v>0.97</v>
      </c>
      <c r="G13" s="15" t="n">
        <v>0.96</v>
      </c>
      <c r="H13" s="15" t="n">
        <v>0.97</v>
      </c>
      <c r="I13" s="15" t="n">
        <v>1.03</v>
      </c>
      <c r="J13" s="15" t="n">
        <v>1.01</v>
      </c>
      <c r="K13" s="15" t="n">
        <v>1</v>
      </c>
      <c r="L13" s="15" t="n">
        <v>0.99</v>
      </c>
      <c r="M13" s="15" t="n">
        <v>1</v>
      </c>
      <c r="N13" s="15" t="n">
        <v>1.01</v>
      </c>
      <c r="O13" s="15" t="n">
        <v>1.02</v>
      </c>
      <c r="P13" s="15" t="n">
        <v>1.01</v>
      </c>
      <c r="Q13" s="15" t="n">
        <v>1</v>
      </c>
      <c r="R13" s="15" t="n">
        <v>0.97</v>
      </c>
      <c r="S13" s="12" t="inlineStr">
        <is>
          <t>Factor del mes calendario (1 = mes promedio).</t>
        </is>
      </c>
    </row>
    <row r="15">
      <c r="A15" s="5" t="inlineStr">
        <is>
          <t>Parámetros</t>
        </is>
      </c>
    </row>
    <row r="16">
      <c r="A16" s="6" t="inlineStr">
        <is>
          <t>Saldo a cobrar intercompany</t>
        </is>
      </c>
      <c r="B16" s="2" t="inlineStr">
        <is>
          <t>US$</t>
        </is>
      </c>
      <c r="C16" s="14" t="n">
        <v>35114</v>
      </c>
      <c r="D16" s="12" t="inlineStr">
        <is>
          <t>Promedio jul–sep 2025. La diferencia de cambio del mes = saldo × variación del TC.</t>
        </is>
      </c>
    </row>
    <row r="17">
      <c r="A17" s="6" t="inlineStr">
        <is>
          <t>Tasa de impuesto a las ganancias</t>
        </is>
      </c>
      <c r="B17" s="2" t="inlineStr">
        <is>
          <t>%</t>
        </is>
      </c>
      <c r="C17" s="11" t="n">
        <v>0.35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Drivers por cartera · lo que proyecta cada supervisor</t>
        </is>
      </c>
    </row>
    <row r="2">
      <c r="A2" s="2" t="inlineStr">
        <is>
          <t>Volumen: índice real (sep-25 = 100). Recupero y fee en %. Posiciones: operadores en Argentina + posiciones en Paraguay.</t>
        </is>
      </c>
    </row>
    <row r="4" ht="30" customHeight="1">
      <c r="A4" s="9" t="inlineStr">
        <is>
          <t>Cartera / driver</t>
        </is>
      </c>
      <c r="B4" s="10" t="inlineStr">
        <is>
          <t>Unidad</t>
        </is>
      </c>
      <c r="C4" s="10" t="inlineStr">
        <is>
          <t>Base sep-25</t>
        </is>
      </c>
      <c r="D4" s="10" t="inlineStr">
        <is>
          <t>oct-25</t>
        </is>
      </c>
      <c r="E4" s="10" t="inlineStr">
        <is>
          <t>nov-25</t>
        </is>
      </c>
      <c r="F4" s="10" t="inlineStr">
        <is>
          <t>dic-25</t>
        </is>
      </c>
      <c r="G4" s="10" t="inlineStr">
        <is>
          <t>ene-26</t>
        </is>
      </c>
      <c r="H4" s="10" t="inlineStr">
        <is>
          <t>feb-26</t>
        </is>
      </c>
      <c r="I4" s="10" t="inlineStr">
        <is>
          <t>mar-26</t>
        </is>
      </c>
      <c r="J4" s="10" t="inlineStr">
        <is>
          <t>abr-26</t>
        </is>
      </c>
      <c r="K4" s="10" t="inlineStr">
        <is>
          <t>may-26</t>
        </is>
      </c>
      <c r="L4" s="10" t="inlineStr">
        <is>
          <t>jun-26</t>
        </is>
      </c>
      <c r="M4" s="10" t="inlineStr">
        <is>
          <t>jul-26</t>
        </is>
      </c>
      <c r="N4" s="10" t="inlineStr">
        <is>
          <t>ago-26</t>
        </is>
      </c>
      <c r="O4" s="10" t="inlineStr">
        <is>
          <t>sep-26</t>
        </is>
      </c>
      <c r="P4" s="10" t="inlineStr">
        <is>
          <t>oct-26</t>
        </is>
      </c>
      <c r="Q4" s="10" t="inlineStr">
        <is>
          <t>nov-26</t>
        </is>
      </c>
      <c r="R4" s="10" t="inlineStr">
        <is>
          <t>dic-26</t>
        </is>
      </c>
    </row>
    <row r="5">
      <c r="A5" s="16" t="inlineStr">
        <is>
          <t>TMV · Telco Móvil · Temprana (ARS)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</row>
    <row r="6">
      <c r="A6" s="6" t="inlineStr">
        <is>
          <t xml:space="preserve">   Volumen asignado</t>
        </is>
      </c>
      <c r="B6" s="2" t="inlineStr">
        <is>
          <t>índice</t>
        </is>
      </c>
      <c r="C6" s="18" t="n">
        <v>100</v>
      </c>
      <c r="D6" s="19" t="n">
        <v>100</v>
      </c>
      <c r="E6" s="19" t="n">
        <v>100</v>
      </c>
      <c r="F6" s="19" t="n">
        <v>100</v>
      </c>
      <c r="G6" s="19" t="n">
        <v>100</v>
      </c>
      <c r="H6" s="19" t="n">
        <v>100</v>
      </c>
      <c r="I6" s="19" t="n">
        <v>100</v>
      </c>
      <c r="J6" s="19" t="n">
        <v>100</v>
      </c>
      <c r="K6" s="19" t="n">
        <v>100</v>
      </c>
      <c r="L6" s="19" t="n">
        <v>100</v>
      </c>
      <c r="M6" s="19" t="n">
        <v>100</v>
      </c>
      <c r="N6" s="19" t="n">
        <v>100</v>
      </c>
      <c r="O6" s="19" t="n">
        <v>100</v>
      </c>
      <c r="P6" s="19" t="n">
        <v>100</v>
      </c>
      <c r="Q6" s="19" t="n">
        <v>100</v>
      </c>
      <c r="R6" s="19" t="n">
        <v>100</v>
      </c>
    </row>
    <row r="7">
      <c r="A7" s="6" t="inlineStr">
        <is>
          <t xml:space="preserve">   % de recupero</t>
        </is>
      </c>
      <c r="B7" s="2" t="inlineStr">
        <is>
          <t>%</t>
        </is>
      </c>
      <c r="C7" s="20" t="n">
        <v>0.33665</v>
      </c>
      <c r="D7" s="21" t="n">
        <v>0.33665</v>
      </c>
      <c r="E7" s="21" t="n">
        <v>0.33665</v>
      </c>
      <c r="F7" s="21" t="n">
        <v>0.33665</v>
      </c>
      <c r="G7" s="21" t="n">
        <v>0.33665</v>
      </c>
      <c r="H7" s="21" t="n">
        <v>0.33665</v>
      </c>
      <c r="I7" s="21" t="n">
        <v>0.33665</v>
      </c>
      <c r="J7" s="21" t="n">
        <v>0.33665</v>
      </c>
      <c r="K7" s="21" t="n">
        <v>0.33665</v>
      </c>
      <c r="L7" s="21" t="n">
        <v>0.33665</v>
      </c>
      <c r="M7" s="21" t="n">
        <v>0.33665</v>
      </c>
      <c r="N7" s="21" t="n">
        <v>0.33665</v>
      </c>
      <c r="O7" s="21" t="n">
        <v>0.33665</v>
      </c>
      <c r="P7" s="21" t="n">
        <v>0.33665</v>
      </c>
      <c r="Q7" s="21" t="n">
        <v>0.33665</v>
      </c>
      <c r="R7" s="21" t="n">
        <v>0.33665</v>
      </c>
    </row>
    <row r="8">
      <c r="A8" s="6" t="inlineStr">
        <is>
          <t xml:space="preserve">   Fee</t>
        </is>
      </c>
      <c r="B8" s="2" t="inlineStr">
        <is>
          <t>%</t>
        </is>
      </c>
      <c r="C8" s="20" t="n">
        <v>0.068</v>
      </c>
      <c r="D8" s="21" t="n">
        <v>0.068</v>
      </c>
      <c r="E8" s="21" t="n">
        <v>0.068</v>
      </c>
      <c r="F8" s="21" t="n">
        <v>0.068</v>
      </c>
      <c r="G8" s="21" t="n">
        <v>0.068</v>
      </c>
      <c r="H8" s="21" t="n">
        <v>0.068</v>
      </c>
      <c r="I8" s="21" t="n">
        <v>0.068</v>
      </c>
      <c r="J8" s="21" t="n">
        <v>0.068</v>
      </c>
      <c r="K8" s="21" t="n">
        <v>0.068</v>
      </c>
      <c r="L8" s="21" t="n">
        <v>0.068</v>
      </c>
      <c r="M8" s="21" t="n">
        <v>0.068</v>
      </c>
      <c r="N8" s="21" t="n">
        <v>0.068</v>
      </c>
      <c r="O8" s="21" t="n">
        <v>0.068</v>
      </c>
      <c r="P8" s="21" t="n">
        <v>0.068</v>
      </c>
      <c r="Q8" s="21" t="n">
        <v>0.068</v>
      </c>
      <c r="R8" s="21" t="n">
        <v>0.068</v>
      </c>
    </row>
    <row r="9">
      <c r="A9" s="6" t="inlineStr">
        <is>
          <t xml:space="preserve">   Posiciones</t>
        </is>
      </c>
      <c r="B9" s="2" t="inlineStr">
        <is>
          <t>n</t>
        </is>
      </c>
      <c r="C9" s="22" t="n">
        <v>30</v>
      </c>
      <c r="D9" s="23" t="n">
        <v>30</v>
      </c>
      <c r="E9" s="23" t="n">
        <v>30</v>
      </c>
      <c r="F9" s="23" t="n">
        <v>30</v>
      </c>
      <c r="G9" s="23" t="n">
        <v>30</v>
      </c>
      <c r="H9" s="23" t="n">
        <v>30</v>
      </c>
      <c r="I9" s="23" t="n">
        <v>30</v>
      </c>
      <c r="J9" s="23" t="n">
        <v>30</v>
      </c>
      <c r="K9" s="23" t="n">
        <v>30</v>
      </c>
      <c r="L9" s="23" t="n">
        <v>30</v>
      </c>
      <c r="M9" s="23" t="n">
        <v>30</v>
      </c>
      <c r="N9" s="23" t="n">
        <v>30</v>
      </c>
      <c r="O9" s="23" t="n">
        <v>30</v>
      </c>
      <c r="P9" s="23" t="n">
        <v>30</v>
      </c>
      <c r="Q9" s="23" t="n">
        <v>30</v>
      </c>
      <c r="R9" s="23" t="n">
        <v>30</v>
      </c>
    </row>
    <row r="11">
      <c r="A11" s="16" t="inlineStr">
        <is>
          <t>TFP · Tarjeta Federal · Prelegal (ARS)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</row>
    <row r="12">
      <c r="A12" s="6" t="inlineStr">
        <is>
          <t xml:space="preserve">   Volumen asignado</t>
        </is>
      </c>
      <c r="B12" s="2" t="inlineStr">
        <is>
          <t>índice</t>
        </is>
      </c>
      <c r="C12" s="18" t="n">
        <v>100</v>
      </c>
      <c r="D12" s="19" t="n">
        <v>100</v>
      </c>
      <c r="E12" s="19" t="n">
        <v>100</v>
      </c>
      <c r="F12" s="19" t="n">
        <v>100</v>
      </c>
      <c r="G12" s="19" t="n">
        <v>100</v>
      </c>
      <c r="H12" s="19" t="n">
        <v>100</v>
      </c>
      <c r="I12" s="19" t="n">
        <v>100</v>
      </c>
      <c r="J12" s="19" t="n">
        <v>100</v>
      </c>
      <c r="K12" s="19" t="n">
        <v>100</v>
      </c>
      <c r="L12" s="19" t="n">
        <v>100</v>
      </c>
      <c r="M12" s="19" t="n">
        <v>100</v>
      </c>
      <c r="N12" s="19" t="n">
        <v>100</v>
      </c>
      <c r="O12" s="19" t="n">
        <v>100</v>
      </c>
      <c r="P12" s="19" t="n">
        <v>100</v>
      </c>
      <c r="Q12" s="19" t="n">
        <v>100</v>
      </c>
      <c r="R12" s="19" t="n">
        <v>100</v>
      </c>
    </row>
    <row r="13">
      <c r="A13" s="6" t="inlineStr">
        <is>
          <t xml:space="preserve">   % de recupero</t>
        </is>
      </c>
      <c r="B13" s="2" t="inlineStr">
        <is>
          <t>%</t>
        </is>
      </c>
      <c r="C13" s="20" t="n">
        <v>0.16079</v>
      </c>
      <c r="D13" s="21" t="n">
        <v>0.16079</v>
      </c>
      <c r="E13" s="21" t="n">
        <v>0.16079</v>
      </c>
      <c r="F13" s="21" t="n">
        <v>0.16079</v>
      </c>
      <c r="G13" s="21" t="n">
        <v>0.16079</v>
      </c>
      <c r="H13" s="21" t="n">
        <v>0.16079</v>
      </c>
      <c r="I13" s="21" t="n">
        <v>0.16079</v>
      </c>
      <c r="J13" s="21" t="n">
        <v>0.16079</v>
      </c>
      <c r="K13" s="21" t="n">
        <v>0.16079</v>
      </c>
      <c r="L13" s="21" t="n">
        <v>0.16079</v>
      </c>
      <c r="M13" s="21" t="n">
        <v>0.16079</v>
      </c>
      <c r="N13" s="21" t="n">
        <v>0.16079</v>
      </c>
      <c r="O13" s="21" t="n">
        <v>0.16079</v>
      </c>
      <c r="P13" s="21" t="n">
        <v>0.16079</v>
      </c>
      <c r="Q13" s="21" t="n">
        <v>0.16079</v>
      </c>
      <c r="R13" s="21" t="n">
        <v>0.16079</v>
      </c>
    </row>
    <row r="14">
      <c r="A14" s="6" t="inlineStr">
        <is>
          <t xml:space="preserve">   Fee</t>
        </is>
      </c>
      <c r="B14" s="2" t="inlineStr">
        <is>
          <t>%</t>
        </is>
      </c>
      <c r="C14" s="20" t="n">
        <v>0.14</v>
      </c>
      <c r="D14" s="21" t="n">
        <v>0.14</v>
      </c>
      <c r="E14" s="21" t="n">
        <v>0.14</v>
      </c>
      <c r="F14" s="21" t="n">
        <v>0.14</v>
      </c>
      <c r="G14" s="21" t="n">
        <v>0.14</v>
      </c>
      <c r="H14" s="21" t="n">
        <v>0.14</v>
      </c>
      <c r="I14" s="21" t="n">
        <v>0.14</v>
      </c>
      <c r="J14" s="21" t="n">
        <v>0.14</v>
      </c>
      <c r="K14" s="21" t="n">
        <v>0.14</v>
      </c>
      <c r="L14" s="21" t="n">
        <v>0.14</v>
      </c>
      <c r="M14" s="21" t="n">
        <v>0.14</v>
      </c>
      <c r="N14" s="21" t="n">
        <v>0.14</v>
      </c>
      <c r="O14" s="21" t="n">
        <v>0.14</v>
      </c>
      <c r="P14" s="21" t="n">
        <v>0.14</v>
      </c>
      <c r="Q14" s="21" t="n">
        <v>0.14</v>
      </c>
      <c r="R14" s="21" t="n">
        <v>0.14</v>
      </c>
    </row>
    <row r="15">
      <c r="A15" s="6" t="inlineStr">
        <is>
          <t xml:space="preserve">   Posiciones</t>
        </is>
      </c>
      <c r="B15" s="2" t="inlineStr">
        <is>
          <t>n</t>
        </is>
      </c>
      <c r="C15" s="22" t="n">
        <v>40</v>
      </c>
      <c r="D15" s="23" t="n">
        <v>40</v>
      </c>
      <c r="E15" s="23" t="n">
        <v>40</v>
      </c>
      <c r="F15" s="23" t="n">
        <v>40</v>
      </c>
      <c r="G15" s="23" t="n">
        <v>40</v>
      </c>
      <c r="H15" s="23" t="n">
        <v>40</v>
      </c>
      <c r="I15" s="23" t="n">
        <v>40</v>
      </c>
      <c r="J15" s="23" t="n">
        <v>40</v>
      </c>
      <c r="K15" s="23" t="n">
        <v>40</v>
      </c>
      <c r="L15" s="23" t="n">
        <v>40</v>
      </c>
      <c r="M15" s="23" t="n">
        <v>40</v>
      </c>
      <c r="N15" s="23" t="n">
        <v>40</v>
      </c>
      <c r="O15" s="23" t="n">
        <v>40</v>
      </c>
      <c r="P15" s="23" t="n">
        <v>40</v>
      </c>
      <c r="Q15" s="23" t="n">
        <v>40</v>
      </c>
      <c r="R15" s="23" t="n">
        <v>40</v>
      </c>
    </row>
    <row r="17">
      <c r="A17" s="16" t="inlineStr">
        <is>
          <t>RSM · Retail Sur · Temprana (ARS)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</row>
    <row r="18">
      <c r="A18" s="6" t="inlineStr">
        <is>
          <t xml:space="preserve">   Volumen asignado</t>
        </is>
      </c>
      <c r="B18" s="2" t="inlineStr">
        <is>
          <t>índice</t>
        </is>
      </c>
      <c r="C18" s="18" t="n">
        <v>100</v>
      </c>
      <c r="D18" s="19" t="n">
        <v>100</v>
      </c>
      <c r="E18" s="19" t="n">
        <v>100</v>
      </c>
      <c r="F18" s="19" t="n">
        <v>100</v>
      </c>
      <c r="G18" s="19" t="n">
        <v>100</v>
      </c>
      <c r="H18" s="19" t="n">
        <v>100</v>
      </c>
      <c r="I18" s="19" t="n">
        <v>100</v>
      </c>
      <c r="J18" s="19" t="n">
        <v>100</v>
      </c>
      <c r="K18" s="19" t="n">
        <v>100</v>
      </c>
      <c r="L18" s="19" t="n">
        <v>100</v>
      </c>
      <c r="M18" s="19" t="n">
        <v>100</v>
      </c>
      <c r="N18" s="19" t="n">
        <v>100</v>
      </c>
      <c r="O18" s="19" t="n">
        <v>100</v>
      </c>
      <c r="P18" s="19" t="n">
        <v>100</v>
      </c>
      <c r="Q18" s="19" t="n">
        <v>100</v>
      </c>
      <c r="R18" s="19" t="n">
        <v>100</v>
      </c>
    </row>
    <row r="19">
      <c r="A19" s="6" t="inlineStr">
        <is>
          <t xml:space="preserve">   % de recupero</t>
        </is>
      </c>
      <c r="B19" s="2" t="inlineStr">
        <is>
          <t>%</t>
        </is>
      </c>
      <c r="C19" s="20" t="n">
        <v>0.39473</v>
      </c>
      <c r="D19" s="21" t="n">
        <v>0.39473</v>
      </c>
      <c r="E19" s="21" t="n">
        <v>0.39473</v>
      </c>
      <c r="F19" s="21" t="n">
        <v>0.39473</v>
      </c>
      <c r="G19" s="21" t="n">
        <v>0.39473</v>
      </c>
      <c r="H19" s="21" t="n">
        <v>0.39473</v>
      </c>
      <c r="I19" s="21" t="n">
        <v>0.39473</v>
      </c>
      <c r="J19" s="21" t="n">
        <v>0.39473</v>
      </c>
      <c r="K19" s="21" t="n">
        <v>0.39473</v>
      </c>
      <c r="L19" s="21" t="n">
        <v>0.39473</v>
      </c>
      <c r="M19" s="21" t="n">
        <v>0.39473</v>
      </c>
      <c r="N19" s="21" t="n">
        <v>0.39473</v>
      </c>
      <c r="O19" s="21" t="n">
        <v>0.39473</v>
      </c>
      <c r="P19" s="21" t="n">
        <v>0.39473</v>
      </c>
      <c r="Q19" s="21" t="n">
        <v>0.39473</v>
      </c>
      <c r="R19" s="21" t="n">
        <v>0.39473</v>
      </c>
    </row>
    <row r="20">
      <c r="A20" s="6" t="inlineStr">
        <is>
          <t xml:space="preserve">   Fee</t>
        </is>
      </c>
      <c r="B20" s="2" t="inlineStr">
        <is>
          <t>%</t>
        </is>
      </c>
      <c r="C20" s="20" t="n">
        <v>0.06</v>
      </c>
      <c r="D20" s="21" t="n">
        <v>0.06</v>
      </c>
      <c r="E20" s="21" t="n">
        <v>0.06</v>
      </c>
      <c r="F20" s="21" t="n">
        <v>0.06</v>
      </c>
      <c r="G20" s="21" t="n">
        <v>0.06</v>
      </c>
      <c r="H20" s="21" t="n">
        <v>0.06</v>
      </c>
      <c r="I20" s="21" t="n">
        <v>0.06</v>
      </c>
      <c r="J20" s="21" t="n">
        <v>0.06</v>
      </c>
      <c r="K20" s="21" t="n">
        <v>0.06</v>
      </c>
      <c r="L20" s="21" t="n">
        <v>0.06</v>
      </c>
      <c r="M20" s="21" t="n">
        <v>0.06</v>
      </c>
      <c r="N20" s="21" t="n">
        <v>0.06</v>
      </c>
      <c r="O20" s="21" t="n">
        <v>0.06</v>
      </c>
      <c r="P20" s="21" t="n">
        <v>0.06</v>
      </c>
      <c r="Q20" s="21" t="n">
        <v>0.06</v>
      </c>
      <c r="R20" s="21" t="n">
        <v>0.06</v>
      </c>
    </row>
    <row r="21">
      <c r="A21" s="6" t="inlineStr">
        <is>
          <t xml:space="preserve">   Posiciones</t>
        </is>
      </c>
      <c r="B21" s="2" t="inlineStr">
        <is>
          <t>n</t>
        </is>
      </c>
      <c r="C21" s="22" t="n">
        <v>22</v>
      </c>
      <c r="D21" s="23" t="n">
        <v>22</v>
      </c>
      <c r="E21" s="23" t="n">
        <v>22</v>
      </c>
      <c r="F21" s="23" t="n">
        <v>22</v>
      </c>
      <c r="G21" s="23" t="n">
        <v>22</v>
      </c>
      <c r="H21" s="23" t="n">
        <v>22</v>
      </c>
      <c r="I21" s="23" t="n">
        <v>22</v>
      </c>
      <c r="J21" s="23" t="n">
        <v>22</v>
      </c>
      <c r="K21" s="23" t="n">
        <v>22</v>
      </c>
      <c r="L21" s="23" t="n">
        <v>22</v>
      </c>
      <c r="M21" s="23" t="n">
        <v>22</v>
      </c>
      <c r="N21" s="23" t="n">
        <v>22</v>
      </c>
      <c r="O21" s="23" t="n">
        <v>22</v>
      </c>
      <c r="P21" s="23" t="n">
        <v>22</v>
      </c>
      <c r="Q21" s="23" t="n">
        <v>22</v>
      </c>
      <c r="R21" s="23" t="n">
        <v>22</v>
      </c>
    </row>
    <row r="23">
      <c r="A23" s="16" t="inlineStr">
        <is>
          <t>FPG · Fintech Pago · Temprana (ARS)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  <row r="24">
      <c r="A24" s="6" t="inlineStr">
        <is>
          <t xml:space="preserve">   Volumen asignado</t>
        </is>
      </c>
      <c r="B24" s="2" t="inlineStr">
        <is>
          <t>índice</t>
        </is>
      </c>
      <c r="C24" s="18" t="n">
        <v>100</v>
      </c>
      <c r="D24" s="19" t="n">
        <v>100</v>
      </c>
      <c r="E24" s="19" t="n">
        <v>100</v>
      </c>
      <c r="F24" s="19" t="n">
        <v>100</v>
      </c>
      <c r="G24" s="19" t="n">
        <v>100</v>
      </c>
      <c r="H24" s="19" t="n">
        <v>100</v>
      </c>
      <c r="I24" s="19" t="n">
        <v>100</v>
      </c>
      <c r="J24" s="19" t="n">
        <v>100</v>
      </c>
      <c r="K24" s="19" t="n">
        <v>100</v>
      </c>
      <c r="L24" s="19" t="n">
        <v>100</v>
      </c>
      <c r="M24" s="19" t="n">
        <v>100</v>
      </c>
      <c r="N24" s="19" t="n">
        <v>100</v>
      </c>
      <c r="O24" s="19" t="n">
        <v>100</v>
      </c>
      <c r="P24" s="19" t="n">
        <v>100</v>
      </c>
      <c r="Q24" s="19" t="n">
        <v>100</v>
      </c>
      <c r="R24" s="19" t="n">
        <v>100</v>
      </c>
    </row>
    <row r="25">
      <c r="A25" s="6" t="inlineStr">
        <is>
          <t xml:space="preserve">   % de recupero</t>
        </is>
      </c>
      <c r="B25" s="2" t="inlineStr">
        <is>
          <t>%</t>
        </is>
      </c>
      <c r="C25" s="20" t="n">
        <v>0.40434</v>
      </c>
      <c r="D25" s="21" t="n">
        <v>0.40434</v>
      </c>
      <c r="E25" s="21" t="n">
        <v>0.40434</v>
      </c>
      <c r="F25" s="21" t="n">
        <v>0.40434</v>
      </c>
      <c r="G25" s="21" t="n">
        <v>0.40434</v>
      </c>
      <c r="H25" s="21" t="n">
        <v>0.40434</v>
      </c>
      <c r="I25" s="21" t="n">
        <v>0.40434</v>
      </c>
      <c r="J25" s="21" t="n">
        <v>0.40434</v>
      </c>
      <c r="K25" s="21" t="n">
        <v>0.40434</v>
      </c>
      <c r="L25" s="21" t="n">
        <v>0.40434</v>
      </c>
      <c r="M25" s="21" t="n">
        <v>0.40434</v>
      </c>
      <c r="N25" s="21" t="n">
        <v>0.40434</v>
      </c>
      <c r="O25" s="21" t="n">
        <v>0.40434</v>
      </c>
      <c r="P25" s="21" t="n">
        <v>0.40434</v>
      </c>
      <c r="Q25" s="21" t="n">
        <v>0.40434</v>
      </c>
      <c r="R25" s="21" t="n">
        <v>0.40434</v>
      </c>
    </row>
    <row r="26">
      <c r="A26" s="6" t="inlineStr">
        <is>
          <t xml:space="preserve">   Fee</t>
        </is>
      </c>
      <c r="B26" s="2" t="inlineStr">
        <is>
          <t>%</t>
        </is>
      </c>
      <c r="C26" s="20" t="n">
        <v>0.065</v>
      </c>
      <c r="D26" s="21" t="n">
        <v>0.065</v>
      </c>
      <c r="E26" s="21" t="n">
        <v>0.065</v>
      </c>
      <c r="F26" s="21" t="n">
        <v>0.065</v>
      </c>
      <c r="G26" s="21" t="n">
        <v>0.065</v>
      </c>
      <c r="H26" s="21" t="n">
        <v>0.065</v>
      </c>
      <c r="I26" s="21" t="n">
        <v>0.065</v>
      </c>
      <c r="J26" s="21" t="n">
        <v>0.065</v>
      </c>
      <c r="K26" s="21" t="n">
        <v>0.065</v>
      </c>
      <c r="L26" s="21" t="n">
        <v>0.065</v>
      </c>
      <c r="M26" s="21" t="n">
        <v>0.065</v>
      </c>
      <c r="N26" s="21" t="n">
        <v>0.065</v>
      </c>
      <c r="O26" s="21" t="n">
        <v>0.065</v>
      </c>
      <c r="P26" s="21" t="n">
        <v>0.065</v>
      </c>
      <c r="Q26" s="21" t="n">
        <v>0.065</v>
      </c>
      <c r="R26" s="21" t="n">
        <v>0.065</v>
      </c>
    </row>
    <row r="27">
      <c r="A27" s="6" t="inlineStr">
        <is>
          <t xml:space="preserve">   Posiciones</t>
        </is>
      </c>
      <c r="B27" s="2" t="inlineStr">
        <is>
          <t>n</t>
        </is>
      </c>
      <c r="C27" s="22" t="n">
        <v>9</v>
      </c>
      <c r="D27" s="23" t="n">
        <v>9</v>
      </c>
      <c r="E27" s="23" t="n">
        <v>9</v>
      </c>
      <c r="F27" s="23" t="n">
        <v>9</v>
      </c>
      <c r="G27" s="23" t="n">
        <v>9</v>
      </c>
      <c r="H27" s="23" t="n">
        <v>9</v>
      </c>
      <c r="I27" s="23" t="n">
        <v>9</v>
      </c>
      <c r="J27" s="23" t="n">
        <v>9</v>
      </c>
      <c r="K27" s="23" t="n">
        <v>9</v>
      </c>
      <c r="L27" s="23" t="n">
        <v>9</v>
      </c>
      <c r="M27" s="23" t="n">
        <v>9</v>
      </c>
      <c r="N27" s="23" t="n">
        <v>9</v>
      </c>
      <c r="O27" s="23" t="n">
        <v>9</v>
      </c>
      <c r="P27" s="23" t="n">
        <v>9</v>
      </c>
      <c r="Q27" s="23" t="n">
        <v>9</v>
      </c>
      <c r="R27" s="23" t="n">
        <v>9</v>
      </c>
    </row>
    <row r="29">
      <c r="A29" s="16" t="inlineStr">
        <is>
          <t>GNM · Gas Natural · Masiva (ARS)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</row>
    <row r="30">
      <c r="A30" s="6" t="inlineStr">
        <is>
          <t xml:space="preserve">   Volumen asignado</t>
        </is>
      </c>
      <c r="B30" s="2" t="inlineStr">
        <is>
          <t>índice</t>
        </is>
      </c>
      <c r="C30" s="18" t="n">
        <v>100</v>
      </c>
      <c r="D30" s="19" t="n">
        <v>100</v>
      </c>
      <c r="E30" s="19" t="n">
        <v>100</v>
      </c>
      <c r="F30" s="19" t="n">
        <v>100</v>
      </c>
      <c r="G30" s="19" t="n">
        <v>100</v>
      </c>
      <c r="H30" s="19" t="n">
        <v>100</v>
      </c>
      <c r="I30" s="19" t="n">
        <v>100</v>
      </c>
      <c r="J30" s="19" t="n">
        <v>100</v>
      </c>
      <c r="K30" s="19" t="n">
        <v>100</v>
      </c>
      <c r="L30" s="19" t="n">
        <v>100</v>
      </c>
      <c r="M30" s="19" t="n">
        <v>100</v>
      </c>
      <c r="N30" s="19" t="n">
        <v>100</v>
      </c>
      <c r="O30" s="19" t="n">
        <v>100</v>
      </c>
      <c r="P30" s="19" t="n">
        <v>100</v>
      </c>
      <c r="Q30" s="19" t="n">
        <v>100</v>
      </c>
      <c r="R30" s="19" t="n">
        <v>100</v>
      </c>
    </row>
    <row r="31">
      <c r="A31" s="6" t="inlineStr">
        <is>
          <t xml:space="preserve">   % de recupero</t>
        </is>
      </c>
      <c r="B31" s="2" t="inlineStr">
        <is>
          <t>%</t>
        </is>
      </c>
      <c r="C31" s="20" t="n">
        <v>0.3081</v>
      </c>
      <c r="D31" s="21" t="n">
        <v>0.3081</v>
      </c>
      <c r="E31" s="21" t="n">
        <v>0.3081</v>
      </c>
      <c r="F31" s="21" t="n">
        <v>0.3081</v>
      </c>
      <c r="G31" s="21" t="n">
        <v>0.3081</v>
      </c>
      <c r="H31" s="21" t="n">
        <v>0.3081</v>
      </c>
      <c r="I31" s="21" t="n">
        <v>0.3081</v>
      </c>
      <c r="J31" s="21" t="n">
        <v>0.3081</v>
      </c>
      <c r="K31" s="21" t="n">
        <v>0.3081</v>
      </c>
      <c r="L31" s="21" t="n">
        <v>0.3081</v>
      </c>
      <c r="M31" s="21" t="n">
        <v>0.3081</v>
      </c>
      <c r="N31" s="21" t="n">
        <v>0.3081</v>
      </c>
      <c r="O31" s="21" t="n">
        <v>0.3081</v>
      </c>
      <c r="P31" s="21" t="n">
        <v>0.3081</v>
      </c>
      <c r="Q31" s="21" t="n">
        <v>0.3081</v>
      </c>
      <c r="R31" s="21" t="n">
        <v>0.3081</v>
      </c>
    </row>
    <row r="32">
      <c r="A32" s="6" t="inlineStr">
        <is>
          <t xml:space="preserve">   Fee</t>
        </is>
      </c>
      <c r="B32" s="2" t="inlineStr">
        <is>
          <t>%</t>
        </is>
      </c>
      <c r="C32" s="20" t="n">
        <v>0.055</v>
      </c>
      <c r="D32" s="21" t="n">
        <v>0.055</v>
      </c>
      <c r="E32" s="21" t="n">
        <v>0.055</v>
      </c>
      <c r="F32" s="21" t="n">
        <v>0.055</v>
      </c>
      <c r="G32" s="21" t="n">
        <v>0.055</v>
      </c>
      <c r="H32" s="21" t="n">
        <v>0.055</v>
      </c>
      <c r="I32" s="21" t="n">
        <v>0.055</v>
      </c>
      <c r="J32" s="21" t="n">
        <v>0.055</v>
      </c>
      <c r="K32" s="21" t="n">
        <v>0.055</v>
      </c>
      <c r="L32" s="21" t="n">
        <v>0.055</v>
      </c>
      <c r="M32" s="21" t="n">
        <v>0.055</v>
      </c>
      <c r="N32" s="21" t="n">
        <v>0.055</v>
      </c>
      <c r="O32" s="21" t="n">
        <v>0.055</v>
      </c>
      <c r="P32" s="21" t="n">
        <v>0.055</v>
      </c>
      <c r="Q32" s="21" t="n">
        <v>0.055</v>
      </c>
      <c r="R32" s="21" t="n">
        <v>0.055</v>
      </c>
    </row>
    <row r="33">
      <c r="A33" s="6" t="inlineStr">
        <is>
          <t xml:space="preserve">   Posiciones</t>
        </is>
      </c>
      <c r="B33" s="2" t="inlineStr">
        <is>
          <t>n</t>
        </is>
      </c>
      <c r="C33" s="22" t="n">
        <v>6</v>
      </c>
      <c r="D33" s="23" t="n">
        <v>6</v>
      </c>
      <c r="E33" s="23" t="n">
        <v>6</v>
      </c>
      <c r="F33" s="23" t="n">
        <v>6</v>
      </c>
      <c r="G33" s="23" t="n">
        <v>6</v>
      </c>
      <c r="H33" s="23" t="n">
        <v>6</v>
      </c>
      <c r="I33" s="23" t="n">
        <v>6</v>
      </c>
      <c r="J33" s="23" t="n">
        <v>6</v>
      </c>
      <c r="K33" s="23" t="n">
        <v>6</v>
      </c>
      <c r="L33" s="23" t="n">
        <v>6</v>
      </c>
      <c r="M33" s="23" t="n">
        <v>6</v>
      </c>
      <c r="N33" s="23" t="n">
        <v>6</v>
      </c>
      <c r="O33" s="23" t="n">
        <v>6</v>
      </c>
      <c r="P33" s="23" t="n">
        <v>6</v>
      </c>
      <c r="Q33" s="23" t="n">
        <v>6</v>
      </c>
      <c r="R33" s="23" t="n">
        <v>6</v>
      </c>
    </row>
    <row r="35">
      <c r="A35" s="16" t="inlineStr">
        <is>
          <t>CFM · Cable &amp; Fibra · Masiva (ARS)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</row>
    <row r="36">
      <c r="A36" s="6" t="inlineStr">
        <is>
          <t xml:space="preserve">   Volumen asignado</t>
        </is>
      </c>
      <c r="B36" s="2" t="inlineStr">
        <is>
          <t>índice</t>
        </is>
      </c>
      <c r="C36" s="18" t="n">
        <v>100</v>
      </c>
      <c r="D36" s="19" t="n">
        <v>100</v>
      </c>
      <c r="E36" s="19" t="n">
        <v>100</v>
      </c>
      <c r="F36" s="19" t="n">
        <v>100</v>
      </c>
      <c r="G36" s="19" t="n">
        <v>100</v>
      </c>
      <c r="H36" s="19" t="n">
        <v>100</v>
      </c>
      <c r="I36" s="19" t="n">
        <v>100</v>
      </c>
      <c r="J36" s="19" t="n">
        <v>100</v>
      </c>
      <c r="K36" s="19" t="n">
        <v>100</v>
      </c>
      <c r="L36" s="19" t="n">
        <v>100</v>
      </c>
      <c r="M36" s="19" t="n">
        <v>100</v>
      </c>
      <c r="N36" s="19" t="n">
        <v>100</v>
      </c>
      <c r="O36" s="19" t="n">
        <v>100</v>
      </c>
      <c r="P36" s="19" t="n">
        <v>100</v>
      </c>
      <c r="Q36" s="19" t="n">
        <v>100</v>
      </c>
      <c r="R36" s="19" t="n">
        <v>100</v>
      </c>
    </row>
    <row r="37">
      <c r="A37" s="6" t="inlineStr">
        <is>
          <t xml:space="preserve">   % de recupero</t>
        </is>
      </c>
      <c r="B37" s="2" t="inlineStr">
        <is>
          <t>%</t>
        </is>
      </c>
      <c r="C37" s="20" t="n">
        <v>0.27384</v>
      </c>
      <c r="D37" s="21" t="n">
        <v>0.27384</v>
      </c>
      <c r="E37" s="21" t="n">
        <v>0.27384</v>
      </c>
      <c r="F37" s="21" t="n">
        <v>0.27384</v>
      </c>
      <c r="G37" s="21" t="n">
        <v>0.27384</v>
      </c>
      <c r="H37" s="21" t="n">
        <v>0.27384</v>
      </c>
      <c r="I37" s="21" t="n">
        <v>0.27384</v>
      </c>
      <c r="J37" s="21" t="n">
        <v>0.27384</v>
      </c>
      <c r="K37" s="21" t="n">
        <v>0.27384</v>
      </c>
      <c r="L37" s="21" t="n">
        <v>0.27384</v>
      </c>
      <c r="M37" s="21" t="n">
        <v>0.27384</v>
      </c>
      <c r="N37" s="21" t="n">
        <v>0.27384</v>
      </c>
      <c r="O37" s="21" t="n">
        <v>0.27384</v>
      </c>
      <c r="P37" s="21" t="n">
        <v>0.27384</v>
      </c>
      <c r="Q37" s="21" t="n">
        <v>0.27384</v>
      </c>
      <c r="R37" s="21" t="n">
        <v>0.27384</v>
      </c>
    </row>
    <row r="38">
      <c r="A38" s="6" t="inlineStr">
        <is>
          <t xml:space="preserve">   Fee</t>
        </is>
      </c>
      <c r="B38" s="2" t="inlineStr">
        <is>
          <t>%</t>
        </is>
      </c>
      <c r="C38" s="20" t="n">
        <v>0.06</v>
      </c>
      <c r="D38" s="21" t="n">
        <v>0.06</v>
      </c>
      <c r="E38" s="21" t="n">
        <v>0.06</v>
      </c>
      <c r="F38" s="21" t="n">
        <v>0.06</v>
      </c>
      <c r="G38" s="21" t="n">
        <v>0.06</v>
      </c>
      <c r="H38" s="21" t="n">
        <v>0.06</v>
      </c>
      <c r="I38" s="21" t="n">
        <v>0.06</v>
      </c>
      <c r="J38" s="21" t="n">
        <v>0.06</v>
      </c>
      <c r="K38" s="21" t="n">
        <v>0.06</v>
      </c>
      <c r="L38" s="21" t="n">
        <v>0.06</v>
      </c>
      <c r="M38" s="21" t="n">
        <v>0.06</v>
      </c>
      <c r="N38" s="21" t="n">
        <v>0.06</v>
      </c>
      <c r="O38" s="21" t="n">
        <v>0.06</v>
      </c>
      <c r="P38" s="21" t="n">
        <v>0.06</v>
      </c>
      <c r="Q38" s="21" t="n">
        <v>0.06</v>
      </c>
      <c r="R38" s="21" t="n">
        <v>0.06</v>
      </c>
    </row>
    <row r="39">
      <c r="A39" s="6" t="inlineStr">
        <is>
          <t xml:space="preserve">   Posiciones</t>
        </is>
      </c>
      <c r="B39" s="2" t="inlineStr">
        <is>
          <t>n</t>
        </is>
      </c>
      <c r="C39" s="22" t="n">
        <v>6</v>
      </c>
      <c r="D39" s="23" t="n">
        <v>6</v>
      </c>
      <c r="E39" s="23" t="n">
        <v>6</v>
      </c>
      <c r="F39" s="23" t="n">
        <v>6</v>
      </c>
      <c r="G39" s="23" t="n">
        <v>6</v>
      </c>
      <c r="H39" s="23" t="n">
        <v>6</v>
      </c>
      <c r="I39" s="23" t="n">
        <v>6</v>
      </c>
      <c r="J39" s="23" t="n">
        <v>6</v>
      </c>
      <c r="K39" s="23" t="n">
        <v>6</v>
      </c>
      <c r="L39" s="23" t="n">
        <v>6</v>
      </c>
      <c r="M39" s="23" t="n">
        <v>6</v>
      </c>
      <c r="N39" s="23" t="n">
        <v>6</v>
      </c>
      <c r="O39" s="23" t="n">
        <v>6</v>
      </c>
      <c r="P39" s="23" t="n">
        <v>6</v>
      </c>
      <c r="Q39" s="23" t="n">
        <v>6</v>
      </c>
      <c r="R39" s="23" t="n">
        <v>6</v>
      </c>
    </row>
    <row r="41">
      <c r="A41" s="16" t="inlineStr">
        <is>
          <t>PUY · Préstamos Uruguay · Temprana (USD)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</row>
    <row r="42">
      <c r="A42" s="6" t="inlineStr">
        <is>
          <t xml:space="preserve">   Volumen asignado</t>
        </is>
      </c>
      <c r="B42" s="2" t="inlineStr">
        <is>
          <t>índice</t>
        </is>
      </c>
      <c r="C42" s="18" t="n">
        <v>100</v>
      </c>
      <c r="D42" s="19" t="n">
        <v>100</v>
      </c>
      <c r="E42" s="19" t="n">
        <v>100</v>
      </c>
      <c r="F42" s="19" t="n">
        <v>100</v>
      </c>
      <c r="G42" s="19" t="n">
        <v>100</v>
      </c>
      <c r="H42" s="19" t="n">
        <v>100</v>
      </c>
      <c r="I42" s="19" t="n">
        <v>100</v>
      </c>
      <c r="J42" s="19" t="n">
        <v>100</v>
      </c>
      <c r="K42" s="19" t="n">
        <v>100</v>
      </c>
      <c r="L42" s="19" t="n">
        <v>100</v>
      </c>
      <c r="M42" s="19" t="n">
        <v>100</v>
      </c>
      <c r="N42" s="19" t="n">
        <v>100</v>
      </c>
      <c r="O42" s="19" t="n">
        <v>100</v>
      </c>
      <c r="P42" s="19" t="n">
        <v>100</v>
      </c>
      <c r="Q42" s="19" t="n">
        <v>100</v>
      </c>
      <c r="R42" s="19" t="n">
        <v>100</v>
      </c>
    </row>
    <row r="43">
      <c r="A43" s="6" t="inlineStr">
        <is>
          <t xml:space="preserve">   % de recupero</t>
        </is>
      </c>
      <c r="B43" s="2" t="inlineStr">
        <is>
          <t>%</t>
        </is>
      </c>
      <c r="C43" s="20" t="n">
        <v>0.40762</v>
      </c>
      <c r="D43" s="21" t="n">
        <v>0.40762</v>
      </c>
      <c r="E43" s="21" t="n">
        <v>0.40762</v>
      </c>
      <c r="F43" s="21" t="n">
        <v>0.40762</v>
      </c>
      <c r="G43" s="21" t="n">
        <v>0.40762</v>
      </c>
      <c r="H43" s="21" t="n">
        <v>0.40762</v>
      </c>
      <c r="I43" s="21" t="n">
        <v>0.40762</v>
      </c>
      <c r="J43" s="21" t="n">
        <v>0.40762</v>
      </c>
      <c r="K43" s="21" t="n">
        <v>0.40762</v>
      </c>
      <c r="L43" s="21" t="n">
        <v>0.40762</v>
      </c>
      <c r="M43" s="21" t="n">
        <v>0.40762</v>
      </c>
      <c r="N43" s="21" t="n">
        <v>0.40762</v>
      </c>
      <c r="O43" s="21" t="n">
        <v>0.40762</v>
      </c>
      <c r="P43" s="21" t="n">
        <v>0.40762</v>
      </c>
      <c r="Q43" s="21" t="n">
        <v>0.40762</v>
      </c>
      <c r="R43" s="21" t="n">
        <v>0.40762</v>
      </c>
    </row>
    <row r="44">
      <c r="A44" s="6" t="inlineStr">
        <is>
          <t xml:space="preserve">   Fee</t>
        </is>
      </c>
      <c r="B44" s="2" t="inlineStr">
        <is>
          <t>%</t>
        </is>
      </c>
      <c r="C44" s="20" t="n">
        <v>0.09</v>
      </c>
      <c r="D44" s="21" t="n">
        <v>0.09</v>
      </c>
      <c r="E44" s="21" t="n">
        <v>0.09</v>
      </c>
      <c r="F44" s="21" t="n">
        <v>0.09</v>
      </c>
      <c r="G44" s="21" t="n">
        <v>0.09</v>
      </c>
      <c r="H44" s="21" t="n">
        <v>0.09</v>
      </c>
      <c r="I44" s="21" t="n">
        <v>0.09</v>
      </c>
      <c r="J44" s="21" t="n">
        <v>0.09</v>
      </c>
      <c r="K44" s="21" t="n">
        <v>0.09</v>
      </c>
      <c r="L44" s="21" t="n">
        <v>0.09</v>
      </c>
      <c r="M44" s="21" t="n">
        <v>0.09</v>
      </c>
      <c r="N44" s="21" t="n">
        <v>0.09</v>
      </c>
      <c r="O44" s="21" t="n">
        <v>0.09</v>
      </c>
      <c r="P44" s="21" t="n">
        <v>0.09</v>
      </c>
      <c r="Q44" s="21" t="n">
        <v>0.09</v>
      </c>
      <c r="R44" s="21" t="n">
        <v>0.09</v>
      </c>
    </row>
    <row r="45">
      <c r="A45" s="6" t="inlineStr">
        <is>
          <t xml:space="preserve">   Posiciones</t>
        </is>
      </c>
      <c r="B45" s="2" t="inlineStr">
        <is>
          <t>n</t>
        </is>
      </c>
      <c r="C45" s="22" t="n">
        <v>4</v>
      </c>
      <c r="D45" s="23" t="n">
        <v>4</v>
      </c>
      <c r="E45" s="23" t="n">
        <v>4</v>
      </c>
      <c r="F45" s="23" t="n">
        <v>4</v>
      </c>
      <c r="G45" s="23" t="n">
        <v>4</v>
      </c>
      <c r="H45" s="23" t="n">
        <v>4</v>
      </c>
      <c r="I45" s="23" t="n">
        <v>4</v>
      </c>
      <c r="J45" s="23" t="n">
        <v>4</v>
      </c>
      <c r="K45" s="23" t="n">
        <v>4</v>
      </c>
      <c r="L45" s="23" t="n">
        <v>4</v>
      </c>
      <c r="M45" s="23" t="n">
        <v>4</v>
      </c>
      <c r="N45" s="23" t="n">
        <v>4</v>
      </c>
      <c r="O45" s="23" t="n">
        <v>4</v>
      </c>
      <c r="P45" s="23" t="n">
        <v>4</v>
      </c>
      <c r="Q45" s="23" t="n">
        <v>4</v>
      </c>
      <c r="R45" s="23" t="n">
        <v>4</v>
      </c>
    </row>
    <row r="47">
      <c r="A47" s="16" t="inlineStr">
        <is>
          <t>TUY · Telco Uruguay · Temprana (USD)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</row>
    <row r="48">
      <c r="A48" s="6" t="inlineStr">
        <is>
          <t xml:space="preserve">   Volumen asignado</t>
        </is>
      </c>
      <c r="B48" s="2" t="inlineStr">
        <is>
          <t>índice</t>
        </is>
      </c>
      <c r="C48" s="18" t="n">
        <v>100</v>
      </c>
      <c r="D48" s="19" t="n">
        <v>100</v>
      </c>
      <c r="E48" s="19" t="n">
        <v>100</v>
      </c>
      <c r="F48" s="19" t="n">
        <v>100</v>
      </c>
      <c r="G48" s="19" t="n">
        <v>100</v>
      </c>
      <c r="H48" s="19" t="n">
        <v>100</v>
      </c>
      <c r="I48" s="19" t="n">
        <v>100</v>
      </c>
      <c r="J48" s="19" t="n">
        <v>100</v>
      </c>
      <c r="K48" s="19" t="n">
        <v>100</v>
      </c>
      <c r="L48" s="19" t="n">
        <v>100</v>
      </c>
      <c r="M48" s="19" t="n">
        <v>100</v>
      </c>
      <c r="N48" s="19" t="n">
        <v>100</v>
      </c>
      <c r="O48" s="19" t="n">
        <v>100</v>
      </c>
      <c r="P48" s="19" t="n">
        <v>100</v>
      </c>
      <c r="Q48" s="19" t="n">
        <v>100</v>
      </c>
      <c r="R48" s="19" t="n">
        <v>100</v>
      </c>
    </row>
    <row r="49">
      <c r="A49" s="6" t="inlineStr">
        <is>
          <t xml:space="preserve">   % de recupero</t>
        </is>
      </c>
      <c r="B49" s="2" t="inlineStr">
        <is>
          <t>%</t>
        </is>
      </c>
      <c r="C49" s="20" t="n">
        <v>0.32145</v>
      </c>
      <c r="D49" s="21" t="n">
        <v>0.32145</v>
      </c>
      <c r="E49" s="21" t="n">
        <v>0.32145</v>
      </c>
      <c r="F49" s="21" t="n">
        <v>0.32145</v>
      </c>
      <c r="G49" s="21" t="n">
        <v>0.32145</v>
      </c>
      <c r="H49" s="21" t="n">
        <v>0.32145</v>
      </c>
      <c r="I49" s="21" t="n">
        <v>0.32145</v>
      </c>
      <c r="J49" s="21" t="n">
        <v>0.32145</v>
      </c>
      <c r="K49" s="21" t="n">
        <v>0.32145</v>
      </c>
      <c r="L49" s="21" t="n">
        <v>0.32145</v>
      </c>
      <c r="M49" s="21" t="n">
        <v>0.32145</v>
      </c>
      <c r="N49" s="21" t="n">
        <v>0.32145</v>
      </c>
      <c r="O49" s="21" t="n">
        <v>0.32145</v>
      </c>
      <c r="P49" s="21" t="n">
        <v>0.32145</v>
      </c>
      <c r="Q49" s="21" t="n">
        <v>0.32145</v>
      </c>
      <c r="R49" s="21" t="n">
        <v>0.32145</v>
      </c>
    </row>
    <row r="50">
      <c r="A50" s="6" t="inlineStr">
        <is>
          <t xml:space="preserve">   Fee</t>
        </is>
      </c>
      <c r="B50" s="2" t="inlineStr">
        <is>
          <t>%</t>
        </is>
      </c>
      <c r="C50" s="20" t="n">
        <v>0.08</v>
      </c>
      <c r="D50" s="21" t="n">
        <v>0.08</v>
      </c>
      <c r="E50" s="21" t="n">
        <v>0.08</v>
      </c>
      <c r="F50" s="21" t="n">
        <v>0.08</v>
      </c>
      <c r="G50" s="21" t="n">
        <v>0.08</v>
      </c>
      <c r="H50" s="21" t="n">
        <v>0.08</v>
      </c>
      <c r="I50" s="21" t="n">
        <v>0.08</v>
      </c>
      <c r="J50" s="21" t="n">
        <v>0.08</v>
      </c>
      <c r="K50" s="21" t="n">
        <v>0.08</v>
      </c>
      <c r="L50" s="21" t="n">
        <v>0.08</v>
      </c>
      <c r="M50" s="21" t="n">
        <v>0.08</v>
      </c>
      <c r="N50" s="21" t="n">
        <v>0.08</v>
      </c>
      <c r="O50" s="21" t="n">
        <v>0.08</v>
      </c>
      <c r="P50" s="21" t="n">
        <v>0.08</v>
      </c>
      <c r="Q50" s="21" t="n">
        <v>0.08</v>
      </c>
      <c r="R50" s="21" t="n">
        <v>0.08</v>
      </c>
    </row>
    <row r="51">
      <c r="A51" s="6" t="inlineStr">
        <is>
          <t xml:space="preserve">   Posiciones</t>
        </is>
      </c>
      <c r="B51" s="2" t="inlineStr">
        <is>
          <t>n</t>
        </is>
      </c>
      <c r="C51" s="22" t="n">
        <v>2</v>
      </c>
      <c r="D51" s="23" t="n">
        <v>2</v>
      </c>
      <c r="E51" s="23" t="n">
        <v>2</v>
      </c>
      <c r="F51" s="23" t="n">
        <v>2</v>
      </c>
      <c r="G51" s="23" t="n">
        <v>2</v>
      </c>
      <c r="H51" s="23" t="n">
        <v>2</v>
      </c>
      <c r="I51" s="23" t="n">
        <v>2</v>
      </c>
      <c r="J51" s="23" t="n">
        <v>2</v>
      </c>
      <c r="K51" s="23" t="n">
        <v>2</v>
      </c>
      <c r="L51" s="23" t="n">
        <v>2</v>
      </c>
      <c r="M51" s="23" t="n">
        <v>2</v>
      </c>
      <c r="N51" s="23" t="n">
        <v>2</v>
      </c>
      <c r="O51" s="23" t="n">
        <v>2</v>
      </c>
      <c r="P51" s="23" t="n">
        <v>2</v>
      </c>
      <c r="Q51" s="23" t="n">
        <v>2</v>
      </c>
      <c r="R51" s="23" t="n">
        <v>2</v>
      </c>
    </row>
    <row r="53">
      <c r="A53" s="16" t="inlineStr">
        <is>
          <t>BNP · Banco Norte · Prelegal (ARS)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</row>
    <row r="54">
      <c r="A54" s="6" t="inlineStr">
        <is>
          <t xml:space="preserve">   Volumen asignado</t>
        </is>
      </c>
      <c r="B54" s="2" t="inlineStr">
        <is>
          <t>índice</t>
        </is>
      </c>
      <c r="C54" s="18" t="n">
        <v>100</v>
      </c>
      <c r="D54" s="19" t="n">
        <v>100</v>
      </c>
      <c r="E54" s="19" t="n">
        <v>100</v>
      </c>
      <c r="F54" s="19" t="n">
        <v>100</v>
      </c>
      <c r="G54" s="19" t="n">
        <v>100</v>
      </c>
      <c r="H54" s="19" t="n">
        <v>100</v>
      </c>
      <c r="I54" s="19" t="n">
        <v>100</v>
      </c>
      <c r="J54" s="19" t="n">
        <v>100</v>
      </c>
      <c r="K54" s="19" t="n">
        <v>100</v>
      </c>
      <c r="L54" s="19" t="n">
        <v>100</v>
      </c>
      <c r="M54" s="19" t="n">
        <v>100</v>
      </c>
      <c r="N54" s="19" t="n">
        <v>100</v>
      </c>
      <c r="O54" s="19" t="n">
        <v>100</v>
      </c>
      <c r="P54" s="19" t="n">
        <v>100</v>
      </c>
      <c r="Q54" s="19" t="n">
        <v>100</v>
      </c>
      <c r="R54" s="19" t="n">
        <v>100</v>
      </c>
    </row>
    <row r="55">
      <c r="A55" s="6" t="inlineStr">
        <is>
          <t xml:space="preserve">   % de recupero</t>
        </is>
      </c>
      <c r="B55" s="2" t="inlineStr">
        <is>
          <t>%</t>
        </is>
      </c>
      <c r="C55" s="20" t="n">
        <v>0.14836</v>
      </c>
      <c r="D55" s="21" t="n">
        <v>0.14836</v>
      </c>
      <c r="E55" s="21" t="n">
        <v>0.14836</v>
      </c>
      <c r="F55" s="21" t="n">
        <v>0.14836</v>
      </c>
      <c r="G55" s="21" t="n">
        <v>0.14836</v>
      </c>
      <c r="H55" s="21" t="n">
        <v>0.14836</v>
      </c>
      <c r="I55" s="21" t="n">
        <v>0.14836</v>
      </c>
      <c r="J55" s="21" t="n">
        <v>0.14836</v>
      </c>
      <c r="K55" s="21" t="n">
        <v>0.14836</v>
      </c>
      <c r="L55" s="21" t="n">
        <v>0.14836</v>
      </c>
      <c r="M55" s="21" t="n">
        <v>0.14836</v>
      </c>
      <c r="N55" s="21" t="n">
        <v>0.14836</v>
      </c>
      <c r="O55" s="21" t="n">
        <v>0.14836</v>
      </c>
      <c r="P55" s="21" t="n">
        <v>0.14836</v>
      </c>
      <c r="Q55" s="21" t="n">
        <v>0.14836</v>
      </c>
      <c r="R55" s="21" t="n">
        <v>0.14836</v>
      </c>
    </row>
    <row r="56">
      <c r="A56" s="6" t="inlineStr">
        <is>
          <t xml:space="preserve">   Fee</t>
        </is>
      </c>
      <c r="B56" s="2" t="inlineStr">
        <is>
          <t>%</t>
        </is>
      </c>
      <c r="C56" s="20" t="n">
        <v>0.16</v>
      </c>
      <c r="D56" s="21" t="n">
        <v>0.16</v>
      </c>
      <c r="E56" s="21" t="n">
        <v>0.16</v>
      </c>
      <c r="F56" s="21" t="n">
        <v>0.16</v>
      </c>
      <c r="G56" s="21" t="n">
        <v>0.16</v>
      </c>
      <c r="H56" s="21" t="n">
        <v>0.16</v>
      </c>
      <c r="I56" s="21" t="n">
        <v>0.16</v>
      </c>
      <c r="J56" s="21" t="n">
        <v>0.16</v>
      </c>
      <c r="K56" s="21" t="n">
        <v>0.16</v>
      </c>
      <c r="L56" s="21" t="n">
        <v>0.16</v>
      </c>
      <c r="M56" s="21" t="n">
        <v>0.16</v>
      </c>
      <c r="N56" s="21" t="n">
        <v>0.16</v>
      </c>
      <c r="O56" s="21" t="n">
        <v>0.16</v>
      </c>
      <c r="P56" s="21" t="n">
        <v>0.16</v>
      </c>
      <c r="Q56" s="21" t="n">
        <v>0.16</v>
      </c>
      <c r="R56" s="21" t="n">
        <v>0.16</v>
      </c>
    </row>
    <row r="57">
      <c r="A57" s="6" t="inlineStr">
        <is>
          <t xml:space="preserve">   Posiciones</t>
        </is>
      </c>
      <c r="B57" s="2" t="inlineStr">
        <is>
          <t>n</t>
        </is>
      </c>
      <c r="C57" s="22" t="n">
        <v>10</v>
      </c>
      <c r="D57" s="23" t="n">
        <v>10</v>
      </c>
      <c r="E57" s="23" t="n">
        <v>10</v>
      </c>
      <c r="F57" s="23" t="n">
        <v>10</v>
      </c>
      <c r="G57" s="23" t="n">
        <v>10</v>
      </c>
      <c r="H57" s="23" t="n">
        <v>10</v>
      </c>
      <c r="I57" s="23" t="n">
        <v>10</v>
      </c>
      <c r="J57" s="23" t="n">
        <v>10</v>
      </c>
      <c r="K57" s="23" t="n">
        <v>10</v>
      </c>
      <c r="L57" s="23" t="n">
        <v>10</v>
      </c>
      <c r="M57" s="23" t="n">
        <v>10</v>
      </c>
      <c r="N57" s="23" t="n">
        <v>10</v>
      </c>
      <c r="O57" s="23" t="n">
        <v>10</v>
      </c>
      <c r="P57" s="23" t="n">
        <v>10</v>
      </c>
      <c r="Q57" s="23" t="n">
        <v>10</v>
      </c>
      <c r="R57" s="23" t="n">
        <v>10</v>
      </c>
    </row>
    <row r="59">
      <c r="A59" s="16" t="inlineStr">
        <is>
          <t>POA · Pool Argentina · Multicedente (ARS)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</row>
    <row r="60">
      <c r="A60" s="6" t="inlineStr">
        <is>
          <t xml:space="preserve">   Volumen asignado</t>
        </is>
      </c>
      <c r="B60" s="2" t="inlineStr">
        <is>
          <t>índice</t>
        </is>
      </c>
      <c r="C60" s="18" t="n">
        <v>100</v>
      </c>
      <c r="D60" s="19" t="n">
        <v>100</v>
      </c>
      <c r="E60" s="19" t="n">
        <v>100</v>
      </c>
      <c r="F60" s="19" t="n">
        <v>100</v>
      </c>
      <c r="G60" s="19" t="n">
        <v>100</v>
      </c>
      <c r="H60" s="19" t="n">
        <v>100</v>
      </c>
      <c r="I60" s="19" t="n">
        <v>100</v>
      </c>
      <c r="J60" s="19" t="n">
        <v>100</v>
      </c>
      <c r="K60" s="19" t="n">
        <v>100</v>
      </c>
      <c r="L60" s="19" t="n">
        <v>100</v>
      </c>
      <c r="M60" s="19" t="n">
        <v>100</v>
      </c>
      <c r="N60" s="19" t="n">
        <v>100</v>
      </c>
      <c r="O60" s="19" t="n">
        <v>100</v>
      </c>
      <c r="P60" s="19" t="n">
        <v>100</v>
      </c>
      <c r="Q60" s="19" t="n">
        <v>100</v>
      </c>
      <c r="R60" s="19" t="n">
        <v>100</v>
      </c>
    </row>
    <row r="61">
      <c r="A61" s="6" t="inlineStr">
        <is>
          <t xml:space="preserve">   % de recupero</t>
        </is>
      </c>
      <c r="B61" s="2" t="inlineStr">
        <is>
          <t>%</t>
        </is>
      </c>
      <c r="C61" s="20" t="n">
        <v>0.20779</v>
      </c>
      <c r="D61" s="21" t="n">
        <v>0.20779</v>
      </c>
      <c r="E61" s="21" t="n">
        <v>0.20779</v>
      </c>
      <c r="F61" s="21" t="n">
        <v>0.20779</v>
      </c>
      <c r="G61" s="21" t="n">
        <v>0.20779</v>
      </c>
      <c r="H61" s="21" t="n">
        <v>0.20779</v>
      </c>
      <c r="I61" s="21" t="n">
        <v>0.20779</v>
      </c>
      <c r="J61" s="21" t="n">
        <v>0.20779</v>
      </c>
      <c r="K61" s="21" t="n">
        <v>0.20779</v>
      </c>
      <c r="L61" s="21" t="n">
        <v>0.20779</v>
      </c>
      <c r="M61" s="21" t="n">
        <v>0.20779</v>
      </c>
      <c r="N61" s="21" t="n">
        <v>0.20779</v>
      </c>
      <c r="O61" s="21" t="n">
        <v>0.20779</v>
      </c>
      <c r="P61" s="21" t="n">
        <v>0.20779</v>
      </c>
      <c r="Q61" s="21" t="n">
        <v>0.20779</v>
      </c>
      <c r="R61" s="21" t="n">
        <v>0.20779</v>
      </c>
    </row>
    <row r="62">
      <c r="A62" s="6" t="inlineStr">
        <is>
          <t xml:space="preserve">   Fee</t>
        </is>
      </c>
      <c r="B62" s="2" t="inlineStr">
        <is>
          <t>%</t>
        </is>
      </c>
      <c r="C62" s="20" t="n">
        <v>0.11</v>
      </c>
      <c r="D62" s="21" t="n">
        <v>0.11</v>
      </c>
      <c r="E62" s="21" t="n">
        <v>0.11</v>
      </c>
      <c r="F62" s="21" t="n">
        <v>0.11</v>
      </c>
      <c r="G62" s="21" t="n">
        <v>0.11</v>
      </c>
      <c r="H62" s="21" t="n">
        <v>0.11</v>
      </c>
      <c r="I62" s="21" t="n">
        <v>0.11</v>
      </c>
      <c r="J62" s="21" t="n">
        <v>0.11</v>
      </c>
      <c r="K62" s="21" t="n">
        <v>0.11</v>
      </c>
      <c r="L62" s="21" t="n">
        <v>0.11</v>
      </c>
      <c r="M62" s="21" t="n">
        <v>0.11</v>
      </c>
      <c r="N62" s="21" t="n">
        <v>0.11</v>
      </c>
      <c r="O62" s="21" t="n">
        <v>0.11</v>
      </c>
      <c r="P62" s="21" t="n">
        <v>0.11</v>
      </c>
      <c r="Q62" s="21" t="n">
        <v>0.11</v>
      </c>
      <c r="R62" s="21" t="n">
        <v>0.11</v>
      </c>
    </row>
    <row r="63">
      <c r="A63" s="6" t="inlineStr">
        <is>
          <t xml:space="preserve">   Posiciones</t>
        </is>
      </c>
      <c r="B63" s="2" t="inlineStr">
        <is>
          <t>n</t>
        </is>
      </c>
      <c r="C63" s="22" t="n">
        <v>9</v>
      </c>
      <c r="D63" s="23" t="n">
        <v>9</v>
      </c>
      <c r="E63" s="23" t="n">
        <v>9</v>
      </c>
      <c r="F63" s="23" t="n">
        <v>9</v>
      </c>
      <c r="G63" s="23" t="n">
        <v>9</v>
      </c>
      <c r="H63" s="23" t="n">
        <v>9</v>
      </c>
      <c r="I63" s="23" t="n">
        <v>9</v>
      </c>
      <c r="J63" s="23" t="n">
        <v>9</v>
      </c>
      <c r="K63" s="23" t="n">
        <v>9</v>
      </c>
      <c r="L63" s="23" t="n">
        <v>9</v>
      </c>
      <c r="M63" s="23" t="n">
        <v>9</v>
      </c>
      <c r="N63" s="23" t="n">
        <v>9</v>
      </c>
      <c r="O63" s="23" t="n">
        <v>9</v>
      </c>
      <c r="P63" s="23" t="n">
        <v>9</v>
      </c>
      <c r="Q63" s="23" t="n">
        <v>9</v>
      </c>
      <c r="R63" s="23" t="n">
        <v>9</v>
      </c>
    </row>
    <row r="65">
      <c r="A65" s="16" t="inlineStr">
        <is>
          <t>POC · Pool Judicial · Servicios (ARS)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</row>
    <row r="66">
      <c r="A66" s="6" t="inlineStr">
        <is>
          <t xml:space="preserve">   Volumen asignado</t>
        </is>
      </c>
      <c r="B66" s="2" t="inlineStr">
        <is>
          <t>índice</t>
        </is>
      </c>
      <c r="C66" s="18" t="n">
        <v>100</v>
      </c>
      <c r="D66" s="19" t="n">
        <v>100</v>
      </c>
      <c r="E66" s="19" t="n">
        <v>100</v>
      </c>
      <c r="F66" s="19" t="n">
        <v>100</v>
      </c>
      <c r="G66" s="19" t="n">
        <v>100</v>
      </c>
      <c r="H66" s="19" t="n">
        <v>100</v>
      </c>
      <c r="I66" s="19" t="n">
        <v>100</v>
      </c>
      <c r="J66" s="19" t="n">
        <v>100</v>
      </c>
      <c r="K66" s="19" t="n">
        <v>100</v>
      </c>
      <c r="L66" s="19" t="n">
        <v>100</v>
      </c>
      <c r="M66" s="19" t="n">
        <v>100</v>
      </c>
      <c r="N66" s="19" t="n">
        <v>100</v>
      </c>
      <c r="O66" s="19" t="n">
        <v>100</v>
      </c>
      <c r="P66" s="19" t="n">
        <v>100</v>
      </c>
      <c r="Q66" s="19" t="n">
        <v>100</v>
      </c>
      <c r="R66" s="19" t="n">
        <v>100</v>
      </c>
    </row>
    <row r="67">
      <c r="A67" s="6" t="inlineStr">
        <is>
          <t xml:space="preserve">   % de recupero</t>
        </is>
      </c>
      <c r="B67" s="2" t="inlineStr">
        <is>
          <t>%</t>
        </is>
      </c>
      <c r="C67" s="20" t="n">
        <v>0.08967</v>
      </c>
      <c r="D67" s="21" t="n">
        <v>0.08967</v>
      </c>
      <c r="E67" s="21" t="n">
        <v>0.08967</v>
      </c>
      <c r="F67" s="21" t="n">
        <v>0.08967</v>
      </c>
      <c r="G67" s="21" t="n">
        <v>0.08967</v>
      </c>
      <c r="H67" s="21" t="n">
        <v>0.08967</v>
      </c>
      <c r="I67" s="21" t="n">
        <v>0.08967</v>
      </c>
      <c r="J67" s="21" t="n">
        <v>0.08967</v>
      </c>
      <c r="K67" s="21" t="n">
        <v>0.08967</v>
      </c>
      <c r="L67" s="21" t="n">
        <v>0.08967</v>
      </c>
      <c r="M67" s="21" t="n">
        <v>0.08967</v>
      </c>
      <c r="N67" s="21" t="n">
        <v>0.08967</v>
      </c>
      <c r="O67" s="21" t="n">
        <v>0.08967</v>
      </c>
      <c r="P67" s="21" t="n">
        <v>0.08967</v>
      </c>
      <c r="Q67" s="21" t="n">
        <v>0.08967</v>
      </c>
      <c r="R67" s="21" t="n">
        <v>0.08967</v>
      </c>
    </row>
    <row r="68">
      <c r="A68" s="6" t="inlineStr">
        <is>
          <t xml:space="preserve">   Fee</t>
        </is>
      </c>
      <c r="B68" s="2" t="inlineStr">
        <is>
          <t>%</t>
        </is>
      </c>
      <c r="C68" s="20" t="n">
        <v>0.18</v>
      </c>
      <c r="D68" s="21" t="n">
        <v>0.18</v>
      </c>
      <c r="E68" s="21" t="n">
        <v>0.18</v>
      </c>
      <c r="F68" s="21" t="n">
        <v>0.18</v>
      </c>
      <c r="G68" s="21" t="n">
        <v>0.18</v>
      </c>
      <c r="H68" s="21" t="n">
        <v>0.18</v>
      </c>
      <c r="I68" s="21" t="n">
        <v>0.18</v>
      </c>
      <c r="J68" s="21" t="n">
        <v>0.18</v>
      </c>
      <c r="K68" s="21" t="n">
        <v>0.18</v>
      </c>
      <c r="L68" s="21" t="n">
        <v>0.18</v>
      </c>
      <c r="M68" s="21" t="n">
        <v>0.18</v>
      </c>
      <c r="N68" s="21" t="n">
        <v>0.18</v>
      </c>
      <c r="O68" s="21" t="n">
        <v>0.18</v>
      </c>
      <c r="P68" s="21" t="n">
        <v>0.18</v>
      </c>
      <c r="Q68" s="21" t="n">
        <v>0.18</v>
      </c>
      <c r="R68" s="21" t="n">
        <v>0.18</v>
      </c>
    </row>
    <row r="69">
      <c r="A69" s="6" t="inlineStr">
        <is>
          <t xml:space="preserve">   Posiciones</t>
        </is>
      </c>
      <c r="B69" s="2" t="inlineStr">
        <is>
          <t>n</t>
        </is>
      </c>
      <c r="C69" s="22" t="n">
        <v>4</v>
      </c>
      <c r="D69" s="23" t="n">
        <v>4</v>
      </c>
      <c r="E69" s="23" t="n">
        <v>4</v>
      </c>
      <c r="F69" s="23" t="n">
        <v>4</v>
      </c>
      <c r="G69" s="23" t="n">
        <v>4</v>
      </c>
      <c r="H69" s="23" t="n">
        <v>4</v>
      </c>
      <c r="I69" s="23" t="n">
        <v>4</v>
      </c>
      <c r="J69" s="23" t="n">
        <v>4</v>
      </c>
      <c r="K69" s="23" t="n">
        <v>4</v>
      </c>
      <c r="L69" s="23" t="n">
        <v>4</v>
      </c>
      <c r="M69" s="23" t="n">
        <v>4</v>
      </c>
      <c r="N69" s="23" t="n">
        <v>4</v>
      </c>
      <c r="O69" s="23" t="n">
        <v>4</v>
      </c>
      <c r="P69" s="23" t="n">
        <v>4</v>
      </c>
      <c r="Q69" s="23" t="n">
        <v>4</v>
      </c>
      <c r="R69" s="23" t="n">
        <v>4</v>
      </c>
    </row>
    <row r="71">
      <c r="A71" s="16" t="inlineStr">
        <is>
          <t>TKV · Telemarketing · Seguros (ARS)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</row>
    <row r="72">
      <c r="A72" s="6" t="inlineStr">
        <is>
          <t xml:space="preserve">   Volumen asignado</t>
        </is>
      </c>
      <c r="B72" s="2" t="inlineStr">
        <is>
          <t>índice</t>
        </is>
      </c>
      <c r="C72" s="18" t="n">
        <v>100</v>
      </c>
      <c r="D72" s="19" t="n">
        <v>100</v>
      </c>
      <c r="E72" s="19" t="n">
        <v>100</v>
      </c>
      <c r="F72" s="19" t="n">
        <v>100</v>
      </c>
      <c r="G72" s="19" t="n">
        <v>100</v>
      </c>
      <c r="H72" s="19" t="n">
        <v>100</v>
      </c>
      <c r="I72" s="19" t="n">
        <v>100</v>
      </c>
      <c r="J72" s="19" t="n">
        <v>100</v>
      </c>
      <c r="K72" s="19" t="n">
        <v>100</v>
      </c>
      <c r="L72" s="19" t="n">
        <v>100</v>
      </c>
      <c r="M72" s="19" t="n">
        <v>100</v>
      </c>
      <c r="N72" s="19" t="n">
        <v>100</v>
      </c>
      <c r="O72" s="19" t="n">
        <v>100</v>
      </c>
      <c r="P72" s="19" t="n">
        <v>100</v>
      </c>
      <c r="Q72" s="19" t="n">
        <v>100</v>
      </c>
      <c r="R72" s="19" t="n">
        <v>100</v>
      </c>
    </row>
    <row r="73">
      <c r="A73" s="6" t="inlineStr">
        <is>
          <t xml:space="preserve">   % de recupero</t>
        </is>
      </c>
      <c r="B73" s="2" t="inlineStr">
        <is>
          <t>%</t>
        </is>
      </c>
      <c r="C73" s="20" t="n">
        <v>0.04725</v>
      </c>
      <c r="D73" s="21" t="n">
        <v>0.04725</v>
      </c>
      <c r="E73" s="21" t="n">
        <v>0.04725</v>
      </c>
      <c r="F73" s="21" t="n">
        <v>0.04725</v>
      </c>
      <c r="G73" s="21" t="n">
        <v>0.04725</v>
      </c>
      <c r="H73" s="21" t="n">
        <v>0.04725</v>
      </c>
      <c r="I73" s="21" t="n">
        <v>0.04725</v>
      </c>
      <c r="J73" s="21" t="n">
        <v>0.04725</v>
      </c>
      <c r="K73" s="21" t="n">
        <v>0.04725</v>
      </c>
      <c r="L73" s="21" t="n">
        <v>0.04725</v>
      </c>
      <c r="M73" s="21" t="n">
        <v>0.04725</v>
      </c>
      <c r="N73" s="21" t="n">
        <v>0.04725</v>
      </c>
      <c r="O73" s="21" t="n">
        <v>0.04725</v>
      </c>
      <c r="P73" s="21" t="n">
        <v>0.04725</v>
      </c>
      <c r="Q73" s="21" t="n">
        <v>0.04725</v>
      </c>
      <c r="R73" s="21" t="n">
        <v>0.04725</v>
      </c>
    </row>
    <row r="74">
      <c r="A74" s="6" t="inlineStr">
        <is>
          <t xml:space="preserve">   Fee</t>
        </is>
      </c>
      <c r="B74" s="2" t="inlineStr">
        <is>
          <t>%</t>
        </is>
      </c>
      <c r="C74" s="20" t="n">
        <v>0.25</v>
      </c>
      <c r="D74" s="21" t="n">
        <v>0.25</v>
      </c>
      <c r="E74" s="21" t="n">
        <v>0.25</v>
      </c>
      <c r="F74" s="21" t="n">
        <v>0.25</v>
      </c>
      <c r="G74" s="21" t="n">
        <v>0.25</v>
      </c>
      <c r="H74" s="21" t="n">
        <v>0.25</v>
      </c>
      <c r="I74" s="21" t="n">
        <v>0.25</v>
      </c>
      <c r="J74" s="21" t="n">
        <v>0.25</v>
      </c>
      <c r="K74" s="21" t="n">
        <v>0.25</v>
      </c>
      <c r="L74" s="21" t="n">
        <v>0.25</v>
      </c>
      <c r="M74" s="21" t="n">
        <v>0.25</v>
      </c>
      <c r="N74" s="21" t="n">
        <v>0.25</v>
      </c>
      <c r="O74" s="21" t="n">
        <v>0.25</v>
      </c>
      <c r="P74" s="21" t="n">
        <v>0.25</v>
      </c>
      <c r="Q74" s="21" t="n">
        <v>0.25</v>
      </c>
      <c r="R74" s="21" t="n">
        <v>0.25</v>
      </c>
    </row>
    <row r="75">
      <c r="A75" s="6" t="inlineStr">
        <is>
          <t xml:space="preserve">   Posiciones</t>
        </is>
      </c>
      <c r="B75" s="2" t="inlineStr">
        <is>
          <t>n</t>
        </is>
      </c>
      <c r="C75" s="22" t="n">
        <v>14</v>
      </c>
      <c r="D75" s="23" t="n">
        <v>14</v>
      </c>
      <c r="E75" s="23" t="n">
        <v>14</v>
      </c>
      <c r="F75" s="23" t="n">
        <v>14</v>
      </c>
      <c r="G75" s="23" t="n">
        <v>14</v>
      </c>
      <c r="H75" s="23" t="n">
        <v>14</v>
      </c>
      <c r="I75" s="23" t="n">
        <v>14</v>
      </c>
      <c r="J75" s="23" t="n">
        <v>14</v>
      </c>
      <c r="K75" s="23" t="n">
        <v>14</v>
      </c>
      <c r="L75" s="23" t="n">
        <v>14</v>
      </c>
      <c r="M75" s="23" t="n">
        <v>14</v>
      </c>
      <c r="N75" s="23" t="n">
        <v>14</v>
      </c>
      <c r="O75" s="23" t="n">
        <v>14</v>
      </c>
      <c r="P75" s="23" t="n">
        <v>14</v>
      </c>
      <c r="Q75" s="23" t="n">
        <v>14</v>
      </c>
      <c r="R75" s="2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6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28" customWidth="1" min="4" max="4"/>
    <col width="28" customWidth="1" min="5" max="5"/>
    <col width="10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Cálculo por cartera y línea</t>
        </is>
      </c>
    </row>
    <row r="2">
      <c r="A2" s="2" t="inlineStr">
        <is>
          <t>Cada celda = base mensual × índices de la categoría. No se carga nada acá.</t>
        </is>
      </c>
    </row>
    <row r="4" ht="30" customHeight="1">
      <c r="A4" s="9" t="inlineStr">
        <is>
          <t>Ámbito</t>
        </is>
      </c>
      <c r="B4" s="10" t="inlineStr">
        <is>
          <t>Moneda</t>
        </is>
      </c>
      <c r="C4" s="10" t="inlineStr">
        <is>
          <t>N1</t>
        </is>
      </c>
      <c r="D4" s="10" t="inlineStr">
        <is>
          <t>N2</t>
        </is>
      </c>
      <c r="E4" s="10" t="inlineStr">
        <is>
          <t>Ítem</t>
        </is>
      </c>
      <c r="F4" s="10" t="inlineStr">
        <is>
          <t>Categoría</t>
        </is>
      </c>
      <c r="G4" s="10" t="inlineStr">
        <is>
          <t>Base mensual sep-25 ($)</t>
        </is>
      </c>
      <c r="H4" s="10" t="inlineStr">
        <is>
          <t>oct-25</t>
        </is>
      </c>
      <c r="I4" s="10" t="inlineStr">
        <is>
          <t>nov-25</t>
        </is>
      </c>
      <c r="J4" s="10" t="inlineStr">
        <is>
          <t>dic-25</t>
        </is>
      </c>
      <c r="K4" s="10" t="inlineStr">
        <is>
          <t>ene-26</t>
        </is>
      </c>
      <c r="L4" s="10" t="inlineStr">
        <is>
          <t>feb-26</t>
        </is>
      </c>
      <c r="M4" s="10" t="inlineStr">
        <is>
          <t>mar-26</t>
        </is>
      </c>
      <c r="N4" s="10" t="inlineStr">
        <is>
          <t>abr-26</t>
        </is>
      </c>
      <c r="O4" s="10" t="inlineStr">
        <is>
          <t>may-26</t>
        </is>
      </c>
      <c r="P4" s="10" t="inlineStr">
        <is>
          <t>jun-26</t>
        </is>
      </c>
      <c r="Q4" s="10" t="inlineStr">
        <is>
          <t>jul-26</t>
        </is>
      </c>
      <c r="R4" s="10" t="inlineStr">
        <is>
          <t>ago-26</t>
        </is>
      </c>
      <c r="S4" s="10" t="inlineStr">
        <is>
          <t>sep-26</t>
        </is>
      </c>
      <c r="T4" s="10" t="inlineStr">
        <is>
          <t>oct-26</t>
        </is>
      </c>
      <c r="U4" s="10" t="inlineStr">
        <is>
          <t>nov-26</t>
        </is>
      </c>
      <c r="V4" s="10" t="inlineStr">
        <is>
          <t>dic-26</t>
        </is>
      </c>
    </row>
    <row r="5">
      <c r="A5" s="6" t="inlineStr">
        <is>
          <t>TMV</t>
        </is>
      </c>
      <c r="B5" s="6" t="inlineStr">
        <is>
          <t>ARS</t>
        </is>
      </c>
      <c r="C5" s="6" t="inlineStr">
        <is>
          <t>1 Ingreso Operacional</t>
        </is>
      </c>
      <c r="D5" s="6" t="inlineStr">
        <is>
          <t>1.1 Ingreso Cobranzas</t>
        </is>
      </c>
      <c r="E5" s="6" t="inlineStr">
        <is>
          <t>Ingreso por recupero</t>
        </is>
      </c>
      <c r="F5" s="6" t="inlineStr">
        <is>
          <t>rev</t>
        </is>
      </c>
      <c r="G5" s="24" t="n">
        <v>118491415.02</v>
      </c>
      <c r="H5" s="24">
        <f>$G5*Supuestos!D$6*(Drivers!D$6/100)*(Drivers!D$7/Drivers!$C$7)*(Drivers!D$8/Drivers!$C$8)*Supuestos!D$13</f>
        <v/>
      </c>
      <c r="I5" s="24">
        <f>$G5*Supuestos!E$6*(Drivers!E$6/100)*(Drivers!E$7/Drivers!$C$7)*(Drivers!E$8/Drivers!$C$8)*Supuestos!E$13</f>
        <v/>
      </c>
      <c r="J5" s="24">
        <f>$G5*Supuestos!F$6*(Drivers!F$6/100)*(Drivers!F$7/Drivers!$C$7)*(Drivers!F$8/Drivers!$C$8)*Supuestos!F$13</f>
        <v/>
      </c>
      <c r="K5" s="24">
        <f>$G5*Supuestos!G$6*(Drivers!G$6/100)*(Drivers!G$7/Drivers!$C$7)*(Drivers!G$8/Drivers!$C$8)*Supuestos!G$13</f>
        <v/>
      </c>
      <c r="L5" s="24">
        <f>$G5*Supuestos!H$6*(Drivers!H$6/100)*(Drivers!H$7/Drivers!$C$7)*(Drivers!H$8/Drivers!$C$8)*Supuestos!H$13</f>
        <v/>
      </c>
      <c r="M5" s="24">
        <f>$G5*Supuestos!I$6*(Drivers!I$6/100)*(Drivers!I$7/Drivers!$C$7)*(Drivers!I$8/Drivers!$C$8)*Supuestos!I$13</f>
        <v/>
      </c>
      <c r="N5" s="24">
        <f>$G5*Supuestos!J$6*(Drivers!J$6/100)*(Drivers!J$7/Drivers!$C$7)*(Drivers!J$8/Drivers!$C$8)*Supuestos!J$13</f>
        <v/>
      </c>
      <c r="O5" s="24">
        <f>$G5*Supuestos!K$6*(Drivers!K$6/100)*(Drivers!K$7/Drivers!$C$7)*(Drivers!K$8/Drivers!$C$8)*Supuestos!K$13</f>
        <v/>
      </c>
      <c r="P5" s="24">
        <f>$G5*Supuestos!L$6*(Drivers!L$6/100)*(Drivers!L$7/Drivers!$C$7)*(Drivers!L$8/Drivers!$C$8)*Supuestos!L$13</f>
        <v/>
      </c>
      <c r="Q5" s="24">
        <f>$G5*Supuestos!M$6*(Drivers!M$6/100)*(Drivers!M$7/Drivers!$C$7)*(Drivers!M$8/Drivers!$C$8)*Supuestos!M$13</f>
        <v/>
      </c>
      <c r="R5" s="24">
        <f>$G5*Supuestos!N$6*(Drivers!N$6/100)*(Drivers!N$7/Drivers!$C$7)*(Drivers!N$8/Drivers!$C$8)*Supuestos!N$13</f>
        <v/>
      </c>
      <c r="S5" s="24">
        <f>$G5*Supuestos!O$6*(Drivers!O$6/100)*(Drivers!O$7/Drivers!$C$7)*(Drivers!O$8/Drivers!$C$8)*Supuestos!O$13</f>
        <v/>
      </c>
      <c r="T5" s="24">
        <f>$G5*Supuestos!P$6*(Drivers!P$6/100)*(Drivers!P$7/Drivers!$C$7)*(Drivers!P$8/Drivers!$C$8)*Supuestos!P$13</f>
        <v/>
      </c>
      <c r="U5" s="24">
        <f>$G5*Supuestos!Q$6*(Drivers!Q$6/100)*(Drivers!Q$7/Drivers!$C$7)*(Drivers!Q$8/Drivers!$C$8)*Supuestos!Q$13</f>
        <v/>
      </c>
      <c r="V5" s="24">
        <f>$G5*Supuestos!R$6*(Drivers!R$6/100)*(Drivers!R$7/Drivers!$C$7)*(Drivers!R$8/Drivers!$C$8)*Supuestos!R$13</f>
        <v/>
      </c>
    </row>
    <row r="6">
      <c r="A6" s="6" t="inlineStr">
        <is>
          <t>TMV</t>
        </is>
      </c>
      <c r="B6" s="6" t="inlineStr">
        <is>
          <t>ARS</t>
        </is>
      </c>
      <c r="C6" s="6" t="inlineStr">
        <is>
          <t>2 Costos de Explotación</t>
        </is>
      </c>
      <c r="D6" s="6" t="inlineStr">
        <is>
          <t>2.1 Remuneraciones</t>
        </is>
      </c>
      <c r="E6" s="6" t="inlineStr">
        <is>
          <t>Operadores</t>
        </is>
      </c>
      <c r="F6" s="6" t="inlineStr">
        <is>
          <t>pos_sal</t>
        </is>
      </c>
      <c r="G6" s="24" t="n">
        <v>-19388811.03</v>
      </c>
      <c r="H6" s="24">
        <f>$G6*Supuestos!D$10*(Drivers!D$9/Drivers!$C$9)</f>
        <v/>
      </c>
      <c r="I6" s="24">
        <f>$G6*Supuestos!E$10*(Drivers!E$9/Drivers!$C$9)</f>
        <v/>
      </c>
      <c r="J6" s="24">
        <f>$G6*Supuestos!F$10*(Drivers!F$9/Drivers!$C$9)</f>
        <v/>
      </c>
      <c r="K6" s="24">
        <f>$G6*Supuestos!G$10*(Drivers!G$9/Drivers!$C$9)</f>
        <v/>
      </c>
      <c r="L6" s="24">
        <f>$G6*Supuestos!H$10*(Drivers!H$9/Drivers!$C$9)</f>
        <v/>
      </c>
      <c r="M6" s="24">
        <f>$G6*Supuestos!I$10*(Drivers!I$9/Drivers!$C$9)</f>
        <v/>
      </c>
      <c r="N6" s="24">
        <f>$G6*Supuestos!J$10*(Drivers!J$9/Drivers!$C$9)</f>
        <v/>
      </c>
      <c r="O6" s="24">
        <f>$G6*Supuestos!K$10*(Drivers!K$9/Drivers!$C$9)</f>
        <v/>
      </c>
      <c r="P6" s="24">
        <f>$G6*Supuestos!L$10*(Drivers!L$9/Drivers!$C$9)</f>
        <v/>
      </c>
      <c r="Q6" s="24">
        <f>$G6*Supuestos!M$10*(Drivers!M$9/Drivers!$C$9)</f>
        <v/>
      </c>
      <c r="R6" s="24">
        <f>$G6*Supuestos!N$10*(Drivers!N$9/Drivers!$C$9)</f>
        <v/>
      </c>
      <c r="S6" s="24">
        <f>$G6*Supuestos!O$10*(Drivers!O$9/Drivers!$C$9)</f>
        <v/>
      </c>
      <c r="T6" s="24">
        <f>$G6*Supuestos!P$10*(Drivers!P$9/Drivers!$C$9)</f>
        <v/>
      </c>
      <c r="U6" s="24">
        <f>$G6*Supuestos!Q$10*(Drivers!Q$9/Drivers!$C$9)</f>
        <v/>
      </c>
      <c r="V6" s="24">
        <f>$G6*Supuestos!R$10*(Drivers!R$9/Drivers!$C$9)</f>
        <v/>
      </c>
    </row>
    <row r="7">
      <c r="A7" s="6" t="inlineStr">
        <is>
          <t>TMV</t>
        </is>
      </c>
      <c r="B7" s="6" t="inlineStr">
        <is>
          <t>ARS</t>
        </is>
      </c>
      <c r="C7" s="6" t="inlineStr">
        <is>
          <t>2 Costos de Explotación</t>
        </is>
      </c>
      <c r="D7" s="6" t="inlineStr">
        <is>
          <t>2.1 Remuneraciones</t>
        </is>
      </c>
      <c r="E7" s="6" t="inlineStr">
        <is>
          <t>Supervisión</t>
        </is>
      </c>
      <c r="F7" s="6" t="inlineStr">
        <is>
          <t>pos_sal</t>
        </is>
      </c>
      <c r="G7" s="24" t="n">
        <v>-4170292.04</v>
      </c>
      <c r="H7" s="24">
        <f>$G7*Supuestos!D$10*(Drivers!D$9/Drivers!$C$9)</f>
        <v/>
      </c>
      <c r="I7" s="24">
        <f>$G7*Supuestos!E$10*(Drivers!E$9/Drivers!$C$9)</f>
        <v/>
      </c>
      <c r="J7" s="24">
        <f>$G7*Supuestos!F$10*(Drivers!F$9/Drivers!$C$9)</f>
        <v/>
      </c>
      <c r="K7" s="24">
        <f>$G7*Supuestos!G$10*(Drivers!G$9/Drivers!$C$9)</f>
        <v/>
      </c>
      <c r="L7" s="24">
        <f>$G7*Supuestos!H$10*(Drivers!H$9/Drivers!$C$9)</f>
        <v/>
      </c>
      <c r="M7" s="24">
        <f>$G7*Supuestos!I$10*(Drivers!I$9/Drivers!$C$9)</f>
        <v/>
      </c>
      <c r="N7" s="24">
        <f>$G7*Supuestos!J$10*(Drivers!J$9/Drivers!$C$9)</f>
        <v/>
      </c>
      <c r="O7" s="24">
        <f>$G7*Supuestos!K$10*(Drivers!K$9/Drivers!$C$9)</f>
        <v/>
      </c>
      <c r="P7" s="24">
        <f>$G7*Supuestos!L$10*(Drivers!L$9/Drivers!$C$9)</f>
        <v/>
      </c>
      <c r="Q7" s="24">
        <f>$G7*Supuestos!M$10*(Drivers!M$9/Drivers!$C$9)</f>
        <v/>
      </c>
      <c r="R7" s="24">
        <f>$G7*Supuestos!N$10*(Drivers!N$9/Drivers!$C$9)</f>
        <v/>
      </c>
      <c r="S7" s="24">
        <f>$G7*Supuestos!O$10*(Drivers!O$9/Drivers!$C$9)</f>
        <v/>
      </c>
      <c r="T7" s="24">
        <f>$G7*Supuestos!P$10*(Drivers!P$9/Drivers!$C$9)</f>
        <v/>
      </c>
      <c r="U7" s="24">
        <f>$G7*Supuestos!Q$10*(Drivers!Q$9/Drivers!$C$9)</f>
        <v/>
      </c>
      <c r="V7" s="24">
        <f>$G7*Supuestos!R$10*(Drivers!R$9/Drivers!$C$9)</f>
        <v/>
      </c>
    </row>
    <row r="8">
      <c r="A8" s="6" t="inlineStr">
        <is>
          <t>TMV</t>
        </is>
      </c>
      <c r="B8" s="6" t="inlineStr">
        <is>
          <t>ARS</t>
        </is>
      </c>
      <c r="C8" s="6" t="inlineStr">
        <is>
          <t>2 Costos de Explotación</t>
        </is>
      </c>
      <c r="D8" s="6" t="inlineStr">
        <is>
          <t>2.1 Remuneraciones</t>
        </is>
      </c>
      <c r="E8" s="6" t="inlineStr">
        <is>
          <t>Calidad</t>
        </is>
      </c>
      <c r="F8" s="6" t="inlineStr">
        <is>
          <t>pos_sal</t>
        </is>
      </c>
      <c r="G8" s="24" t="n">
        <v>-986520.95</v>
      </c>
      <c r="H8" s="24">
        <f>$G8*Supuestos!D$10*(Drivers!D$9/Drivers!$C$9)</f>
        <v/>
      </c>
      <c r="I8" s="24">
        <f>$G8*Supuestos!E$10*(Drivers!E$9/Drivers!$C$9)</f>
        <v/>
      </c>
      <c r="J8" s="24">
        <f>$G8*Supuestos!F$10*(Drivers!F$9/Drivers!$C$9)</f>
        <v/>
      </c>
      <c r="K8" s="24">
        <f>$G8*Supuestos!G$10*(Drivers!G$9/Drivers!$C$9)</f>
        <v/>
      </c>
      <c r="L8" s="24">
        <f>$G8*Supuestos!H$10*(Drivers!H$9/Drivers!$C$9)</f>
        <v/>
      </c>
      <c r="M8" s="24">
        <f>$G8*Supuestos!I$10*(Drivers!I$9/Drivers!$C$9)</f>
        <v/>
      </c>
      <c r="N8" s="24">
        <f>$G8*Supuestos!J$10*(Drivers!J$9/Drivers!$C$9)</f>
        <v/>
      </c>
      <c r="O8" s="24">
        <f>$G8*Supuestos!K$10*(Drivers!K$9/Drivers!$C$9)</f>
        <v/>
      </c>
      <c r="P8" s="24">
        <f>$G8*Supuestos!L$10*(Drivers!L$9/Drivers!$C$9)</f>
        <v/>
      </c>
      <c r="Q8" s="24">
        <f>$G8*Supuestos!M$10*(Drivers!M$9/Drivers!$C$9)</f>
        <v/>
      </c>
      <c r="R8" s="24">
        <f>$G8*Supuestos!N$10*(Drivers!N$9/Drivers!$C$9)</f>
        <v/>
      </c>
      <c r="S8" s="24">
        <f>$G8*Supuestos!O$10*(Drivers!O$9/Drivers!$C$9)</f>
        <v/>
      </c>
      <c r="T8" s="24">
        <f>$G8*Supuestos!P$10*(Drivers!P$9/Drivers!$C$9)</f>
        <v/>
      </c>
      <c r="U8" s="24">
        <f>$G8*Supuestos!Q$10*(Drivers!Q$9/Drivers!$C$9)</f>
        <v/>
      </c>
      <c r="V8" s="24">
        <f>$G8*Supuestos!R$10*(Drivers!R$9/Drivers!$C$9)</f>
        <v/>
      </c>
    </row>
    <row r="9">
      <c r="A9" s="6" t="inlineStr">
        <is>
          <t>TMV</t>
        </is>
      </c>
      <c r="B9" s="6" t="inlineStr">
        <is>
          <t>ARS</t>
        </is>
      </c>
      <c r="C9" s="6" t="inlineStr">
        <is>
          <t>2 Costos de Explotación</t>
        </is>
      </c>
      <c r="D9" s="6" t="inlineStr">
        <is>
          <t>2.1 Remuneraciones</t>
        </is>
      </c>
      <c r="E9" s="6" t="inlineStr">
        <is>
          <t>Back Office</t>
        </is>
      </c>
      <c r="F9" s="6" t="inlineStr">
        <is>
          <t>pos_sal</t>
        </is>
      </c>
      <c r="G9" s="24" t="n">
        <v>-672628.03</v>
      </c>
      <c r="H9" s="24">
        <f>$G9*Supuestos!D$10*(Drivers!D$9/Drivers!$C$9)</f>
        <v/>
      </c>
      <c r="I9" s="24">
        <f>$G9*Supuestos!E$10*(Drivers!E$9/Drivers!$C$9)</f>
        <v/>
      </c>
      <c r="J9" s="24">
        <f>$G9*Supuestos!F$10*(Drivers!F$9/Drivers!$C$9)</f>
        <v/>
      </c>
      <c r="K9" s="24">
        <f>$G9*Supuestos!G$10*(Drivers!G$9/Drivers!$C$9)</f>
        <v/>
      </c>
      <c r="L9" s="24">
        <f>$G9*Supuestos!H$10*(Drivers!H$9/Drivers!$C$9)</f>
        <v/>
      </c>
      <c r="M9" s="24">
        <f>$G9*Supuestos!I$10*(Drivers!I$9/Drivers!$C$9)</f>
        <v/>
      </c>
      <c r="N9" s="24">
        <f>$G9*Supuestos!J$10*(Drivers!J$9/Drivers!$C$9)</f>
        <v/>
      </c>
      <c r="O9" s="24">
        <f>$G9*Supuestos!K$10*(Drivers!K$9/Drivers!$C$9)</f>
        <v/>
      </c>
      <c r="P9" s="24">
        <f>$G9*Supuestos!L$10*(Drivers!L$9/Drivers!$C$9)</f>
        <v/>
      </c>
      <c r="Q9" s="24">
        <f>$G9*Supuestos!M$10*(Drivers!M$9/Drivers!$C$9)</f>
        <v/>
      </c>
      <c r="R9" s="24">
        <f>$G9*Supuestos!N$10*(Drivers!N$9/Drivers!$C$9)</f>
        <v/>
      </c>
      <c r="S9" s="24">
        <f>$G9*Supuestos!O$10*(Drivers!O$9/Drivers!$C$9)</f>
        <v/>
      </c>
      <c r="T9" s="24">
        <f>$G9*Supuestos!P$10*(Drivers!P$9/Drivers!$C$9)</f>
        <v/>
      </c>
      <c r="U9" s="24">
        <f>$G9*Supuestos!Q$10*(Drivers!Q$9/Drivers!$C$9)</f>
        <v/>
      </c>
      <c r="V9" s="24">
        <f>$G9*Supuestos!R$10*(Drivers!R$9/Drivers!$C$9)</f>
        <v/>
      </c>
    </row>
    <row r="10">
      <c r="A10" s="6" t="inlineStr">
        <is>
          <t>TMV</t>
        </is>
      </c>
      <c r="B10" s="6" t="inlineStr">
        <is>
          <t>ARS</t>
        </is>
      </c>
      <c r="C10" s="6" t="inlineStr">
        <is>
          <t>2 Costos de Explotación</t>
        </is>
      </c>
      <c r="D10" s="6" t="inlineStr">
        <is>
          <t>2.1 Remuneraciones</t>
        </is>
      </c>
      <c r="E10" s="6" t="inlineStr">
        <is>
          <t>Ejecutivos de cuenta</t>
        </is>
      </c>
      <c r="F10" s="6" t="inlineStr">
        <is>
          <t>pos_sal</t>
        </is>
      </c>
      <c r="G10" s="24" t="n">
        <v>-1277993.13</v>
      </c>
      <c r="H10" s="24">
        <f>$G10*Supuestos!D$10*(Drivers!D$9/Drivers!$C$9)</f>
        <v/>
      </c>
      <c r="I10" s="24">
        <f>$G10*Supuestos!E$10*(Drivers!E$9/Drivers!$C$9)</f>
        <v/>
      </c>
      <c r="J10" s="24">
        <f>$G10*Supuestos!F$10*(Drivers!F$9/Drivers!$C$9)</f>
        <v/>
      </c>
      <c r="K10" s="24">
        <f>$G10*Supuestos!G$10*(Drivers!G$9/Drivers!$C$9)</f>
        <v/>
      </c>
      <c r="L10" s="24">
        <f>$G10*Supuestos!H$10*(Drivers!H$9/Drivers!$C$9)</f>
        <v/>
      </c>
      <c r="M10" s="24">
        <f>$G10*Supuestos!I$10*(Drivers!I$9/Drivers!$C$9)</f>
        <v/>
      </c>
      <c r="N10" s="24">
        <f>$G10*Supuestos!J$10*(Drivers!J$9/Drivers!$C$9)</f>
        <v/>
      </c>
      <c r="O10" s="24">
        <f>$G10*Supuestos!K$10*(Drivers!K$9/Drivers!$C$9)</f>
        <v/>
      </c>
      <c r="P10" s="24">
        <f>$G10*Supuestos!L$10*(Drivers!L$9/Drivers!$C$9)</f>
        <v/>
      </c>
      <c r="Q10" s="24">
        <f>$G10*Supuestos!M$10*(Drivers!M$9/Drivers!$C$9)</f>
        <v/>
      </c>
      <c r="R10" s="24">
        <f>$G10*Supuestos!N$10*(Drivers!N$9/Drivers!$C$9)</f>
        <v/>
      </c>
      <c r="S10" s="24">
        <f>$G10*Supuestos!O$10*(Drivers!O$9/Drivers!$C$9)</f>
        <v/>
      </c>
      <c r="T10" s="24">
        <f>$G10*Supuestos!P$10*(Drivers!P$9/Drivers!$C$9)</f>
        <v/>
      </c>
      <c r="U10" s="24">
        <f>$G10*Supuestos!Q$10*(Drivers!Q$9/Drivers!$C$9)</f>
        <v/>
      </c>
      <c r="V10" s="24">
        <f>$G10*Supuestos!R$10*(Drivers!R$9/Drivers!$C$9)</f>
        <v/>
      </c>
    </row>
    <row r="11">
      <c r="A11" s="6" t="inlineStr">
        <is>
          <t>TMV</t>
        </is>
      </c>
      <c r="B11" s="6" t="inlineStr">
        <is>
          <t>ARS</t>
        </is>
      </c>
      <c r="C11" s="6" t="inlineStr">
        <is>
          <t>2 Costos de Explotación</t>
        </is>
      </c>
      <c r="D11" s="6" t="inlineStr">
        <is>
          <t>2.1 Remuneraciones</t>
        </is>
      </c>
      <c r="E11" s="6" t="inlineStr">
        <is>
          <t>Gerencia de Operaciones</t>
        </is>
      </c>
      <c r="F11" s="6" t="inlineStr">
        <is>
          <t>pos_sal</t>
        </is>
      </c>
      <c r="G11" s="24" t="n">
        <v>-1434939.42</v>
      </c>
      <c r="H11" s="24">
        <f>$G11*Supuestos!D$10*(Drivers!D$9/Drivers!$C$9)</f>
        <v/>
      </c>
      <c r="I11" s="24">
        <f>$G11*Supuestos!E$10*(Drivers!E$9/Drivers!$C$9)</f>
        <v/>
      </c>
      <c r="J11" s="24">
        <f>$G11*Supuestos!F$10*(Drivers!F$9/Drivers!$C$9)</f>
        <v/>
      </c>
      <c r="K11" s="24">
        <f>$G11*Supuestos!G$10*(Drivers!G$9/Drivers!$C$9)</f>
        <v/>
      </c>
      <c r="L11" s="24">
        <f>$G11*Supuestos!H$10*(Drivers!H$9/Drivers!$C$9)</f>
        <v/>
      </c>
      <c r="M11" s="24">
        <f>$G11*Supuestos!I$10*(Drivers!I$9/Drivers!$C$9)</f>
        <v/>
      </c>
      <c r="N11" s="24">
        <f>$G11*Supuestos!J$10*(Drivers!J$9/Drivers!$C$9)</f>
        <v/>
      </c>
      <c r="O11" s="24">
        <f>$G11*Supuestos!K$10*(Drivers!K$9/Drivers!$C$9)</f>
        <v/>
      </c>
      <c r="P11" s="24">
        <f>$G11*Supuestos!L$10*(Drivers!L$9/Drivers!$C$9)</f>
        <v/>
      </c>
      <c r="Q11" s="24">
        <f>$G11*Supuestos!M$10*(Drivers!M$9/Drivers!$C$9)</f>
        <v/>
      </c>
      <c r="R11" s="24">
        <f>$G11*Supuestos!N$10*(Drivers!N$9/Drivers!$C$9)</f>
        <v/>
      </c>
      <c r="S11" s="24">
        <f>$G11*Supuestos!O$10*(Drivers!O$9/Drivers!$C$9)</f>
        <v/>
      </c>
      <c r="T11" s="24">
        <f>$G11*Supuestos!P$10*(Drivers!P$9/Drivers!$C$9)</f>
        <v/>
      </c>
      <c r="U11" s="24">
        <f>$G11*Supuestos!Q$10*(Drivers!Q$9/Drivers!$C$9)</f>
        <v/>
      </c>
      <c r="V11" s="24">
        <f>$G11*Supuestos!R$10*(Drivers!R$9/Drivers!$C$9)</f>
        <v/>
      </c>
    </row>
    <row r="12">
      <c r="A12" s="6" t="inlineStr">
        <is>
          <t>TMV</t>
        </is>
      </c>
      <c r="B12" s="6" t="inlineStr">
        <is>
          <t>ARS</t>
        </is>
      </c>
      <c r="C12" s="6" t="inlineStr">
        <is>
          <t>2 Costos de Explotación</t>
        </is>
      </c>
      <c r="D12" s="6" t="inlineStr">
        <is>
          <t>2.1 Remuneraciones</t>
        </is>
      </c>
      <c r="E12" s="6" t="inlineStr">
        <is>
          <t>Indemnizaciones</t>
        </is>
      </c>
      <c r="F12" s="6" t="inlineStr">
        <is>
          <t>zero</t>
        </is>
      </c>
      <c r="G12" s="24" t="n">
        <v>-225265.47</v>
      </c>
      <c r="H12" s="24">
        <f>0</f>
        <v/>
      </c>
      <c r="I12" s="24">
        <f>0</f>
        <v/>
      </c>
      <c r="J12" s="24">
        <f>0</f>
        <v/>
      </c>
      <c r="K12" s="24">
        <f>0</f>
        <v/>
      </c>
      <c r="L12" s="24">
        <f>0</f>
        <v/>
      </c>
      <c r="M12" s="24">
        <f>0</f>
        <v/>
      </c>
      <c r="N12" s="24">
        <f>0</f>
        <v/>
      </c>
      <c r="O12" s="24">
        <f>0</f>
        <v/>
      </c>
      <c r="P12" s="24">
        <f>0</f>
        <v/>
      </c>
      <c r="Q12" s="24">
        <f>0</f>
        <v/>
      </c>
      <c r="R12" s="24">
        <f>0</f>
        <v/>
      </c>
      <c r="S12" s="24">
        <f>0</f>
        <v/>
      </c>
      <c r="T12" s="24">
        <f>0</f>
        <v/>
      </c>
      <c r="U12" s="24">
        <f>0</f>
        <v/>
      </c>
      <c r="V12" s="24">
        <f>0</f>
        <v/>
      </c>
    </row>
    <row r="13">
      <c r="A13" s="6" t="inlineStr">
        <is>
          <t>TMV</t>
        </is>
      </c>
      <c r="B13" s="6" t="inlineStr">
        <is>
          <t>ARS</t>
        </is>
      </c>
      <c r="C13" s="6" t="inlineStr">
        <is>
          <t>2 Costos de Explotación</t>
        </is>
      </c>
      <c r="D13" s="6" t="inlineStr">
        <is>
          <t>2.2 Servicios de Terceros</t>
        </is>
      </c>
      <c r="E13" s="6" t="inlineStr">
        <is>
          <t>Posiciones Paraguay</t>
        </is>
      </c>
      <c r="F13" s="6" t="inlineStr">
        <is>
          <t>pos_usd</t>
        </is>
      </c>
      <c r="G13" s="24" t="n">
        <v>-7098000</v>
      </c>
      <c r="H13" s="24">
        <f>$G13*Supuestos!D$8*(Drivers!D$9/Drivers!$C$9)</f>
        <v/>
      </c>
      <c r="I13" s="24">
        <f>$G13*Supuestos!E$8*(Drivers!E$9/Drivers!$C$9)</f>
        <v/>
      </c>
      <c r="J13" s="24">
        <f>$G13*Supuestos!F$8*(Drivers!F$9/Drivers!$C$9)</f>
        <v/>
      </c>
      <c r="K13" s="24">
        <f>$G13*Supuestos!G$8*(Drivers!G$9/Drivers!$C$9)</f>
        <v/>
      </c>
      <c r="L13" s="24">
        <f>$G13*Supuestos!H$8*(Drivers!H$9/Drivers!$C$9)</f>
        <v/>
      </c>
      <c r="M13" s="24">
        <f>$G13*Supuestos!I$8*(Drivers!I$9/Drivers!$C$9)</f>
        <v/>
      </c>
      <c r="N13" s="24">
        <f>$G13*Supuestos!J$8*(Drivers!J$9/Drivers!$C$9)</f>
        <v/>
      </c>
      <c r="O13" s="24">
        <f>$G13*Supuestos!K$8*(Drivers!K$9/Drivers!$C$9)</f>
        <v/>
      </c>
      <c r="P13" s="24">
        <f>$G13*Supuestos!L$8*(Drivers!L$9/Drivers!$C$9)</f>
        <v/>
      </c>
      <c r="Q13" s="24">
        <f>$G13*Supuestos!M$8*(Drivers!M$9/Drivers!$C$9)</f>
        <v/>
      </c>
      <c r="R13" s="24">
        <f>$G13*Supuestos!N$8*(Drivers!N$9/Drivers!$C$9)</f>
        <v/>
      </c>
      <c r="S13" s="24">
        <f>$G13*Supuestos!O$8*(Drivers!O$9/Drivers!$C$9)</f>
        <v/>
      </c>
      <c r="T13" s="24">
        <f>$G13*Supuestos!P$8*(Drivers!P$9/Drivers!$C$9)</f>
        <v/>
      </c>
      <c r="U13" s="24">
        <f>$G13*Supuestos!Q$8*(Drivers!Q$9/Drivers!$C$9)</f>
        <v/>
      </c>
      <c r="V13" s="24">
        <f>$G13*Supuestos!R$8*(Drivers!R$9/Drivers!$C$9)</f>
        <v/>
      </c>
    </row>
    <row r="14">
      <c r="A14" s="6" t="inlineStr">
        <is>
          <t>TMV</t>
        </is>
      </c>
      <c r="B14" s="6" t="inlineStr">
        <is>
          <t>ARS</t>
        </is>
      </c>
      <c r="C14" s="6" t="inlineStr">
        <is>
          <t>2 Costos de Explotación</t>
        </is>
      </c>
      <c r="D14" s="6" t="inlineStr">
        <is>
          <t>2.3 Licencias</t>
        </is>
      </c>
      <c r="E14" s="6" t="inlineStr">
        <is>
          <t>Licencias discador/CRM</t>
        </is>
      </c>
      <c r="F14" s="6" t="inlineStr">
        <is>
          <t>pos_usd</t>
        </is>
      </c>
      <c r="G14" s="24" t="n">
        <v>-1842750</v>
      </c>
      <c r="H14" s="24">
        <f>$G14*Supuestos!D$8*(Drivers!D$9/Drivers!$C$9)</f>
        <v/>
      </c>
      <c r="I14" s="24">
        <f>$G14*Supuestos!E$8*(Drivers!E$9/Drivers!$C$9)</f>
        <v/>
      </c>
      <c r="J14" s="24">
        <f>$G14*Supuestos!F$8*(Drivers!F$9/Drivers!$C$9)</f>
        <v/>
      </c>
      <c r="K14" s="24">
        <f>$G14*Supuestos!G$8*(Drivers!G$9/Drivers!$C$9)</f>
        <v/>
      </c>
      <c r="L14" s="24">
        <f>$G14*Supuestos!H$8*(Drivers!H$9/Drivers!$C$9)</f>
        <v/>
      </c>
      <c r="M14" s="24">
        <f>$G14*Supuestos!I$8*(Drivers!I$9/Drivers!$C$9)</f>
        <v/>
      </c>
      <c r="N14" s="24">
        <f>$G14*Supuestos!J$8*(Drivers!J$9/Drivers!$C$9)</f>
        <v/>
      </c>
      <c r="O14" s="24">
        <f>$G14*Supuestos!K$8*(Drivers!K$9/Drivers!$C$9)</f>
        <v/>
      </c>
      <c r="P14" s="24">
        <f>$G14*Supuestos!L$8*(Drivers!L$9/Drivers!$C$9)</f>
        <v/>
      </c>
      <c r="Q14" s="24">
        <f>$G14*Supuestos!M$8*(Drivers!M$9/Drivers!$C$9)</f>
        <v/>
      </c>
      <c r="R14" s="24">
        <f>$G14*Supuestos!N$8*(Drivers!N$9/Drivers!$C$9)</f>
        <v/>
      </c>
      <c r="S14" s="24">
        <f>$G14*Supuestos!O$8*(Drivers!O$9/Drivers!$C$9)</f>
        <v/>
      </c>
      <c r="T14" s="24">
        <f>$G14*Supuestos!P$8*(Drivers!P$9/Drivers!$C$9)</f>
        <v/>
      </c>
      <c r="U14" s="24">
        <f>$G14*Supuestos!Q$8*(Drivers!Q$9/Drivers!$C$9)</f>
        <v/>
      </c>
      <c r="V14" s="24">
        <f>$G14*Supuestos!R$8*(Drivers!R$9/Drivers!$C$9)</f>
        <v/>
      </c>
    </row>
    <row r="15">
      <c r="A15" s="6" t="inlineStr">
        <is>
          <t>TMV</t>
        </is>
      </c>
      <c r="B15" s="6" t="inlineStr">
        <is>
          <t>ARS</t>
        </is>
      </c>
      <c r="C15" s="6" t="inlineStr">
        <is>
          <t>2 Costos de Explotación</t>
        </is>
      </c>
      <c r="D15" s="6" t="inlineStr">
        <is>
          <t>2.5 Telefonía</t>
        </is>
      </c>
      <c r="E15" s="6" t="inlineStr">
        <is>
          <t>Telefonía celular</t>
        </is>
      </c>
      <c r="F15" s="6" t="inlineStr">
        <is>
          <t>pos_inf</t>
        </is>
      </c>
      <c r="G15" s="24" t="n">
        <v>-1202036.99</v>
      </c>
      <c r="H15" s="24">
        <f>$G15*Supuestos!D$6*(Drivers!D$9/Drivers!$C$9)</f>
        <v/>
      </c>
      <c r="I15" s="24">
        <f>$G15*Supuestos!E$6*(Drivers!E$9/Drivers!$C$9)</f>
        <v/>
      </c>
      <c r="J15" s="24">
        <f>$G15*Supuestos!F$6*(Drivers!F$9/Drivers!$C$9)</f>
        <v/>
      </c>
      <c r="K15" s="24">
        <f>$G15*Supuestos!G$6*(Drivers!G$9/Drivers!$C$9)</f>
        <v/>
      </c>
      <c r="L15" s="24">
        <f>$G15*Supuestos!H$6*(Drivers!H$9/Drivers!$C$9)</f>
        <v/>
      </c>
      <c r="M15" s="24">
        <f>$G15*Supuestos!I$6*(Drivers!I$9/Drivers!$C$9)</f>
        <v/>
      </c>
      <c r="N15" s="24">
        <f>$G15*Supuestos!J$6*(Drivers!J$9/Drivers!$C$9)</f>
        <v/>
      </c>
      <c r="O15" s="24">
        <f>$G15*Supuestos!K$6*(Drivers!K$9/Drivers!$C$9)</f>
        <v/>
      </c>
      <c r="P15" s="24">
        <f>$G15*Supuestos!L$6*(Drivers!L$9/Drivers!$C$9)</f>
        <v/>
      </c>
      <c r="Q15" s="24">
        <f>$G15*Supuestos!M$6*(Drivers!M$9/Drivers!$C$9)</f>
        <v/>
      </c>
      <c r="R15" s="24">
        <f>$G15*Supuestos!N$6*(Drivers!N$9/Drivers!$C$9)</f>
        <v/>
      </c>
      <c r="S15" s="24">
        <f>$G15*Supuestos!O$6*(Drivers!O$9/Drivers!$C$9)</f>
        <v/>
      </c>
      <c r="T15" s="24">
        <f>$G15*Supuestos!P$6*(Drivers!P$9/Drivers!$C$9)</f>
        <v/>
      </c>
      <c r="U15" s="24">
        <f>$G15*Supuestos!Q$6*(Drivers!Q$9/Drivers!$C$9)</f>
        <v/>
      </c>
      <c r="V15" s="24">
        <f>$G15*Supuestos!R$6*(Drivers!R$9/Drivers!$C$9)</f>
        <v/>
      </c>
    </row>
    <row r="16">
      <c r="A16" s="6" t="inlineStr">
        <is>
          <t>TMV</t>
        </is>
      </c>
      <c r="B16" s="6" t="inlineStr">
        <is>
          <t>ARS</t>
        </is>
      </c>
      <c r="C16" s="6" t="inlineStr">
        <is>
          <t>2 Costos de Explotación</t>
        </is>
      </c>
      <c r="D16" s="6" t="inlineStr">
        <is>
          <t>2.5 Telefonía</t>
        </is>
      </c>
      <c r="E16" s="6" t="inlineStr">
        <is>
          <t>Telefonía LDN</t>
        </is>
      </c>
      <c r="F16" s="6" t="inlineStr">
        <is>
          <t>pos_inf</t>
        </is>
      </c>
      <c r="G16" s="24" t="n">
        <v>-309095.1</v>
      </c>
      <c r="H16" s="24">
        <f>$G16*Supuestos!D$6*(Drivers!D$9/Drivers!$C$9)</f>
        <v/>
      </c>
      <c r="I16" s="24">
        <f>$G16*Supuestos!E$6*(Drivers!E$9/Drivers!$C$9)</f>
        <v/>
      </c>
      <c r="J16" s="24">
        <f>$G16*Supuestos!F$6*(Drivers!F$9/Drivers!$C$9)</f>
        <v/>
      </c>
      <c r="K16" s="24">
        <f>$G16*Supuestos!G$6*(Drivers!G$9/Drivers!$C$9)</f>
        <v/>
      </c>
      <c r="L16" s="24">
        <f>$G16*Supuestos!H$6*(Drivers!H$9/Drivers!$C$9)</f>
        <v/>
      </c>
      <c r="M16" s="24">
        <f>$G16*Supuestos!I$6*(Drivers!I$9/Drivers!$C$9)</f>
        <v/>
      </c>
      <c r="N16" s="24">
        <f>$G16*Supuestos!J$6*(Drivers!J$9/Drivers!$C$9)</f>
        <v/>
      </c>
      <c r="O16" s="24">
        <f>$G16*Supuestos!K$6*(Drivers!K$9/Drivers!$C$9)</f>
        <v/>
      </c>
      <c r="P16" s="24">
        <f>$G16*Supuestos!L$6*(Drivers!L$9/Drivers!$C$9)</f>
        <v/>
      </c>
      <c r="Q16" s="24">
        <f>$G16*Supuestos!M$6*(Drivers!M$9/Drivers!$C$9)</f>
        <v/>
      </c>
      <c r="R16" s="24">
        <f>$G16*Supuestos!N$6*(Drivers!N$9/Drivers!$C$9)</f>
        <v/>
      </c>
      <c r="S16" s="24">
        <f>$G16*Supuestos!O$6*(Drivers!O$9/Drivers!$C$9)</f>
        <v/>
      </c>
      <c r="T16" s="24">
        <f>$G16*Supuestos!P$6*(Drivers!P$9/Drivers!$C$9)</f>
        <v/>
      </c>
      <c r="U16" s="24">
        <f>$G16*Supuestos!Q$6*(Drivers!Q$9/Drivers!$C$9)</f>
        <v/>
      </c>
      <c r="V16" s="24">
        <f>$G16*Supuestos!R$6*(Drivers!R$9/Drivers!$C$9)</f>
        <v/>
      </c>
    </row>
    <row r="17">
      <c r="A17" s="6" t="inlineStr">
        <is>
          <t>TMV</t>
        </is>
      </c>
      <c r="B17" s="6" t="inlineStr">
        <is>
          <t>ARS</t>
        </is>
      </c>
      <c r="C17" s="6" t="inlineStr">
        <is>
          <t>2 Costos de Explotación</t>
        </is>
      </c>
      <c r="D17" s="6" t="inlineStr">
        <is>
          <t>2.5 Telefonía</t>
        </is>
      </c>
      <c r="E17" s="6" t="inlineStr">
        <is>
          <t>Telefonía local y 0800</t>
        </is>
      </c>
      <c r="F17" s="6" t="inlineStr">
        <is>
          <t>pos_inf</t>
        </is>
      </c>
      <c r="G17" s="24" t="n">
        <v>-206063.51</v>
      </c>
      <c r="H17" s="24">
        <f>$G17*Supuestos!D$6*(Drivers!D$9/Drivers!$C$9)</f>
        <v/>
      </c>
      <c r="I17" s="24">
        <f>$G17*Supuestos!E$6*(Drivers!E$9/Drivers!$C$9)</f>
        <v/>
      </c>
      <c r="J17" s="24">
        <f>$G17*Supuestos!F$6*(Drivers!F$9/Drivers!$C$9)</f>
        <v/>
      </c>
      <c r="K17" s="24">
        <f>$G17*Supuestos!G$6*(Drivers!G$9/Drivers!$C$9)</f>
        <v/>
      </c>
      <c r="L17" s="24">
        <f>$G17*Supuestos!H$6*(Drivers!H$9/Drivers!$C$9)</f>
        <v/>
      </c>
      <c r="M17" s="24">
        <f>$G17*Supuestos!I$6*(Drivers!I$9/Drivers!$C$9)</f>
        <v/>
      </c>
      <c r="N17" s="24">
        <f>$G17*Supuestos!J$6*(Drivers!J$9/Drivers!$C$9)</f>
        <v/>
      </c>
      <c r="O17" s="24">
        <f>$G17*Supuestos!K$6*(Drivers!K$9/Drivers!$C$9)</f>
        <v/>
      </c>
      <c r="P17" s="24">
        <f>$G17*Supuestos!L$6*(Drivers!L$9/Drivers!$C$9)</f>
        <v/>
      </c>
      <c r="Q17" s="24">
        <f>$G17*Supuestos!M$6*(Drivers!M$9/Drivers!$C$9)</f>
        <v/>
      </c>
      <c r="R17" s="24">
        <f>$G17*Supuestos!N$6*(Drivers!N$9/Drivers!$C$9)</f>
        <v/>
      </c>
      <c r="S17" s="24">
        <f>$G17*Supuestos!O$6*(Drivers!O$9/Drivers!$C$9)</f>
        <v/>
      </c>
      <c r="T17" s="24">
        <f>$G17*Supuestos!P$6*(Drivers!P$9/Drivers!$C$9)</f>
        <v/>
      </c>
      <c r="U17" s="24">
        <f>$G17*Supuestos!Q$6*(Drivers!Q$9/Drivers!$C$9)</f>
        <v/>
      </c>
      <c r="V17" s="24">
        <f>$G17*Supuestos!R$6*(Drivers!R$9/Drivers!$C$9)</f>
        <v/>
      </c>
    </row>
    <row r="18">
      <c r="A18" s="6" t="inlineStr">
        <is>
          <t>TMV</t>
        </is>
      </c>
      <c r="B18" s="6" t="inlineStr">
        <is>
          <t>ARS</t>
        </is>
      </c>
      <c r="C18" s="6" t="inlineStr">
        <is>
          <t>2 Costos de Explotación</t>
        </is>
      </c>
      <c r="D18" s="6" t="inlineStr">
        <is>
          <t>2.6 SMS</t>
        </is>
      </c>
      <c r="E18" s="6" t="inlineStr">
        <is>
          <t>SMS</t>
        </is>
      </c>
      <c r="F18" s="6" t="inlineStr">
        <is>
          <t>sms</t>
        </is>
      </c>
      <c r="G18" s="24" t="n">
        <v>-1994875.26</v>
      </c>
      <c r="H18" s="24">
        <f>$G18*Supuestos!D$12*(Drivers!D$6/100)</f>
        <v/>
      </c>
      <c r="I18" s="24">
        <f>$G18*Supuestos!E$12*(Drivers!E$6/100)</f>
        <v/>
      </c>
      <c r="J18" s="24">
        <f>$G18*Supuestos!F$12*(Drivers!F$6/100)</f>
        <v/>
      </c>
      <c r="K18" s="24">
        <f>$G18*Supuestos!G$12*(Drivers!G$6/100)</f>
        <v/>
      </c>
      <c r="L18" s="24">
        <f>$G18*Supuestos!H$12*(Drivers!H$6/100)</f>
        <v/>
      </c>
      <c r="M18" s="24">
        <f>$G18*Supuestos!I$12*(Drivers!I$6/100)</f>
        <v/>
      </c>
      <c r="N18" s="24">
        <f>$G18*Supuestos!J$12*(Drivers!J$6/100)</f>
        <v/>
      </c>
      <c r="O18" s="24">
        <f>$G18*Supuestos!K$12*(Drivers!K$6/100)</f>
        <v/>
      </c>
      <c r="P18" s="24">
        <f>$G18*Supuestos!L$12*(Drivers!L$6/100)</f>
        <v/>
      </c>
      <c r="Q18" s="24">
        <f>$G18*Supuestos!M$12*(Drivers!M$6/100)</f>
        <v/>
      </c>
      <c r="R18" s="24">
        <f>$G18*Supuestos!N$12*(Drivers!N$6/100)</f>
        <v/>
      </c>
      <c r="S18" s="24">
        <f>$G18*Supuestos!O$12*(Drivers!O$6/100)</f>
        <v/>
      </c>
      <c r="T18" s="24">
        <f>$G18*Supuestos!P$12*(Drivers!P$6/100)</f>
        <v/>
      </c>
      <c r="U18" s="24">
        <f>$G18*Supuestos!Q$12*(Drivers!Q$6/100)</f>
        <v/>
      </c>
      <c r="V18" s="24">
        <f>$G18*Supuestos!R$12*(Drivers!R$6/100)</f>
        <v/>
      </c>
    </row>
    <row r="19">
      <c r="A19" s="6" t="inlineStr">
        <is>
          <t>TMV</t>
        </is>
      </c>
      <c r="B19" s="6" t="inlineStr">
        <is>
          <t>ARS</t>
        </is>
      </c>
      <c r="C19" s="6" t="inlineStr">
        <is>
          <t>2 Costos de Explotación</t>
        </is>
      </c>
      <c r="D19" s="6" t="inlineStr">
        <is>
          <t>2.7 Bocas de Cobranza</t>
        </is>
      </c>
      <c r="E19" s="6" t="inlineStr">
        <is>
          <t>Bocas de cobranza</t>
        </is>
      </c>
      <c r="F19" s="6" t="inlineStr">
        <is>
          <t>vol_inf</t>
        </is>
      </c>
      <c r="G19" s="24" t="n">
        <v>-1226593.55</v>
      </c>
      <c r="H19" s="24">
        <f>$G19*Supuestos!D$6*(Drivers!D$6/100)</f>
        <v/>
      </c>
      <c r="I19" s="24">
        <f>$G19*Supuestos!E$6*(Drivers!E$6/100)</f>
        <v/>
      </c>
      <c r="J19" s="24">
        <f>$G19*Supuestos!F$6*(Drivers!F$6/100)</f>
        <v/>
      </c>
      <c r="K19" s="24">
        <f>$G19*Supuestos!G$6*(Drivers!G$6/100)</f>
        <v/>
      </c>
      <c r="L19" s="24">
        <f>$G19*Supuestos!H$6*(Drivers!H$6/100)</f>
        <v/>
      </c>
      <c r="M19" s="24">
        <f>$G19*Supuestos!I$6*(Drivers!I$6/100)</f>
        <v/>
      </c>
      <c r="N19" s="24">
        <f>$G19*Supuestos!J$6*(Drivers!J$6/100)</f>
        <v/>
      </c>
      <c r="O19" s="24">
        <f>$G19*Supuestos!K$6*(Drivers!K$6/100)</f>
        <v/>
      </c>
      <c r="P19" s="24">
        <f>$G19*Supuestos!L$6*(Drivers!L$6/100)</f>
        <v/>
      </c>
      <c r="Q19" s="24">
        <f>$G19*Supuestos!M$6*(Drivers!M$6/100)</f>
        <v/>
      </c>
      <c r="R19" s="24">
        <f>$G19*Supuestos!N$6*(Drivers!N$6/100)</f>
        <v/>
      </c>
      <c r="S19" s="24">
        <f>$G19*Supuestos!O$6*(Drivers!O$6/100)</f>
        <v/>
      </c>
      <c r="T19" s="24">
        <f>$G19*Supuestos!P$6*(Drivers!P$6/100)</f>
        <v/>
      </c>
      <c r="U19" s="24">
        <f>$G19*Supuestos!Q$6*(Drivers!Q$6/100)</f>
        <v/>
      </c>
      <c r="V19" s="24">
        <f>$G19*Supuestos!R$6*(Drivers!R$6/100)</f>
        <v/>
      </c>
    </row>
    <row r="20">
      <c r="A20" s="6" t="inlineStr">
        <is>
          <t>TMV</t>
        </is>
      </c>
      <c r="B20" s="6" t="inlineStr">
        <is>
          <t>ARS</t>
        </is>
      </c>
      <c r="C20" s="6" t="inlineStr">
        <is>
          <t>2 Costos de Explotación</t>
        </is>
      </c>
      <c r="D20" s="6" t="inlineStr">
        <is>
          <t>2.8 Mailing</t>
        </is>
      </c>
      <c r="E20" s="6" t="inlineStr">
        <is>
          <t>Mailing</t>
        </is>
      </c>
      <c r="F20" s="6" t="inlineStr">
        <is>
          <t>vol_usd</t>
        </is>
      </c>
      <c r="G20" s="24" t="n">
        <v>-643879.8</v>
      </c>
      <c r="H20" s="24">
        <f>$G20*Supuestos!D$8*(Drivers!D$6/100)</f>
        <v/>
      </c>
      <c r="I20" s="24">
        <f>$G20*Supuestos!E$8*(Drivers!E$6/100)</f>
        <v/>
      </c>
      <c r="J20" s="24">
        <f>$G20*Supuestos!F$8*(Drivers!F$6/100)</f>
        <v/>
      </c>
      <c r="K20" s="24">
        <f>$G20*Supuestos!G$8*(Drivers!G$6/100)</f>
        <v/>
      </c>
      <c r="L20" s="24">
        <f>$G20*Supuestos!H$8*(Drivers!H$6/100)</f>
        <v/>
      </c>
      <c r="M20" s="24">
        <f>$G20*Supuestos!I$8*(Drivers!I$6/100)</f>
        <v/>
      </c>
      <c r="N20" s="24">
        <f>$G20*Supuestos!J$8*(Drivers!J$6/100)</f>
        <v/>
      </c>
      <c r="O20" s="24">
        <f>$G20*Supuestos!K$8*(Drivers!K$6/100)</f>
        <v/>
      </c>
      <c r="P20" s="24">
        <f>$G20*Supuestos!L$8*(Drivers!L$6/100)</f>
        <v/>
      </c>
      <c r="Q20" s="24">
        <f>$G20*Supuestos!M$8*(Drivers!M$6/100)</f>
        <v/>
      </c>
      <c r="R20" s="24">
        <f>$G20*Supuestos!N$8*(Drivers!N$6/100)</f>
        <v/>
      </c>
      <c r="S20" s="24">
        <f>$G20*Supuestos!O$8*(Drivers!O$6/100)</f>
        <v/>
      </c>
      <c r="T20" s="24">
        <f>$G20*Supuestos!P$8*(Drivers!P$6/100)</f>
        <v/>
      </c>
      <c r="U20" s="24">
        <f>$G20*Supuestos!Q$8*(Drivers!Q$6/100)</f>
        <v/>
      </c>
      <c r="V20" s="24">
        <f>$G20*Supuestos!R$8*(Drivers!R$6/100)</f>
        <v/>
      </c>
    </row>
    <row r="21">
      <c r="A21" s="6" t="inlineStr">
        <is>
          <t>TMV</t>
        </is>
      </c>
      <c r="B21" s="6" t="inlineStr">
        <is>
          <t>ARS</t>
        </is>
      </c>
      <c r="C21" s="6" t="inlineStr">
        <is>
          <t>2 Costos de Explotación</t>
        </is>
      </c>
      <c r="D21" s="6" t="inlineStr">
        <is>
          <t>2.9 Informes Comerciales</t>
        </is>
      </c>
      <c r="E21" s="6" t="inlineStr">
        <is>
          <t>Informes comerciales</t>
        </is>
      </c>
      <c r="F21" s="6" t="inlineStr">
        <is>
          <t>vol_inf</t>
        </is>
      </c>
      <c r="G21" s="24" t="n">
        <v>-247024.83</v>
      </c>
      <c r="H21" s="24">
        <f>$G21*Supuestos!D$6*(Drivers!D$6/100)</f>
        <v/>
      </c>
      <c r="I21" s="24">
        <f>$G21*Supuestos!E$6*(Drivers!E$6/100)</f>
        <v/>
      </c>
      <c r="J21" s="24">
        <f>$G21*Supuestos!F$6*(Drivers!F$6/100)</f>
        <v/>
      </c>
      <c r="K21" s="24">
        <f>$G21*Supuestos!G$6*(Drivers!G$6/100)</f>
        <v/>
      </c>
      <c r="L21" s="24">
        <f>$G21*Supuestos!H$6*(Drivers!H$6/100)</f>
        <v/>
      </c>
      <c r="M21" s="24">
        <f>$G21*Supuestos!I$6*(Drivers!I$6/100)</f>
        <v/>
      </c>
      <c r="N21" s="24">
        <f>$G21*Supuestos!J$6*(Drivers!J$6/100)</f>
        <v/>
      </c>
      <c r="O21" s="24">
        <f>$G21*Supuestos!K$6*(Drivers!K$6/100)</f>
        <v/>
      </c>
      <c r="P21" s="24">
        <f>$G21*Supuestos!L$6*(Drivers!L$6/100)</f>
        <v/>
      </c>
      <c r="Q21" s="24">
        <f>$G21*Supuestos!M$6*(Drivers!M$6/100)</f>
        <v/>
      </c>
      <c r="R21" s="24">
        <f>$G21*Supuestos!N$6*(Drivers!N$6/100)</f>
        <v/>
      </c>
      <c r="S21" s="24">
        <f>$G21*Supuestos!O$6*(Drivers!O$6/100)</f>
        <v/>
      </c>
      <c r="T21" s="24">
        <f>$G21*Supuestos!P$6*(Drivers!P$6/100)</f>
        <v/>
      </c>
      <c r="U21" s="24">
        <f>$G21*Supuestos!Q$6*(Drivers!Q$6/100)</f>
        <v/>
      </c>
      <c r="V21" s="24">
        <f>$G21*Supuestos!R$6*(Drivers!R$6/100)</f>
        <v/>
      </c>
    </row>
    <row r="22">
      <c r="A22" s="6" t="inlineStr">
        <is>
          <t>TMV</t>
        </is>
      </c>
      <c r="B22" s="6" t="inlineStr">
        <is>
          <t>ARS</t>
        </is>
      </c>
      <c r="C22" s="6" t="inlineStr">
        <is>
          <t>2 Costos de Explotación</t>
        </is>
      </c>
      <c r="D22" s="6" t="inlineStr">
        <is>
          <t>2.12 WhatsApp</t>
        </is>
      </c>
      <c r="E22" s="6" t="inlineStr">
        <is>
          <t>WhatsApp</t>
        </is>
      </c>
      <c r="F22" s="6" t="inlineStr">
        <is>
          <t>vol_usd</t>
        </is>
      </c>
      <c r="G22" s="24" t="n">
        <v>-552825</v>
      </c>
      <c r="H22" s="24">
        <f>$G22*Supuestos!D$8*(Drivers!D$6/100)</f>
        <v/>
      </c>
      <c r="I22" s="24">
        <f>$G22*Supuestos!E$8*(Drivers!E$6/100)</f>
        <v/>
      </c>
      <c r="J22" s="24">
        <f>$G22*Supuestos!F$8*(Drivers!F$6/100)</f>
        <v/>
      </c>
      <c r="K22" s="24">
        <f>$G22*Supuestos!G$8*(Drivers!G$6/100)</f>
        <v/>
      </c>
      <c r="L22" s="24">
        <f>$G22*Supuestos!H$8*(Drivers!H$6/100)</f>
        <v/>
      </c>
      <c r="M22" s="24">
        <f>$G22*Supuestos!I$8*(Drivers!I$6/100)</f>
        <v/>
      </c>
      <c r="N22" s="24">
        <f>$G22*Supuestos!J$8*(Drivers!J$6/100)</f>
        <v/>
      </c>
      <c r="O22" s="24">
        <f>$G22*Supuestos!K$8*(Drivers!K$6/100)</f>
        <v/>
      </c>
      <c r="P22" s="24">
        <f>$G22*Supuestos!L$8*(Drivers!L$6/100)</f>
        <v/>
      </c>
      <c r="Q22" s="24">
        <f>$G22*Supuestos!M$8*(Drivers!M$6/100)</f>
        <v/>
      </c>
      <c r="R22" s="24">
        <f>$G22*Supuestos!N$8*(Drivers!N$6/100)</f>
        <v/>
      </c>
      <c r="S22" s="24">
        <f>$G22*Supuestos!O$8*(Drivers!O$6/100)</f>
        <v/>
      </c>
      <c r="T22" s="24">
        <f>$G22*Supuestos!P$8*(Drivers!P$6/100)</f>
        <v/>
      </c>
      <c r="U22" s="24">
        <f>$G22*Supuestos!Q$8*(Drivers!Q$6/100)</f>
        <v/>
      </c>
      <c r="V22" s="24">
        <f>$G22*Supuestos!R$8*(Drivers!R$6/100)</f>
        <v/>
      </c>
    </row>
    <row r="23">
      <c r="A23" s="6" t="inlineStr">
        <is>
          <t>TMV</t>
        </is>
      </c>
      <c r="B23" s="6" t="inlineStr">
        <is>
          <t>ARS</t>
        </is>
      </c>
      <c r="C23" s="6" t="inlineStr">
        <is>
          <t>3 Impuestos Directos</t>
        </is>
      </c>
      <c r="D23" s="6" t="inlineStr">
        <is>
          <t>3.1 Ingresos Brutos</t>
        </is>
      </c>
      <c r="E23" s="6" t="inlineStr">
        <is>
          <t>Ingresos Brutos</t>
        </is>
      </c>
      <c r="F23" s="6" t="inlineStr">
        <is>
          <t>iibb</t>
        </is>
      </c>
      <c r="G23" s="24" t="n">
        <v>-3554742.57</v>
      </c>
      <c r="H23" s="24">
        <f>$G23*Supuestos!D$6*(Drivers!D$6/100)*(Drivers!D$7/Drivers!$C$7)*(Drivers!D$8/Drivers!$C$8)*Supuestos!D$13</f>
        <v/>
      </c>
      <c r="I23" s="24">
        <f>$G23*Supuestos!E$6*(Drivers!E$6/100)*(Drivers!E$7/Drivers!$C$7)*(Drivers!E$8/Drivers!$C$8)*Supuestos!E$13</f>
        <v/>
      </c>
      <c r="J23" s="24">
        <f>$G23*Supuestos!F$6*(Drivers!F$6/100)*(Drivers!F$7/Drivers!$C$7)*(Drivers!F$8/Drivers!$C$8)*Supuestos!F$13</f>
        <v/>
      </c>
      <c r="K23" s="24">
        <f>$G23*Supuestos!G$6*(Drivers!G$6/100)*(Drivers!G$7/Drivers!$C$7)*(Drivers!G$8/Drivers!$C$8)*Supuestos!G$13</f>
        <v/>
      </c>
      <c r="L23" s="24">
        <f>$G23*Supuestos!H$6*(Drivers!H$6/100)*(Drivers!H$7/Drivers!$C$7)*(Drivers!H$8/Drivers!$C$8)*Supuestos!H$13</f>
        <v/>
      </c>
      <c r="M23" s="24">
        <f>$G23*Supuestos!I$6*(Drivers!I$6/100)*(Drivers!I$7/Drivers!$C$7)*(Drivers!I$8/Drivers!$C$8)*Supuestos!I$13</f>
        <v/>
      </c>
      <c r="N23" s="24">
        <f>$G23*Supuestos!J$6*(Drivers!J$6/100)*(Drivers!J$7/Drivers!$C$7)*(Drivers!J$8/Drivers!$C$8)*Supuestos!J$13</f>
        <v/>
      </c>
      <c r="O23" s="24">
        <f>$G23*Supuestos!K$6*(Drivers!K$6/100)*(Drivers!K$7/Drivers!$C$7)*(Drivers!K$8/Drivers!$C$8)*Supuestos!K$13</f>
        <v/>
      </c>
      <c r="P23" s="24">
        <f>$G23*Supuestos!L$6*(Drivers!L$6/100)*(Drivers!L$7/Drivers!$C$7)*(Drivers!L$8/Drivers!$C$8)*Supuestos!L$13</f>
        <v/>
      </c>
      <c r="Q23" s="24">
        <f>$G23*Supuestos!M$6*(Drivers!M$6/100)*(Drivers!M$7/Drivers!$C$7)*(Drivers!M$8/Drivers!$C$8)*Supuestos!M$13</f>
        <v/>
      </c>
      <c r="R23" s="24">
        <f>$G23*Supuestos!N$6*(Drivers!N$6/100)*(Drivers!N$7/Drivers!$C$7)*(Drivers!N$8/Drivers!$C$8)*Supuestos!N$13</f>
        <v/>
      </c>
      <c r="S23" s="24">
        <f>$G23*Supuestos!O$6*(Drivers!O$6/100)*(Drivers!O$7/Drivers!$C$7)*(Drivers!O$8/Drivers!$C$8)*Supuestos!O$13</f>
        <v/>
      </c>
      <c r="T23" s="24">
        <f>$G23*Supuestos!P$6*(Drivers!P$6/100)*(Drivers!P$7/Drivers!$C$7)*(Drivers!P$8/Drivers!$C$8)*Supuestos!P$13</f>
        <v/>
      </c>
      <c r="U23" s="24">
        <f>$G23*Supuestos!Q$6*(Drivers!Q$6/100)*(Drivers!Q$7/Drivers!$C$7)*(Drivers!Q$8/Drivers!$C$8)*Supuestos!Q$13</f>
        <v/>
      </c>
      <c r="V23" s="24">
        <f>$G23*Supuestos!R$6*(Drivers!R$6/100)*(Drivers!R$7/Drivers!$C$7)*(Drivers!R$8/Drivers!$C$8)*Supuestos!R$13</f>
        <v/>
      </c>
    </row>
    <row r="24">
      <c r="A24" s="6" t="inlineStr">
        <is>
          <t>TFP</t>
        </is>
      </c>
      <c r="B24" s="6" t="inlineStr">
        <is>
          <t>ARS</t>
        </is>
      </c>
      <c r="C24" s="6" t="inlineStr">
        <is>
          <t>1 Ingreso Operacional</t>
        </is>
      </c>
      <c r="D24" s="6" t="inlineStr">
        <is>
          <t>1.1 Ingreso Cobranzas</t>
        </is>
      </c>
      <c r="E24" s="6" t="inlineStr">
        <is>
          <t>Ingreso por recupero</t>
        </is>
      </c>
      <c r="F24" s="6" t="inlineStr">
        <is>
          <t>rev</t>
        </is>
      </c>
      <c r="G24" s="24" t="n">
        <v>69579411.38</v>
      </c>
      <c r="H24" s="24">
        <f>$G24*Supuestos!D$6*(Drivers!D$12/100)*(Drivers!D$13/Drivers!$C$13)*(Drivers!D$14/Drivers!$C$14)*Supuestos!D$13</f>
        <v/>
      </c>
      <c r="I24" s="24">
        <f>$G24*Supuestos!E$6*(Drivers!E$12/100)*(Drivers!E$13/Drivers!$C$13)*(Drivers!E$14/Drivers!$C$14)*Supuestos!E$13</f>
        <v/>
      </c>
      <c r="J24" s="24">
        <f>$G24*Supuestos!F$6*(Drivers!F$12/100)*(Drivers!F$13/Drivers!$C$13)*(Drivers!F$14/Drivers!$C$14)*Supuestos!F$13</f>
        <v/>
      </c>
      <c r="K24" s="24">
        <f>$G24*Supuestos!G$6*(Drivers!G$12/100)*(Drivers!G$13/Drivers!$C$13)*(Drivers!G$14/Drivers!$C$14)*Supuestos!G$13</f>
        <v/>
      </c>
      <c r="L24" s="24">
        <f>$G24*Supuestos!H$6*(Drivers!H$12/100)*(Drivers!H$13/Drivers!$C$13)*(Drivers!H$14/Drivers!$C$14)*Supuestos!H$13</f>
        <v/>
      </c>
      <c r="M24" s="24">
        <f>$G24*Supuestos!I$6*(Drivers!I$12/100)*(Drivers!I$13/Drivers!$C$13)*(Drivers!I$14/Drivers!$C$14)*Supuestos!I$13</f>
        <v/>
      </c>
      <c r="N24" s="24">
        <f>$G24*Supuestos!J$6*(Drivers!J$12/100)*(Drivers!J$13/Drivers!$C$13)*(Drivers!J$14/Drivers!$C$14)*Supuestos!J$13</f>
        <v/>
      </c>
      <c r="O24" s="24">
        <f>$G24*Supuestos!K$6*(Drivers!K$12/100)*(Drivers!K$13/Drivers!$C$13)*(Drivers!K$14/Drivers!$C$14)*Supuestos!K$13</f>
        <v/>
      </c>
      <c r="P24" s="24">
        <f>$G24*Supuestos!L$6*(Drivers!L$12/100)*(Drivers!L$13/Drivers!$C$13)*(Drivers!L$14/Drivers!$C$14)*Supuestos!L$13</f>
        <v/>
      </c>
      <c r="Q24" s="24">
        <f>$G24*Supuestos!M$6*(Drivers!M$12/100)*(Drivers!M$13/Drivers!$C$13)*(Drivers!M$14/Drivers!$C$14)*Supuestos!M$13</f>
        <v/>
      </c>
      <c r="R24" s="24">
        <f>$G24*Supuestos!N$6*(Drivers!N$12/100)*(Drivers!N$13/Drivers!$C$13)*(Drivers!N$14/Drivers!$C$14)*Supuestos!N$13</f>
        <v/>
      </c>
      <c r="S24" s="24">
        <f>$G24*Supuestos!O$6*(Drivers!O$12/100)*(Drivers!O$13/Drivers!$C$13)*(Drivers!O$14/Drivers!$C$14)*Supuestos!O$13</f>
        <v/>
      </c>
      <c r="T24" s="24">
        <f>$G24*Supuestos!P$6*(Drivers!P$12/100)*(Drivers!P$13/Drivers!$C$13)*(Drivers!P$14/Drivers!$C$14)*Supuestos!P$13</f>
        <v/>
      </c>
      <c r="U24" s="24">
        <f>$G24*Supuestos!Q$6*(Drivers!Q$12/100)*(Drivers!Q$13/Drivers!$C$13)*(Drivers!Q$14/Drivers!$C$14)*Supuestos!Q$13</f>
        <v/>
      </c>
      <c r="V24" s="24">
        <f>$G24*Supuestos!R$6*(Drivers!R$12/100)*(Drivers!R$13/Drivers!$C$13)*(Drivers!R$14/Drivers!$C$14)*Supuestos!R$13</f>
        <v/>
      </c>
    </row>
    <row r="25">
      <c r="A25" s="6" t="inlineStr">
        <is>
          <t>TFP</t>
        </is>
      </c>
      <c r="B25" s="6" t="inlineStr">
        <is>
          <t>ARS</t>
        </is>
      </c>
      <c r="C25" s="6" t="inlineStr">
        <is>
          <t>2 Costos de Explotación</t>
        </is>
      </c>
      <c r="D25" s="6" t="inlineStr">
        <is>
          <t>2.1 Remuneraciones</t>
        </is>
      </c>
      <c r="E25" s="6" t="inlineStr">
        <is>
          <t>Operadores</t>
        </is>
      </c>
      <c r="F25" s="6" t="inlineStr">
        <is>
          <t>pos_sal</t>
        </is>
      </c>
      <c r="G25" s="24" t="n">
        <v>-15908856.08</v>
      </c>
      <c r="H25" s="24">
        <f>$G25*Supuestos!D$10*(Drivers!D$15/Drivers!$C$15)</f>
        <v/>
      </c>
      <c r="I25" s="24">
        <f>$G25*Supuestos!E$10*(Drivers!E$15/Drivers!$C$15)</f>
        <v/>
      </c>
      <c r="J25" s="24">
        <f>$G25*Supuestos!F$10*(Drivers!F$15/Drivers!$C$15)</f>
        <v/>
      </c>
      <c r="K25" s="24">
        <f>$G25*Supuestos!G$10*(Drivers!G$15/Drivers!$C$15)</f>
        <v/>
      </c>
      <c r="L25" s="24">
        <f>$G25*Supuestos!H$10*(Drivers!H$15/Drivers!$C$15)</f>
        <v/>
      </c>
      <c r="M25" s="24">
        <f>$G25*Supuestos!I$10*(Drivers!I$15/Drivers!$C$15)</f>
        <v/>
      </c>
      <c r="N25" s="24">
        <f>$G25*Supuestos!J$10*(Drivers!J$15/Drivers!$C$15)</f>
        <v/>
      </c>
      <c r="O25" s="24">
        <f>$G25*Supuestos!K$10*(Drivers!K$15/Drivers!$C$15)</f>
        <v/>
      </c>
      <c r="P25" s="24">
        <f>$G25*Supuestos!L$10*(Drivers!L$15/Drivers!$C$15)</f>
        <v/>
      </c>
      <c r="Q25" s="24">
        <f>$G25*Supuestos!M$10*(Drivers!M$15/Drivers!$C$15)</f>
        <v/>
      </c>
      <c r="R25" s="24">
        <f>$G25*Supuestos!N$10*(Drivers!N$15/Drivers!$C$15)</f>
        <v/>
      </c>
      <c r="S25" s="24">
        <f>$G25*Supuestos!O$10*(Drivers!O$15/Drivers!$C$15)</f>
        <v/>
      </c>
      <c r="T25" s="24">
        <f>$G25*Supuestos!P$10*(Drivers!P$15/Drivers!$C$15)</f>
        <v/>
      </c>
      <c r="U25" s="24">
        <f>$G25*Supuestos!Q$10*(Drivers!Q$15/Drivers!$C$15)</f>
        <v/>
      </c>
      <c r="V25" s="24">
        <f>$G25*Supuestos!R$10*(Drivers!R$15/Drivers!$C$15)</f>
        <v/>
      </c>
    </row>
    <row r="26">
      <c r="A26" s="6" t="inlineStr">
        <is>
          <t>TFP</t>
        </is>
      </c>
      <c r="B26" s="6" t="inlineStr">
        <is>
          <t>ARS</t>
        </is>
      </c>
      <c r="C26" s="6" t="inlineStr">
        <is>
          <t>2 Costos de Explotación</t>
        </is>
      </c>
      <c r="D26" s="6" t="inlineStr">
        <is>
          <t>2.1 Remuneraciones</t>
        </is>
      </c>
      <c r="E26" s="6" t="inlineStr">
        <is>
          <t>Supervisión</t>
        </is>
      </c>
      <c r="F26" s="6" t="inlineStr">
        <is>
          <t>pos_sal</t>
        </is>
      </c>
      <c r="G26" s="24" t="n">
        <v>-5560389.61</v>
      </c>
      <c r="H26" s="24">
        <f>$G26*Supuestos!D$10*(Drivers!D$15/Drivers!$C$15)</f>
        <v/>
      </c>
      <c r="I26" s="24">
        <f>$G26*Supuestos!E$10*(Drivers!E$15/Drivers!$C$15)</f>
        <v/>
      </c>
      <c r="J26" s="24">
        <f>$G26*Supuestos!F$10*(Drivers!F$15/Drivers!$C$15)</f>
        <v/>
      </c>
      <c r="K26" s="24">
        <f>$G26*Supuestos!G$10*(Drivers!G$15/Drivers!$C$15)</f>
        <v/>
      </c>
      <c r="L26" s="24">
        <f>$G26*Supuestos!H$10*(Drivers!H$15/Drivers!$C$15)</f>
        <v/>
      </c>
      <c r="M26" s="24">
        <f>$G26*Supuestos!I$10*(Drivers!I$15/Drivers!$C$15)</f>
        <v/>
      </c>
      <c r="N26" s="24">
        <f>$G26*Supuestos!J$10*(Drivers!J$15/Drivers!$C$15)</f>
        <v/>
      </c>
      <c r="O26" s="24">
        <f>$G26*Supuestos!K$10*(Drivers!K$15/Drivers!$C$15)</f>
        <v/>
      </c>
      <c r="P26" s="24">
        <f>$G26*Supuestos!L$10*(Drivers!L$15/Drivers!$C$15)</f>
        <v/>
      </c>
      <c r="Q26" s="24">
        <f>$G26*Supuestos!M$10*(Drivers!M$15/Drivers!$C$15)</f>
        <v/>
      </c>
      <c r="R26" s="24">
        <f>$G26*Supuestos!N$10*(Drivers!N$15/Drivers!$C$15)</f>
        <v/>
      </c>
      <c r="S26" s="24">
        <f>$G26*Supuestos!O$10*(Drivers!O$15/Drivers!$C$15)</f>
        <v/>
      </c>
      <c r="T26" s="24">
        <f>$G26*Supuestos!P$10*(Drivers!P$15/Drivers!$C$15)</f>
        <v/>
      </c>
      <c r="U26" s="24">
        <f>$G26*Supuestos!Q$10*(Drivers!Q$15/Drivers!$C$15)</f>
        <v/>
      </c>
      <c r="V26" s="24">
        <f>$G26*Supuestos!R$10*(Drivers!R$15/Drivers!$C$15)</f>
        <v/>
      </c>
    </row>
    <row r="27">
      <c r="A27" s="6" t="inlineStr">
        <is>
          <t>TFP</t>
        </is>
      </c>
      <c r="B27" s="6" t="inlineStr">
        <is>
          <t>ARS</t>
        </is>
      </c>
      <c r="C27" s="6" t="inlineStr">
        <is>
          <t>2 Costos de Explotación</t>
        </is>
      </c>
      <c r="D27" s="6" t="inlineStr">
        <is>
          <t>2.1 Remuneraciones</t>
        </is>
      </c>
      <c r="E27" s="6" t="inlineStr">
        <is>
          <t>Calidad</t>
        </is>
      </c>
      <c r="F27" s="6" t="inlineStr">
        <is>
          <t>pos_sal</t>
        </is>
      </c>
      <c r="G27" s="24" t="n">
        <v>-1315361.05</v>
      </c>
      <c r="H27" s="24">
        <f>$G27*Supuestos!D$10*(Drivers!D$15/Drivers!$C$15)</f>
        <v/>
      </c>
      <c r="I27" s="24">
        <f>$G27*Supuestos!E$10*(Drivers!E$15/Drivers!$C$15)</f>
        <v/>
      </c>
      <c r="J27" s="24">
        <f>$G27*Supuestos!F$10*(Drivers!F$15/Drivers!$C$15)</f>
        <v/>
      </c>
      <c r="K27" s="24">
        <f>$G27*Supuestos!G$10*(Drivers!G$15/Drivers!$C$15)</f>
        <v/>
      </c>
      <c r="L27" s="24">
        <f>$G27*Supuestos!H$10*(Drivers!H$15/Drivers!$C$15)</f>
        <v/>
      </c>
      <c r="M27" s="24">
        <f>$G27*Supuestos!I$10*(Drivers!I$15/Drivers!$C$15)</f>
        <v/>
      </c>
      <c r="N27" s="24">
        <f>$G27*Supuestos!J$10*(Drivers!J$15/Drivers!$C$15)</f>
        <v/>
      </c>
      <c r="O27" s="24">
        <f>$G27*Supuestos!K$10*(Drivers!K$15/Drivers!$C$15)</f>
        <v/>
      </c>
      <c r="P27" s="24">
        <f>$G27*Supuestos!L$10*(Drivers!L$15/Drivers!$C$15)</f>
        <v/>
      </c>
      <c r="Q27" s="24">
        <f>$G27*Supuestos!M$10*(Drivers!M$15/Drivers!$C$15)</f>
        <v/>
      </c>
      <c r="R27" s="24">
        <f>$G27*Supuestos!N$10*(Drivers!N$15/Drivers!$C$15)</f>
        <v/>
      </c>
      <c r="S27" s="24">
        <f>$G27*Supuestos!O$10*(Drivers!O$15/Drivers!$C$15)</f>
        <v/>
      </c>
      <c r="T27" s="24">
        <f>$G27*Supuestos!P$10*(Drivers!P$15/Drivers!$C$15)</f>
        <v/>
      </c>
      <c r="U27" s="24">
        <f>$G27*Supuestos!Q$10*(Drivers!Q$15/Drivers!$C$15)</f>
        <v/>
      </c>
      <c r="V27" s="24">
        <f>$G27*Supuestos!R$10*(Drivers!R$15/Drivers!$C$15)</f>
        <v/>
      </c>
    </row>
    <row r="28">
      <c r="A28" s="6" t="inlineStr">
        <is>
          <t>TFP</t>
        </is>
      </c>
      <c r="B28" s="6" t="inlineStr">
        <is>
          <t>ARS</t>
        </is>
      </c>
      <c r="C28" s="6" t="inlineStr">
        <is>
          <t>2 Costos de Explotación</t>
        </is>
      </c>
      <c r="D28" s="6" t="inlineStr">
        <is>
          <t>2.1 Remuneraciones</t>
        </is>
      </c>
      <c r="E28" s="6" t="inlineStr">
        <is>
          <t>Back Office</t>
        </is>
      </c>
      <c r="F28" s="6" t="inlineStr">
        <is>
          <t>pos_sal</t>
        </is>
      </c>
      <c r="G28" s="24" t="n">
        <v>-896837.27</v>
      </c>
      <c r="H28" s="24">
        <f>$G28*Supuestos!D$10*(Drivers!D$15/Drivers!$C$15)</f>
        <v/>
      </c>
      <c r="I28" s="24">
        <f>$G28*Supuestos!E$10*(Drivers!E$15/Drivers!$C$15)</f>
        <v/>
      </c>
      <c r="J28" s="24">
        <f>$G28*Supuestos!F$10*(Drivers!F$15/Drivers!$C$15)</f>
        <v/>
      </c>
      <c r="K28" s="24">
        <f>$G28*Supuestos!G$10*(Drivers!G$15/Drivers!$C$15)</f>
        <v/>
      </c>
      <c r="L28" s="24">
        <f>$G28*Supuestos!H$10*(Drivers!H$15/Drivers!$C$15)</f>
        <v/>
      </c>
      <c r="M28" s="24">
        <f>$G28*Supuestos!I$10*(Drivers!I$15/Drivers!$C$15)</f>
        <v/>
      </c>
      <c r="N28" s="24">
        <f>$G28*Supuestos!J$10*(Drivers!J$15/Drivers!$C$15)</f>
        <v/>
      </c>
      <c r="O28" s="24">
        <f>$G28*Supuestos!K$10*(Drivers!K$15/Drivers!$C$15)</f>
        <v/>
      </c>
      <c r="P28" s="24">
        <f>$G28*Supuestos!L$10*(Drivers!L$15/Drivers!$C$15)</f>
        <v/>
      </c>
      <c r="Q28" s="24">
        <f>$G28*Supuestos!M$10*(Drivers!M$15/Drivers!$C$15)</f>
        <v/>
      </c>
      <c r="R28" s="24">
        <f>$G28*Supuestos!N$10*(Drivers!N$15/Drivers!$C$15)</f>
        <v/>
      </c>
      <c r="S28" s="24">
        <f>$G28*Supuestos!O$10*(Drivers!O$15/Drivers!$C$15)</f>
        <v/>
      </c>
      <c r="T28" s="24">
        <f>$G28*Supuestos!P$10*(Drivers!P$15/Drivers!$C$15)</f>
        <v/>
      </c>
      <c r="U28" s="24">
        <f>$G28*Supuestos!Q$10*(Drivers!Q$15/Drivers!$C$15)</f>
        <v/>
      </c>
      <c r="V28" s="24">
        <f>$G28*Supuestos!R$10*(Drivers!R$15/Drivers!$C$15)</f>
        <v/>
      </c>
    </row>
    <row r="29">
      <c r="A29" s="6" t="inlineStr">
        <is>
          <t>TFP</t>
        </is>
      </c>
      <c r="B29" s="6" t="inlineStr">
        <is>
          <t>ARS</t>
        </is>
      </c>
      <c r="C29" s="6" t="inlineStr">
        <is>
          <t>2 Costos de Explotación</t>
        </is>
      </c>
      <c r="D29" s="6" t="inlineStr">
        <is>
          <t>2.1 Remuneraciones</t>
        </is>
      </c>
      <c r="E29" s="6" t="inlineStr">
        <is>
          <t>Ejecutivos de cuenta</t>
        </is>
      </c>
      <c r="F29" s="6" t="inlineStr">
        <is>
          <t>pos_sal</t>
        </is>
      </c>
      <c r="G29" s="24" t="n">
        <v>-1703990.16</v>
      </c>
      <c r="H29" s="24">
        <f>$G29*Supuestos!D$10*(Drivers!D$15/Drivers!$C$15)</f>
        <v/>
      </c>
      <c r="I29" s="24">
        <f>$G29*Supuestos!E$10*(Drivers!E$15/Drivers!$C$15)</f>
        <v/>
      </c>
      <c r="J29" s="24">
        <f>$G29*Supuestos!F$10*(Drivers!F$15/Drivers!$C$15)</f>
        <v/>
      </c>
      <c r="K29" s="24">
        <f>$G29*Supuestos!G$10*(Drivers!G$15/Drivers!$C$15)</f>
        <v/>
      </c>
      <c r="L29" s="24">
        <f>$G29*Supuestos!H$10*(Drivers!H$15/Drivers!$C$15)</f>
        <v/>
      </c>
      <c r="M29" s="24">
        <f>$G29*Supuestos!I$10*(Drivers!I$15/Drivers!$C$15)</f>
        <v/>
      </c>
      <c r="N29" s="24">
        <f>$G29*Supuestos!J$10*(Drivers!J$15/Drivers!$C$15)</f>
        <v/>
      </c>
      <c r="O29" s="24">
        <f>$G29*Supuestos!K$10*(Drivers!K$15/Drivers!$C$15)</f>
        <v/>
      </c>
      <c r="P29" s="24">
        <f>$G29*Supuestos!L$10*(Drivers!L$15/Drivers!$C$15)</f>
        <v/>
      </c>
      <c r="Q29" s="24">
        <f>$G29*Supuestos!M$10*(Drivers!M$15/Drivers!$C$15)</f>
        <v/>
      </c>
      <c r="R29" s="24">
        <f>$G29*Supuestos!N$10*(Drivers!N$15/Drivers!$C$15)</f>
        <v/>
      </c>
      <c r="S29" s="24">
        <f>$G29*Supuestos!O$10*(Drivers!O$15/Drivers!$C$15)</f>
        <v/>
      </c>
      <c r="T29" s="24">
        <f>$G29*Supuestos!P$10*(Drivers!P$15/Drivers!$C$15)</f>
        <v/>
      </c>
      <c r="U29" s="24">
        <f>$G29*Supuestos!Q$10*(Drivers!Q$15/Drivers!$C$15)</f>
        <v/>
      </c>
      <c r="V29" s="24">
        <f>$G29*Supuestos!R$10*(Drivers!R$15/Drivers!$C$15)</f>
        <v/>
      </c>
    </row>
    <row r="30">
      <c r="A30" s="6" t="inlineStr">
        <is>
          <t>TFP</t>
        </is>
      </c>
      <c r="B30" s="6" t="inlineStr">
        <is>
          <t>ARS</t>
        </is>
      </c>
      <c r="C30" s="6" t="inlineStr">
        <is>
          <t>2 Costos de Explotación</t>
        </is>
      </c>
      <c r="D30" s="6" t="inlineStr">
        <is>
          <t>2.1 Remuneraciones</t>
        </is>
      </c>
      <c r="E30" s="6" t="inlineStr">
        <is>
          <t>Gerencia de Operaciones</t>
        </is>
      </c>
      <c r="F30" s="6" t="inlineStr">
        <is>
          <t>pos_sal</t>
        </is>
      </c>
      <c r="G30" s="24" t="n">
        <v>-1913252.22</v>
      </c>
      <c r="H30" s="24">
        <f>$G30*Supuestos!D$10*(Drivers!D$15/Drivers!$C$15)</f>
        <v/>
      </c>
      <c r="I30" s="24">
        <f>$G30*Supuestos!E$10*(Drivers!E$15/Drivers!$C$15)</f>
        <v/>
      </c>
      <c r="J30" s="24">
        <f>$G30*Supuestos!F$10*(Drivers!F$15/Drivers!$C$15)</f>
        <v/>
      </c>
      <c r="K30" s="24">
        <f>$G30*Supuestos!G$10*(Drivers!G$15/Drivers!$C$15)</f>
        <v/>
      </c>
      <c r="L30" s="24">
        <f>$G30*Supuestos!H$10*(Drivers!H$15/Drivers!$C$15)</f>
        <v/>
      </c>
      <c r="M30" s="24">
        <f>$G30*Supuestos!I$10*(Drivers!I$15/Drivers!$C$15)</f>
        <v/>
      </c>
      <c r="N30" s="24">
        <f>$G30*Supuestos!J$10*(Drivers!J$15/Drivers!$C$15)</f>
        <v/>
      </c>
      <c r="O30" s="24">
        <f>$G30*Supuestos!K$10*(Drivers!K$15/Drivers!$C$15)</f>
        <v/>
      </c>
      <c r="P30" s="24">
        <f>$G30*Supuestos!L$10*(Drivers!L$15/Drivers!$C$15)</f>
        <v/>
      </c>
      <c r="Q30" s="24">
        <f>$G30*Supuestos!M$10*(Drivers!M$15/Drivers!$C$15)</f>
        <v/>
      </c>
      <c r="R30" s="24">
        <f>$G30*Supuestos!N$10*(Drivers!N$15/Drivers!$C$15)</f>
        <v/>
      </c>
      <c r="S30" s="24">
        <f>$G30*Supuestos!O$10*(Drivers!O$15/Drivers!$C$15)</f>
        <v/>
      </c>
      <c r="T30" s="24">
        <f>$G30*Supuestos!P$10*(Drivers!P$15/Drivers!$C$15)</f>
        <v/>
      </c>
      <c r="U30" s="24">
        <f>$G30*Supuestos!Q$10*(Drivers!Q$15/Drivers!$C$15)</f>
        <v/>
      </c>
      <c r="V30" s="24">
        <f>$G30*Supuestos!R$10*(Drivers!R$15/Drivers!$C$15)</f>
        <v/>
      </c>
    </row>
    <row r="31">
      <c r="A31" s="6" t="inlineStr">
        <is>
          <t>TFP</t>
        </is>
      </c>
      <c r="B31" s="6" t="inlineStr">
        <is>
          <t>ARS</t>
        </is>
      </c>
      <c r="C31" s="6" t="inlineStr">
        <is>
          <t>2 Costos de Explotación</t>
        </is>
      </c>
      <c r="D31" s="6" t="inlineStr">
        <is>
          <t>2.1 Remuneraciones</t>
        </is>
      </c>
      <c r="E31" s="6" t="inlineStr">
        <is>
          <t>Indemnizaciones</t>
        </is>
      </c>
      <c r="F31" s="6" t="inlineStr">
        <is>
          <t>zero</t>
        </is>
      </c>
      <c r="G31" s="24" t="n">
        <v>-300353.85</v>
      </c>
      <c r="H31" s="24">
        <f>0</f>
        <v/>
      </c>
      <c r="I31" s="24">
        <f>0</f>
        <v/>
      </c>
      <c r="J31" s="24">
        <f>0</f>
        <v/>
      </c>
      <c r="K31" s="24">
        <f>0</f>
        <v/>
      </c>
      <c r="L31" s="24">
        <f>0</f>
        <v/>
      </c>
      <c r="M31" s="24">
        <f>0</f>
        <v/>
      </c>
      <c r="N31" s="24">
        <f>0</f>
        <v/>
      </c>
      <c r="O31" s="24">
        <f>0</f>
        <v/>
      </c>
      <c r="P31" s="24">
        <f>0</f>
        <v/>
      </c>
      <c r="Q31" s="24">
        <f>0</f>
        <v/>
      </c>
      <c r="R31" s="24">
        <f>0</f>
        <v/>
      </c>
      <c r="S31" s="24">
        <f>0</f>
        <v/>
      </c>
      <c r="T31" s="24">
        <f>0</f>
        <v/>
      </c>
      <c r="U31" s="24">
        <f>0</f>
        <v/>
      </c>
      <c r="V31" s="24">
        <f>0</f>
        <v/>
      </c>
    </row>
    <row r="32">
      <c r="A32" s="6" t="inlineStr">
        <is>
          <t>TFP</t>
        </is>
      </c>
      <c r="B32" s="6" t="inlineStr">
        <is>
          <t>ARS</t>
        </is>
      </c>
      <c r="C32" s="6" t="inlineStr">
        <is>
          <t>2 Costos de Explotación</t>
        </is>
      </c>
      <c r="D32" s="6" t="inlineStr">
        <is>
          <t>2.2 Servicios de Terceros</t>
        </is>
      </c>
      <c r="E32" s="6" t="inlineStr">
        <is>
          <t>Posiciones Paraguay</t>
        </is>
      </c>
      <c r="F32" s="6" t="inlineStr">
        <is>
          <t>pos_usd</t>
        </is>
      </c>
      <c r="G32" s="24" t="n">
        <v>-19519500</v>
      </c>
      <c r="H32" s="24">
        <f>$G32*Supuestos!D$8*(Drivers!D$15/Drivers!$C$15)</f>
        <v/>
      </c>
      <c r="I32" s="24">
        <f>$G32*Supuestos!E$8*(Drivers!E$15/Drivers!$C$15)</f>
        <v/>
      </c>
      <c r="J32" s="24">
        <f>$G32*Supuestos!F$8*(Drivers!F$15/Drivers!$C$15)</f>
        <v/>
      </c>
      <c r="K32" s="24">
        <f>$G32*Supuestos!G$8*(Drivers!G$15/Drivers!$C$15)</f>
        <v/>
      </c>
      <c r="L32" s="24">
        <f>$G32*Supuestos!H$8*(Drivers!H$15/Drivers!$C$15)</f>
        <v/>
      </c>
      <c r="M32" s="24">
        <f>$G32*Supuestos!I$8*(Drivers!I$15/Drivers!$C$15)</f>
        <v/>
      </c>
      <c r="N32" s="24">
        <f>$G32*Supuestos!J$8*(Drivers!J$15/Drivers!$C$15)</f>
        <v/>
      </c>
      <c r="O32" s="24">
        <f>$G32*Supuestos!K$8*(Drivers!K$15/Drivers!$C$15)</f>
        <v/>
      </c>
      <c r="P32" s="24">
        <f>$G32*Supuestos!L$8*(Drivers!L$15/Drivers!$C$15)</f>
        <v/>
      </c>
      <c r="Q32" s="24">
        <f>$G32*Supuestos!M$8*(Drivers!M$15/Drivers!$C$15)</f>
        <v/>
      </c>
      <c r="R32" s="24">
        <f>$G32*Supuestos!N$8*(Drivers!N$15/Drivers!$C$15)</f>
        <v/>
      </c>
      <c r="S32" s="24">
        <f>$G32*Supuestos!O$8*(Drivers!O$15/Drivers!$C$15)</f>
        <v/>
      </c>
      <c r="T32" s="24">
        <f>$G32*Supuestos!P$8*(Drivers!P$15/Drivers!$C$15)</f>
        <v/>
      </c>
      <c r="U32" s="24">
        <f>$G32*Supuestos!Q$8*(Drivers!Q$15/Drivers!$C$15)</f>
        <v/>
      </c>
      <c r="V32" s="24">
        <f>$G32*Supuestos!R$8*(Drivers!R$15/Drivers!$C$15)</f>
        <v/>
      </c>
    </row>
    <row r="33">
      <c r="A33" s="6" t="inlineStr">
        <is>
          <t>TFP</t>
        </is>
      </c>
      <c r="B33" s="6" t="inlineStr">
        <is>
          <t>ARS</t>
        </is>
      </c>
      <c r="C33" s="6" t="inlineStr">
        <is>
          <t>2 Costos de Explotación</t>
        </is>
      </c>
      <c r="D33" s="6" t="inlineStr">
        <is>
          <t>2.3 Licencias</t>
        </is>
      </c>
      <c r="E33" s="6" t="inlineStr">
        <is>
          <t>Licencias discador/CRM</t>
        </is>
      </c>
      <c r="F33" s="6" t="inlineStr">
        <is>
          <t>pos_usd</t>
        </is>
      </c>
      <c r="G33" s="24" t="n">
        <v>-2457000</v>
      </c>
      <c r="H33" s="24">
        <f>$G33*Supuestos!D$8*(Drivers!D$15/Drivers!$C$15)</f>
        <v/>
      </c>
      <c r="I33" s="24">
        <f>$G33*Supuestos!E$8*(Drivers!E$15/Drivers!$C$15)</f>
        <v/>
      </c>
      <c r="J33" s="24">
        <f>$G33*Supuestos!F$8*(Drivers!F$15/Drivers!$C$15)</f>
        <v/>
      </c>
      <c r="K33" s="24">
        <f>$G33*Supuestos!G$8*(Drivers!G$15/Drivers!$C$15)</f>
        <v/>
      </c>
      <c r="L33" s="24">
        <f>$G33*Supuestos!H$8*(Drivers!H$15/Drivers!$C$15)</f>
        <v/>
      </c>
      <c r="M33" s="24">
        <f>$G33*Supuestos!I$8*(Drivers!I$15/Drivers!$C$15)</f>
        <v/>
      </c>
      <c r="N33" s="24">
        <f>$G33*Supuestos!J$8*(Drivers!J$15/Drivers!$C$15)</f>
        <v/>
      </c>
      <c r="O33" s="24">
        <f>$G33*Supuestos!K$8*(Drivers!K$15/Drivers!$C$15)</f>
        <v/>
      </c>
      <c r="P33" s="24">
        <f>$G33*Supuestos!L$8*(Drivers!L$15/Drivers!$C$15)</f>
        <v/>
      </c>
      <c r="Q33" s="24">
        <f>$G33*Supuestos!M$8*(Drivers!M$15/Drivers!$C$15)</f>
        <v/>
      </c>
      <c r="R33" s="24">
        <f>$G33*Supuestos!N$8*(Drivers!N$15/Drivers!$C$15)</f>
        <v/>
      </c>
      <c r="S33" s="24">
        <f>$G33*Supuestos!O$8*(Drivers!O$15/Drivers!$C$15)</f>
        <v/>
      </c>
      <c r="T33" s="24">
        <f>$G33*Supuestos!P$8*(Drivers!P$15/Drivers!$C$15)</f>
        <v/>
      </c>
      <c r="U33" s="24">
        <f>$G33*Supuestos!Q$8*(Drivers!Q$15/Drivers!$C$15)</f>
        <v/>
      </c>
      <c r="V33" s="24">
        <f>$G33*Supuestos!R$8*(Drivers!R$15/Drivers!$C$15)</f>
        <v/>
      </c>
    </row>
    <row r="34">
      <c r="A34" s="6" t="inlineStr">
        <is>
          <t>TFP</t>
        </is>
      </c>
      <c r="B34" s="6" t="inlineStr">
        <is>
          <t>ARS</t>
        </is>
      </c>
      <c r="C34" s="6" t="inlineStr">
        <is>
          <t>2 Costos de Explotación</t>
        </is>
      </c>
      <c r="D34" s="6" t="inlineStr">
        <is>
          <t>2.5 Telefonía</t>
        </is>
      </c>
      <c r="E34" s="6" t="inlineStr">
        <is>
          <t>Telefonía celular</t>
        </is>
      </c>
      <c r="F34" s="6" t="inlineStr">
        <is>
          <t>pos_inf</t>
        </is>
      </c>
      <c r="G34" s="24" t="n">
        <v>-1688555.43</v>
      </c>
      <c r="H34" s="24">
        <f>$G34*Supuestos!D$6*(Drivers!D$15/Drivers!$C$15)</f>
        <v/>
      </c>
      <c r="I34" s="24">
        <f>$G34*Supuestos!E$6*(Drivers!E$15/Drivers!$C$15)</f>
        <v/>
      </c>
      <c r="J34" s="24">
        <f>$G34*Supuestos!F$6*(Drivers!F$15/Drivers!$C$15)</f>
        <v/>
      </c>
      <c r="K34" s="24">
        <f>$G34*Supuestos!G$6*(Drivers!G$15/Drivers!$C$15)</f>
        <v/>
      </c>
      <c r="L34" s="24">
        <f>$G34*Supuestos!H$6*(Drivers!H$15/Drivers!$C$15)</f>
        <v/>
      </c>
      <c r="M34" s="24">
        <f>$G34*Supuestos!I$6*(Drivers!I$15/Drivers!$C$15)</f>
        <v/>
      </c>
      <c r="N34" s="24">
        <f>$G34*Supuestos!J$6*(Drivers!J$15/Drivers!$C$15)</f>
        <v/>
      </c>
      <c r="O34" s="24">
        <f>$G34*Supuestos!K$6*(Drivers!K$15/Drivers!$C$15)</f>
        <v/>
      </c>
      <c r="P34" s="24">
        <f>$G34*Supuestos!L$6*(Drivers!L$15/Drivers!$C$15)</f>
        <v/>
      </c>
      <c r="Q34" s="24">
        <f>$G34*Supuestos!M$6*(Drivers!M$15/Drivers!$C$15)</f>
        <v/>
      </c>
      <c r="R34" s="24">
        <f>$G34*Supuestos!N$6*(Drivers!N$15/Drivers!$C$15)</f>
        <v/>
      </c>
      <c r="S34" s="24">
        <f>$G34*Supuestos!O$6*(Drivers!O$15/Drivers!$C$15)</f>
        <v/>
      </c>
      <c r="T34" s="24">
        <f>$G34*Supuestos!P$6*(Drivers!P$15/Drivers!$C$15)</f>
        <v/>
      </c>
      <c r="U34" s="24">
        <f>$G34*Supuestos!Q$6*(Drivers!Q$15/Drivers!$C$15)</f>
        <v/>
      </c>
      <c r="V34" s="24">
        <f>$G34*Supuestos!R$6*(Drivers!R$15/Drivers!$C$15)</f>
        <v/>
      </c>
    </row>
    <row r="35">
      <c r="A35" s="6" t="inlineStr">
        <is>
          <t>TFP</t>
        </is>
      </c>
      <c r="B35" s="6" t="inlineStr">
        <is>
          <t>ARS</t>
        </is>
      </c>
      <c r="C35" s="6" t="inlineStr">
        <is>
          <t>2 Costos de Explotación</t>
        </is>
      </c>
      <c r="D35" s="6" t="inlineStr">
        <is>
          <t>2.5 Telefonía</t>
        </is>
      </c>
      <c r="E35" s="6" t="inlineStr">
        <is>
          <t>Telefonía LDN</t>
        </is>
      </c>
      <c r="F35" s="6" t="inlineStr">
        <is>
          <t>pos_inf</t>
        </is>
      </c>
      <c r="G35" s="24" t="n">
        <v>-434200.01</v>
      </c>
      <c r="H35" s="24">
        <f>$G35*Supuestos!D$6*(Drivers!D$15/Drivers!$C$15)</f>
        <v/>
      </c>
      <c r="I35" s="24">
        <f>$G35*Supuestos!E$6*(Drivers!E$15/Drivers!$C$15)</f>
        <v/>
      </c>
      <c r="J35" s="24">
        <f>$G35*Supuestos!F$6*(Drivers!F$15/Drivers!$C$15)</f>
        <v/>
      </c>
      <c r="K35" s="24">
        <f>$G35*Supuestos!G$6*(Drivers!G$15/Drivers!$C$15)</f>
        <v/>
      </c>
      <c r="L35" s="24">
        <f>$G35*Supuestos!H$6*(Drivers!H$15/Drivers!$C$15)</f>
        <v/>
      </c>
      <c r="M35" s="24">
        <f>$G35*Supuestos!I$6*(Drivers!I$15/Drivers!$C$15)</f>
        <v/>
      </c>
      <c r="N35" s="24">
        <f>$G35*Supuestos!J$6*(Drivers!J$15/Drivers!$C$15)</f>
        <v/>
      </c>
      <c r="O35" s="24">
        <f>$G35*Supuestos!K$6*(Drivers!K$15/Drivers!$C$15)</f>
        <v/>
      </c>
      <c r="P35" s="24">
        <f>$G35*Supuestos!L$6*(Drivers!L$15/Drivers!$C$15)</f>
        <v/>
      </c>
      <c r="Q35" s="24">
        <f>$G35*Supuestos!M$6*(Drivers!M$15/Drivers!$C$15)</f>
        <v/>
      </c>
      <c r="R35" s="24">
        <f>$G35*Supuestos!N$6*(Drivers!N$15/Drivers!$C$15)</f>
        <v/>
      </c>
      <c r="S35" s="24">
        <f>$G35*Supuestos!O$6*(Drivers!O$15/Drivers!$C$15)</f>
        <v/>
      </c>
      <c r="T35" s="24">
        <f>$G35*Supuestos!P$6*(Drivers!P$15/Drivers!$C$15)</f>
        <v/>
      </c>
      <c r="U35" s="24">
        <f>$G35*Supuestos!Q$6*(Drivers!Q$15/Drivers!$C$15)</f>
        <v/>
      </c>
      <c r="V35" s="24">
        <f>$G35*Supuestos!R$6*(Drivers!R$15/Drivers!$C$15)</f>
        <v/>
      </c>
    </row>
    <row r="36">
      <c r="A36" s="6" t="inlineStr">
        <is>
          <t>TFP</t>
        </is>
      </c>
      <c r="B36" s="6" t="inlineStr">
        <is>
          <t>ARS</t>
        </is>
      </c>
      <c r="C36" s="6" t="inlineStr">
        <is>
          <t>2 Costos de Explotación</t>
        </is>
      </c>
      <c r="D36" s="6" t="inlineStr">
        <is>
          <t>2.5 Telefonía</t>
        </is>
      </c>
      <c r="E36" s="6" t="inlineStr">
        <is>
          <t>Telefonía local y 0800</t>
        </is>
      </c>
      <c r="F36" s="6" t="inlineStr">
        <is>
          <t>pos_inf</t>
        </is>
      </c>
      <c r="G36" s="24" t="n">
        <v>-289466.9</v>
      </c>
      <c r="H36" s="24">
        <f>$G36*Supuestos!D$6*(Drivers!D$15/Drivers!$C$15)</f>
        <v/>
      </c>
      <c r="I36" s="24">
        <f>$G36*Supuestos!E$6*(Drivers!E$15/Drivers!$C$15)</f>
        <v/>
      </c>
      <c r="J36" s="24">
        <f>$G36*Supuestos!F$6*(Drivers!F$15/Drivers!$C$15)</f>
        <v/>
      </c>
      <c r="K36" s="24">
        <f>$G36*Supuestos!G$6*(Drivers!G$15/Drivers!$C$15)</f>
        <v/>
      </c>
      <c r="L36" s="24">
        <f>$G36*Supuestos!H$6*(Drivers!H$15/Drivers!$C$15)</f>
        <v/>
      </c>
      <c r="M36" s="24">
        <f>$G36*Supuestos!I$6*(Drivers!I$15/Drivers!$C$15)</f>
        <v/>
      </c>
      <c r="N36" s="24">
        <f>$G36*Supuestos!J$6*(Drivers!J$15/Drivers!$C$15)</f>
        <v/>
      </c>
      <c r="O36" s="24">
        <f>$G36*Supuestos!K$6*(Drivers!K$15/Drivers!$C$15)</f>
        <v/>
      </c>
      <c r="P36" s="24">
        <f>$G36*Supuestos!L$6*(Drivers!L$15/Drivers!$C$15)</f>
        <v/>
      </c>
      <c r="Q36" s="24">
        <f>$G36*Supuestos!M$6*(Drivers!M$15/Drivers!$C$15)</f>
        <v/>
      </c>
      <c r="R36" s="24">
        <f>$G36*Supuestos!N$6*(Drivers!N$15/Drivers!$C$15)</f>
        <v/>
      </c>
      <c r="S36" s="24">
        <f>$G36*Supuestos!O$6*(Drivers!O$15/Drivers!$C$15)</f>
        <v/>
      </c>
      <c r="T36" s="24">
        <f>$G36*Supuestos!P$6*(Drivers!P$15/Drivers!$C$15)</f>
        <v/>
      </c>
      <c r="U36" s="24">
        <f>$G36*Supuestos!Q$6*(Drivers!Q$15/Drivers!$C$15)</f>
        <v/>
      </c>
      <c r="V36" s="24">
        <f>$G36*Supuestos!R$6*(Drivers!R$15/Drivers!$C$15)</f>
        <v/>
      </c>
    </row>
    <row r="37">
      <c r="A37" s="6" t="inlineStr">
        <is>
          <t>TFP</t>
        </is>
      </c>
      <c r="B37" s="6" t="inlineStr">
        <is>
          <t>ARS</t>
        </is>
      </c>
      <c r="C37" s="6" t="inlineStr">
        <is>
          <t>2 Costos de Explotación</t>
        </is>
      </c>
      <c r="D37" s="6" t="inlineStr">
        <is>
          <t>2.6 SMS</t>
        </is>
      </c>
      <c r="E37" s="6" t="inlineStr">
        <is>
          <t>SMS</t>
        </is>
      </c>
      <c r="F37" s="6" t="inlineStr">
        <is>
          <t>sms</t>
        </is>
      </c>
      <c r="G37" s="24" t="n">
        <v>-1226157.83</v>
      </c>
      <c r="H37" s="24">
        <f>$G37*Supuestos!D$12*(Drivers!D$12/100)</f>
        <v/>
      </c>
      <c r="I37" s="24">
        <f>$G37*Supuestos!E$12*(Drivers!E$12/100)</f>
        <v/>
      </c>
      <c r="J37" s="24">
        <f>$G37*Supuestos!F$12*(Drivers!F$12/100)</f>
        <v/>
      </c>
      <c r="K37" s="24">
        <f>$G37*Supuestos!G$12*(Drivers!G$12/100)</f>
        <v/>
      </c>
      <c r="L37" s="24">
        <f>$G37*Supuestos!H$12*(Drivers!H$12/100)</f>
        <v/>
      </c>
      <c r="M37" s="24">
        <f>$G37*Supuestos!I$12*(Drivers!I$12/100)</f>
        <v/>
      </c>
      <c r="N37" s="24">
        <f>$G37*Supuestos!J$12*(Drivers!J$12/100)</f>
        <v/>
      </c>
      <c r="O37" s="24">
        <f>$G37*Supuestos!K$12*(Drivers!K$12/100)</f>
        <v/>
      </c>
      <c r="P37" s="24">
        <f>$G37*Supuestos!L$12*(Drivers!L$12/100)</f>
        <v/>
      </c>
      <c r="Q37" s="24">
        <f>$G37*Supuestos!M$12*(Drivers!M$12/100)</f>
        <v/>
      </c>
      <c r="R37" s="24">
        <f>$G37*Supuestos!N$12*(Drivers!N$12/100)</f>
        <v/>
      </c>
      <c r="S37" s="24">
        <f>$G37*Supuestos!O$12*(Drivers!O$12/100)</f>
        <v/>
      </c>
      <c r="T37" s="24">
        <f>$G37*Supuestos!P$12*(Drivers!P$12/100)</f>
        <v/>
      </c>
      <c r="U37" s="24">
        <f>$G37*Supuestos!Q$12*(Drivers!Q$12/100)</f>
        <v/>
      </c>
      <c r="V37" s="24">
        <f>$G37*Supuestos!R$12*(Drivers!R$12/100)</f>
        <v/>
      </c>
    </row>
    <row r="38">
      <c r="A38" s="6" t="inlineStr">
        <is>
          <t>TFP</t>
        </is>
      </c>
      <c r="B38" s="6" t="inlineStr">
        <is>
          <t>ARS</t>
        </is>
      </c>
      <c r="C38" s="6" t="inlineStr">
        <is>
          <t>2 Costos de Explotación</t>
        </is>
      </c>
      <c r="D38" s="6" t="inlineStr">
        <is>
          <t>2.7 Bocas de Cobranza</t>
        </is>
      </c>
      <c r="E38" s="6" t="inlineStr">
        <is>
          <t>Bocas de cobranza</t>
        </is>
      </c>
      <c r="F38" s="6" t="inlineStr">
        <is>
          <t>vol_inf</t>
        </is>
      </c>
      <c r="G38" s="24" t="n">
        <v>-605134.96</v>
      </c>
      <c r="H38" s="24">
        <f>$G38*Supuestos!D$6*(Drivers!D$12/100)</f>
        <v/>
      </c>
      <c r="I38" s="24">
        <f>$G38*Supuestos!E$6*(Drivers!E$12/100)</f>
        <v/>
      </c>
      <c r="J38" s="24">
        <f>$G38*Supuestos!F$6*(Drivers!F$12/100)</f>
        <v/>
      </c>
      <c r="K38" s="24">
        <f>$G38*Supuestos!G$6*(Drivers!G$12/100)</f>
        <v/>
      </c>
      <c r="L38" s="24">
        <f>$G38*Supuestos!H$6*(Drivers!H$12/100)</f>
        <v/>
      </c>
      <c r="M38" s="24">
        <f>$G38*Supuestos!I$6*(Drivers!I$12/100)</f>
        <v/>
      </c>
      <c r="N38" s="24">
        <f>$G38*Supuestos!J$6*(Drivers!J$12/100)</f>
        <v/>
      </c>
      <c r="O38" s="24">
        <f>$G38*Supuestos!K$6*(Drivers!K$12/100)</f>
        <v/>
      </c>
      <c r="P38" s="24">
        <f>$G38*Supuestos!L$6*(Drivers!L$12/100)</f>
        <v/>
      </c>
      <c r="Q38" s="24">
        <f>$G38*Supuestos!M$6*(Drivers!M$12/100)</f>
        <v/>
      </c>
      <c r="R38" s="24">
        <f>$G38*Supuestos!N$6*(Drivers!N$12/100)</f>
        <v/>
      </c>
      <c r="S38" s="24">
        <f>$G38*Supuestos!O$6*(Drivers!O$12/100)</f>
        <v/>
      </c>
      <c r="T38" s="24">
        <f>$G38*Supuestos!P$6*(Drivers!P$12/100)</f>
        <v/>
      </c>
      <c r="U38" s="24">
        <f>$G38*Supuestos!Q$6*(Drivers!Q$12/100)</f>
        <v/>
      </c>
      <c r="V38" s="24">
        <f>$G38*Supuestos!R$6*(Drivers!R$12/100)</f>
        <v/>
      </c>
    </row>
    <row r="39">
      <c r="A39" s="6" t="inlineStr">
        <is>
          <t>TFP</t>
        </is>
      </c>
      <c r="B39" s="6" t="inlineStr">
        <is>
          <t>ARS</t>
        </is>
      </c>
      <c r="C39" s="6" t="inlineStr">
        <is>
          <t>2 Costos de Explotación</t>
        </is>
      </c>
      <c r="D39" s="6" t="inlineStr">
        <is>
          <t>2.8 Mailing</t>
        </is>
      </c>
      <c r="E39" s="6" t="inlineStr">
        <is>
          <t>Mailing</t>
        </is>
      </c>
      <c r="F39" s="6" t="inlineStr">
        <is>
          <t>vol_usd</t>
        </is>
      </c>
      <c r="G39" s="24" t="n">
        <v>-313881.53</v>
      </c>
      <c r="H39" s="24">
        <f>$G39*Supuestos!D$8*(Drivers!D$12/100)</f>
        <v/>
      </c>
      <c r="I39" s="24">
        <f>$G39*Supuestos!E$8*(Drivers!E$12/100)</f>
        <v/>
      </c>
      <c r="J39" s="24">
        <f>$G39*Supuestos!F$8*(Drivers!F$12/100)</f>
        <v/>
      </c>
      <c r="K39" s="24">
        <f>$G39*Supuestos!G$8*(Drivers!G$12/100)</f>
        <v/>
      </c>
      <c r="L39" s="24">
        <f>$G39*Supuestos!H$8*(Drivers!H$12/100)</f>
        <v/>
      </c>
      <c r="M39" s="24">
        <f>$G39*Supuestos!I$8*(Drivers!I$12/100)</f>
        <v/>
      </c>
      <c r="N39" s="24">
        <f>$G39*Supuestos!J$8*(Drivers!J$12/100)</f>
        <v/>
      </c>
      <c r="O39" s="24">
        <f>$G39*Supuestos!K$8*(Drivers!K$12/100)</f>
        <v/>
      </c>
      <c r="P39" s="24">
        <f>$G39*Supuestos!L$8*(Drivers!L$12/100)</f>
        <v/>
      </c>
      <c r="Q39" s="24">
        <f>$G39*Supuestos!M$8*(Drivers!M$12/100)</f>
        <v/>
      </c>
      <c r="R39" s="24">
        <f>$G39*Supuestos!N$8*(Drivers!N$12/100)</f>
        <v/>
      </c>
      <c r="S39" s="24">
        <f>$G39*Supuestos!O$8*(Drivers!O$12/100)</f>
        <v/>
      </c>
      <c r="T39" s="24">
        <f>$G39*Supuestos!P$8*(Drivers!P$12/100)</f>
        <v/>
      </c>
      <c r="U39" s="24">
        <f>$G39*Supuestos!Q$8*(Drivers!Q$12/100)</f>
        <v/>
      </c>
      <c r="V39" s="24">
        <f>$G39*Supuestos!R$8*(Drivers!R$12/100)</f>
        <v/>
      </c>
    </row>
    <row r="40">
      <c r="A40" s="6" t="inlineStr">
        <is>
          <t>TFP</t>
        </is>
      </c>
      <c r="B40" s="6" t="inlineStr">
        <is>
          <t>ARS</t>
        </is>
      </c>
      <c r="C40" s="6" t="inlineStr">
        <is>
          <t>2 Costos de Explotación</t>
        </is>
      </c>
      <c r="D40" s="6" t="inlineStr">
        <is>
          <t>2.9 Informes Comerciales</t>
        </is>
      </c>
      <c r="E40" s="6" t="inlineStr">
        <is>
          <t>Informes comerciales</t>
        </is>
      </c>
      <c r="F40" s="6" t="inlineStr">
        <is>
          <t>vol_inf</t>
        </is>
      </c>
      <c r="G40" s="24" t="n">
        <v>-536485</v>
      </c>
      <c r="H40" s="24">
        <f>$G40*Supuestos!D$6*(Drivers!D$12/100)</f>
        <v/>
      </c>
      <c r="I40" s="24">
        <f>$G40*Supuestos!E$6*(Drivers!E$12/100)</f>
        <v/>
      </c>
      <c r="J40" s="24">
        <f>$G40*Supuestos!F$6*(Drivers!F$12/100)</f>
        <v/>
      </c>
      <c r="K40" s="24">
        <f>$G40*Supuestos!G$6*(Drivers!G$12/100)</f>
        <v/>
      </c>
      <c r="L40" s="24">
        <f>$G40*Supuestos!H$6*(Drivers!H$12/100)</f>
        <v/>
      </c>
      <c r="M40" s="24">
        <f>$G40*Supuestos!I$6*(Drivers!I$12/100)</f>
        <v/>
      </c>
      <c r="N40" s="24">
        <f>$G40*Supuestos!J$6*(Drivers!J$12/100)</f>
        <v/>
      </c>
      <c r="O40" s="24">
        <f>$G40*Supuestos!K$6*(Drivers!K$12/100)</f>
        <v/>
      </c>
      <c r="P40" s="24">
        <f>$G40*Supuestos!L$6*(Drivers!L$12/100)</f>
        <v/>
      </c>
      <c r="Q40" s="24">
        <f>$G40*Supuestos!M$6*(Drivers!M$12/100)</f>
        <v/>
      </c>
      <c r="R40" s="24">
        <f>$G40*Supuestos!N$6*(Drivers!N$12/100)</f>
        <v/>
      </c>
      <c r="S40" s="24">
        <f>$G40*Supuestos!O$6*(Drivers!O$12/100)</f>
        <v/>
      </c>
      <c r="T40" s="24">
        <f>$G40*Supuestos!P$6*(Drivers!P$12/100)</f>
        <v/>
      </c>
      <c r="U40" s="24">
        <f>$G40*Supuestos!Q$6*(Drivers!Q$12/100)</f>
        <v/>
      </c>
      <c r="V40" s="24">
        <f>$G40*Supuestos!R$6*(Drivers!R$12/100)</f>
        <v/>
      </c>
    </row>
    <row r="41">
      <c r="A41" s="6" t="inlineStr">
        <is>
          <t>TFP</t>
        </is>
      </c>
      <c r="B41" s="6" t="inlineStr">
        <is>
          <t>ARS</t>
        </is>
      </c>
      <c r="C41" s="6" t="inlineStr">
        <is>
          <t>2 Costos de Explotación</t>
        </is>
      </c>
      <c r="D41" s="6" t="inlineStr">
        <is>
          <t>2.12 WhatsApp</t>
        </is>
      </c>
      <c r="E41" s="6" t="inlineStr">
        <is>
          <t>WhatsApp</t>
        </is>
      </c>
      <c r="F41" s="6" t="inlineStr">
        <is>
          <t>vol_usd</t>
        </is>
      </c>
      <c r="G41" s="24" t="n">
        <v>-476385</v>
      </c>
      <c r="H41" s="24">
        <f>$G41*Supuestos!D$8*(Drivers!D$12/100)</f>
        <v/>
      </c>
      <c r="I41" s="24">
        <f>$G41*Supuestos!E$8*(Drivers!E$12/100)</f>
        <v/>
      </c>
      <c r="J41" s="24">
        <f>$G41*Supuestos!F$8*(Drivers!F$12/100)</f>
        <v/>
      </c>
      <c r="K41" s="24">
        <f>$G41*Supuestos!G$8*(Drivers!G$12/100)</f>
        <v/>
      </c>
      <c r="L41" s="24">
        <f>$G41*Supuestos!H$8*(Drivers!H$12/100)</f>
        <v/>
      </c>
      <c r="M41" s="24">
        <f>$G41*Supuestos!I$8*(Drivers!I$12/100)</f>
        <v/>
      </c>
      <c r="N41" s="24">
        <f>$G41*Supuestos!J$8*(Drivers!J$12/100)</f>
        <v/>
      </c>
      <c r="O41" s="24">
        <f>$G41*Supuestos!K$8*(Drivers!K$12/100)</f>
        <v/>
      </c>
      <c r="P41" s="24">
        <f>$G41*Supuestos!L$8*(Drivers!L$12/100)</f>
        <v/>
      </c>
      <c r="Q41" s="24">
        <f>$G41*Supuestos!M$8*(Drivers!M$12/100)</f>
        <v/>
      </c>
      <c r="R41" s="24">
        <f>$G41*Supuestos!N$8*(Drivers!N$12/100)</f>
        <v/>
      </c>
      <c r="S41" s="24">
        <f>$G41*Supuestos!O$8*(Drivers!O$12/100)</f>
        <v/>
      </c>
      <c r="T41" s="24">
        <f>$G41*Supuestos!P$8*(Drivers!P$12/100)</f>
        <v/>
      </c>
      <c r="U41" s="24">
        <f>$G41*Supuestos!Q$8*(Drivers!Q$12/100)</f>
        <v/>
      </c>
      <c r="V41" s="24">
        <f>$G41*Supuestos!R$8*(Drivers!R$12/100)</f>
        <v/>
      </c>
    </row>
    <row r="42">
      <c r="A42" s="6" t="inlineStr">
        <is>
          <t>TFP</t>
        </is>
      </c>
      <c r="B42" s="6" t="inlineStr">
        <is>
          <t>ARS</t>
        </is>
      </c>
      <c r="C42" s="6" t="inlineStr">
        <is>
          <t>3 Impuestos Directos</t>
        </is>
      </c>
      <c r="D42" s="6" t="inlineStr">
        <is>
          <t>3.1 Ingresos Brutos</t>
        </is>
      </c>
      <c r="E42" s="6" t="inlineStr">
        <is>
          <t>Ingresos Brutos</t>
        </is>
      </c>
      <c r="F42" s="6" t="inlineStr">
        <is>
          <t>iibb</t>
        </is>
      </c>
      <c r="G42" s="24" t="n">
        <v>-2087382.17</v>
      </c>
      <c r="H42" s="24">
        <f>$G42*Supuestos!D$6*(Drivers!D$12/100)*(Drivers!D$13/Drivers!$C$13)*(Drivers!D$14/Drivers!$C$14)*Supuestos!D$13</f>
        <v/>
      </c>
      <c r="I42" s="24">
        <f>$G42*Supuestos!E$6*(Drivers!E$12/100)*(Drivers!E$13/Drivers!$C$13)*(Drivers!E$14/Drivers!$C$14)*Supuestos!E$13</f>
        <v/>
      </c>
      <c r="J42" s="24">
        <f>$G42*Supuestos!F$6*(Drivers!F$12/100)*(Drivers!F$13/Drivers!$C$13)*(Drivers!F$14/Drivers!$C$14)*Supuestos!F$13</f>
        <v/>
      </c>
      <c r="K42" s="24">
        <f>$G42*Supuestos!G$6*(Drivers!G$12/100)*(Drivers!G$13/Drivers!$C$13)*(Drivers!G$14/Drivers!$C$14)*Supuestos!G$13</f>
        <v/>
      </c>
      <c r="L42" s="24">
        <f>$G42*Supuestos!H$6*(Drivers!H$12/100)*(Drivers!H$13/Drivers!$C$13)*(Drivers!H$14/Drivers!$C$14)*Supuestos!H$13</f>
        <v/>
      </c>
      <c r="M42" s="24">
        <f>$G42*Supuestos!I$6*(Drivers!I$12/100)*(Drivers!I$13/Drivers!$C$13)*(Drivers!I$14/Drivers!$C$14)*Supuestos!I$13</f>
        <v/>
      </c>
      <c r="N42" s="24">
        <f>$G42*Supuestos!J$6*(Drivers!J$12/100)*(Drivers!J$13/Drivers!$C$13)*(Drivers!J$14/Drivers!$C$14)*Supuestos!J$13</f>
        <v/>
      </c>
      <c r="O42" s="24">
        <f>$G42*Supuestos!K$6*(Drivers!K$12/100)*(Drivers!K$13/Drivers!$C$13)*(Drivers!K$14/Drivers!$C$14)*Supuestos!K$13</f>
        <v/>
      </c>
      <c r="P42" s="24">
        <f>$G42*Supuestos!L$6*(Drivers!L$12/100)*(Drivers!L$13/Drivers!$C$13)*(Drivers!L$14/Drivers!$C$14)*Supuestos!L$13</f>
        <v/>
      </c>
      <c r="Q42" s="24">
        <f>$G42*Supuestos!M$6*(Drivers!M$12/100)*(Drivers!M$13/Drivers!$C$13)*(Drivers!M$14/Drivers!$C$14)*Supuestos!M$13</f>
        <v/>
      </c>
      <c r="R42" s="24">
        <f>$G42*Supuestos!N$6*(Drivers!N$12/100)*(Drivers!N$13/Drivers!$C$13)*(Drivers!N$14/Drivers!$C$14)*Supuestos!N$13</f>
        <v/>
      </c>
      <c r="S42" s="24">
        <f>$G42*Supuestos!O$6*(Drivers!O$12/100)*(Drivers!O$13/Drivers!$C$13)*(Drivers!O$14/Drivers!$C$14)*Supuestos!O$13</f>
        <v/>
      </c>
      <c r="T42" s="24">
        <f>$G42*Supuestos!P$6*(Drivers!P$12/100)*(Drivers!P$13/Drivers!$C$13)*(Drivers!P$14/Drivers!$C$14)*Supuestos!P$13</f>
        <v/>
      </c>
      <c r="U42" s="24">
        <f>$G42*Supuestos!Q$6*(Drivers!Q$12/100)*(Drivers!Q$13/Drivers!$C$13)*(Drivers!Q$14/Drivers!$C$14)*Supuestos!Q$13</f>
        <v/>
      </c>
      <c r="V42" s="24">
        <f>$G42*Supuestos!R$6*(Drivers!R$12/100)*(Drivers!R$13/Drivers!$C$13)*(Drivers!R$14/Drivers!$C$14)*Supuestos!R$13</f>
        <v/>
      </c>
    </row>
    <row r="43">
      <c r="A43" s="6" t="inlineStr">
        <is>
          <t>RSM</t>
        </is>
      </c>
      <c r="B43" s="6" t="inlineStr">
        <is>
          <t>ARS</t>
        </is>
      </c>
      <c r="C43" s="6" t="inlineStr">
        <is>
          <t>1 Ingreso Operacional</t>
        </is>
      </c>
      <c r="D43" s="6" t="inlineStr">
        <is>
          <t>1.1 Ingreso Cobranzas</t>
        </is>
      </c>
      <c r="E43" s="6" t="inlineStr">
        <is>
          <t>Ingreso por recupero</t>
        </is>
      </c>
      <c r="F43" s="6" t="inlineStr">
        <is>
          <t>rev</t>
        </is>
      </c>
      <c r="G43" s="24" t="n">
        <v>46147491.83</v>
      </c>
      <c r="H43" s="24">
        <f>$G43*Supuestos!D$6*(Drivers!D$18/100)*(Drivers!D$19/Drivers!$C$19)*(Drivers!D$20/Drivers!$C$20)*Supuestos!D$13</f>
        <v/>
      </c>
      <c r="I43" s="24">
        <f>$G43*Supuestos!E$6*(Drivers!E$18/100)*(Drivers!E$19/Drivers!$C$19)*(Drivers!E$20/Drivers!$C$20)*Supuestos!E$13</f>
        <v/>
      </c>
      <c r="J43" s="24">
        <f>$G43*Supuestos!F$6*(Drivers!F$18/100)*(Drivers!F$19/Drivers!$C$19)*(Drivers!F$20/Drivers!$C$20)*Supuestos!F$13</f>
        <v/>
      </c>
      <c r="K43" s="24">
        <f>$G43*Supuestos!G$6*(Drivers!G$18/100)*(Drivers!G$19/Drivers!$C$19)*(Drivers!G$20/Drivers!$C$20)*Supuestos!G$13</f>
        <v/>
      </c>
      <c r="L43" s="24">
        <f>$G43*Supuestos!H$6*(Drivers!H$18/100)*(Drivers!H$19/Drivers!$C$19)*(Drivers!H$20/Drivers!$C$20)*Supuestos!H$13</f>
        <v/>
      </c>
      <c r="M43" s="24">
        <f>$G43*Supuestos!I$6*(Drivers!I$18/100)*(Drivers!I$19/Drivers!$C$19)*(Drivers!I$20/Drivers!$C$20)*Supuestos!I$13</f>
        <v/>
      </c>
      <c r="N43" s="24">
        <f>$G43*Supuestos!J$6*(Drivers!J$18/100)*(Drivers!J$19/Drivers!$C$19)*(Drivers!J$20/Drivers!$C$20)*Supuestos!J$13</f>
        <v/>
      </c>
      <c r="O43" s="24">
        <f>$G43*Supuestos!K$6*(Drivers!K$18/100)*(Drivers!K$19/Drivers!$C$19)*(Drivers!K$20/Drivers!$C$20)*Supuestos!K$13</f>
        <v/>
      </c>
      <c r="P43" s="24">
        <f>$G43*Supuestos!L$6*(Drivers!L$18/100)*(Drivers!L$19/Drivers!$C$19)*(Drivers!L$20/Drivers!$C$20)*Supuestos!L$13</f>
        <v/>
      </c>
      <c r="Q43" s="24">
        <f>$G43*Supuestos!M$6*(Drivers!M$18/100)*(Drivers!M$19/Drivers!$C$19)*(Drivers!M$20/Drivers!$C$20)*Supuestos!M$13</f>
        <v/>
      </c>
      <c r="R43" s="24">
        <f>$G43*Supuestos!N$6*(Drivers!N$18/100)*(Drivers!N$19/Drivers!$C$19)*(Drivers!N$20/Drivers!$C$20)*Supuestos!N$13</f>
        <v/>
      </c>
      <c r="S43" s="24">
        <f>$G43*Supuestos!O$6*(Drivers!O$18/100)*(Drivers!O$19/Drivers!$C$19)*(Drivers!O$20/Drivers!$C$20)*Supuestos!O$13</f>
        <v/>
      </c>
      <c r="T43" s="24">
        <f>$G43*Supuestos!P$6*(Drivers!P$18/100)*(Drivers!P$19/Drivers!$C$19)*(Drivers!P$20/Drivers!$C$20)*Supuestos!P$13</f>
        <v/>
      </c>
      <c r="U43" s="24">
        <f>$G43*Supuestos!Q$6*(Drivers!Q$18/100)*(Drivers!Q$19/Drivers!$C$19)*(Drivers!Q$20/Drivers!$C$20)*Supuestos!Q$13</f>
        <v/>
      </c>
      <c r="V43" s="24">
        <f>$G43*Supuestos!R$6*(Drivers!R$18/100)*(Drivers!R$19/Drivers!$C$19)*(Drivers!R$20/Drivers!$C$20)*Supuestos!R$13</f>
        <v/>
      </c>
    </row>
    <row r="44">
      <c r="A44" s="6" t="inlineStr">
        <is>
          <t>RSM</t>
        </is>
      </c>
      <c r="B44" s="6" t="inlineStr">
        <is>
          <t>ARS</t>
        </is>
      </c>
      <c r="C44" s="6" t="inlineStr">
        <is>
          <t>2 Costos de Explotación</t>
        </is>
      </c>
      <c r="D44" s="6" t="inlineStr">
        <is>
          <t>2.1 Remuneraciones</t>
        </is>
      </c>
      <c r="E44" s="6" t="inlineStr">
        <is>
          <t>Operadores</t>
        </is>
      </c>
      <c r="F44" s="6" t="inlineStr">
        <is>
          <t>pos_sal</t>
        </is>
      </c>
      <c r="G44" s="24" t="n">
        <v>-7946511.4</v>
      </c>
      <c r="H44" s="24">
        <f>$G44*Supuestos!D$10*(Drivers!D$21/Drivers!$C$21)</f>
        <v/>
      </c>
      <c r="I44" s="24">
        <f>$G44*Supuestos!E$10*(Drivers!E$21/Drivers!$C$21)</f>
        <v/>
      </c>
      <c r="J44" s="24">
        <f>$G44*Supuestos!F$10*(Drivers!F$21/Drivers!$C$21)</f>
        <v/>
      </c>
      <c r="K44" s="24">
        <f>$G44*Supuestos!G$10*(Drivers!G$21/Drivers!$C$21)</f>
        <v/>
      </c>
      <c r="L44" s="24">
        <f>$G44*Supuestos!H$10*(Drivers!H$21/Drivers!$C$21)</f>
        <v/>
      </c>
      <c r="M44" s="24">
        <f>$G44*Supuestos!I$10*(Drivers!I$21/Drivers!$C$21)</f>
        <v/>
      </c>
      <c r="N44" s="24">
        <f>$G44*Supuestos!J$10*(Drivers!J$21/Drivers!$C$21)</f>
        <v/>
      </c>
      <c r="O44" s="24">
        <f>$G44*Supuestos!K$10*(Drivers!K$21/Drivers!$C$21)</f>
        <v/>
      </c>
      <c r="P44" s="24">
        <f>$G44*Supuestos!L$10*(Drivers!L$21/Drivers!$C$21)</f>
        <v/>
      </c>
      <c r="Q44" s="24">
        <f>$G44*Supuestos!M$10*(Drivers!M$21/Drivers!$C$21)</f>
        <v/>
      </c>
      <c r="R44" s="24">
        <f>$G44*Supuestos!N$10*(Drivers!N$21/Drivers!$C$21)</f>
        <v/>
      </c>
      <c r="S44" s="24">
        <f>$G44*Supuestos!O$10*(Drivers!O$21/Drivers!$C$21)</f>
        <v/>
      </c>
      <c r="T44" s="24">
        <f>$G44*Supuestos!P$10*(Drivers!P$21/Drivers!$C$21)</f>
        <v/>
      </c>
      <c r="U44" s="24">
        <f>$G44*Supuestos!Q$10*(Drivers!Q$21/Drivers!$C$21)</f>
        <v/>
      </c>
      <c r="V44" s="24">
        <f>$G44*Supuestos!R$10*(Drivers!R$21/Drivers!$C$21)</f>
        <v/>
      </c>
    </row>
    <row r="45">
      <c r="A45" s="6" t="inlineStr">
        <is>
          <t>RSM</t>
        </is>
      </c>
      <c r="B45" s="6" t="inlineStr">
        <is>
          <t>ARS</t>
        </is>
      </c>
      <c r="C45" s="6" t="inlineStr">
        <is>
          <t>2 Costos de Explotación</t>
        </is>
      </c>
      <c r="D45" s="6" t="inlineStr">
        <is>
          <t>2.1 Remuneraciones</t>
        </is>
      </c>
      <c r="E45" s="6" t="inlineStr">
        <is>
          <t>Supervisión</t>
        </is>
      </c>
      <c r="F45" s="6" t="inlineStr">
        <is>
          <t>pos_sal</t>
        </is>
      </c>
      <c r="G45" s="24" t="n">
        <v>-3058214.59</v>
      </c>
      <c r="H45" s="24">
        <f>$G45*Supuestos!D$10*(Drivers!D$21/Drivers!$C$21)</f>
        <v/>
      </c>
      <c r="I45" s="24">
        <f>$G45*Supuestos!E$10*(Drivers!E$21/Drivers!$C$21)</f>
        <v/>
      </c>
      <c r="J45" s="24">
        <f>$G45*Supuestos!F$10*(Drivers!F$21/Drivers!$C$21)</f>
        <v/>
      </c>
      <c r="K45" s="24">
        <f>$G45*Supuestos!G$10*(Drivers!G$21/Drivers!$C$21)</f>
        <v/>
      </c>
      <c r="L45" s="24">
        <f>$G45*Supuestos!H$10*(Drivers!H$21/Drivers!$C$21)</f>
        <v/>
      </c>
      <c r="M45" s="24">
        <f>$G45*Supuestos!I$10*(Drivers!I$21/Drivers!$C$21)</f>
        <v/>
      </c>
      <c r="N45" s="24">
        <f>$G45*Supuestos!J$10*(Drivers!J$21/Drivers!$C$21)</f>
        <v/>
      </c>
      <c r="O45" s="24">
        <f>$G45*Supuestos!K$10*(Drivers!K$21/Drivers!$C$21)</f>
        <v/>
      </c>
      <c r="P45" s="24">
        <f>$G45*Supuestos!L$10*(Drivers!L$21/Drivers!$C$21)</f>
        <v/>
      </c>
      <c r="Q45" s="24">
        <f>$G45*Supuestos!M$10*(Drivers!M$21/Drivers!$C$21)</f>
        <v/>
      </c>
      <c r="R45" s="24">
        <f>$G45*Supuestos!N$10*(Drivers!N$21/Drivers!$C$21)</f>
        <v/>
      </c>
      <c r="S45" s="24">
        <f>$G45*Supuestos!O$10*(Drivers!O$21/Drivers!$C$21)</f>
        <v/>
      </c>
      <c r="T45" s="24">
        <f>$G45*Supuestos!P$10*(Drivers!P$21/Drivers!$C$21)</f>
        <v/>
      </c>
      <c r="U45" s="24">
        <f>$G45*Supuestos!Q$10*(Drivers!Q$21/Drivers!$C$21)</f>
        <v/>
      </c>
      <c r="V45" s="24">
        <f>$G45*Supuestos!R$10*(Drivers!R$21/Drivers!$C$21)</f>
        <v/>
      </c>
    </row>
    <row r="46">
      <c r="A46" s="6" t="inlineStr">
        <is>
          <t>RSM</t>
        </is>
      </c>
      <c r="B46" s="6" t="inlineStr">
        <is>
          <t>ARS</t>
        </is>
      </c>
      <c r="C46" s="6" t="inlineStr">
        <is>
          <t>2 Costos de Explotación</t>
        </is>
      </c>
      <c r="D46" s="6" t="inlineStr">
        <is>
          <t>2.1 Remuneraciones</t>
        </is>
      </c>
      <c r="E46" s="6" t="inlineStr">
        <is>
          <t>Calidad</t>
        </is>
      </c>
      <c r="F46" s="6" t="inlineStr">
        <is>
          <t>pos_sal</t>
        </is>
      </c>
      <c r="G46" s="24" t="n">
        <v>-723448.34</v>
      </c>
      <c r="H46" s="24">
        <f>$G46*Supuestos!D$10*(Drivers!D$21/Drivers!$C$21)</f>
        <v/>
      </c>
      <c r="I46" s="24">
        <f>$G46*Supuestos!E$10*(Drivers!E$21/Drivers!$C$21)</f>
        <v/>
      </c>
      <c r="J46" s="24">
        <f>$G46*Supuestos!F$10*(Drivers!F$21/Drivers!$C$21)</f>
        <v/>
      </c>
      <c r="K46" s="24">
        <f>$G46*Supuestos!G$10*(Drivers!G$21/Drivers!$C$21)</f>
        <v/>
      </c>
      <c r="L46" s="24">
        <f>$G46*Supuestos!H$10*(Drivers!H$21/Drivers!$C$21)</f>
        <v/>
      </c>
      <c r="M46" s="24">
        <f>$G46*Supuestos!I$10*(Drivers!I$21/Drivers!$C$21)</f>
        <v/>
      </c>
      <c r="N46" s="24">
        <f>$G46*Supuestos!J$10*(Drivers!J$21/Drivers!$C$21)</f>
        <v/>
      </c>
      <c r="O46" s="24">
        <f>$G46*Supuestos!K$10*(Drivers!K$21/Drivers!$C$21)</f>
        <v/>
      </c>
      <c r="P46" s="24">
        <f>$G46*Supuestos!L$10*(Drivers!L$21/Drivers!$C$21)</f>
        <v/>
      </c>
      <c r="Q46" s="24">
        <f>$G46*Supuestos!M$10*(Drivers!M$21/Drivers!$C$21)</f>
        <v/>
      </c>
      <c r="R46" s="24">
        <f>$G46*Supuestos!N$10*(Drivers!N$21/Drivers!$C$21)</f>
        <v/>
      </c>
      <c r="S46" s="24">
        <f>$G46*Supuestos!O$10*(Drivers!O$21/Drivers!$C$21)</f>
        <v/>
      </c>
      <c r="T46" s="24">
        <f>$G46*Supuestos!P$10*(Drivers!P$21/Drivers!$C$21)</f>
        <v/>
      </c>
      <c r="U46" s="24">
        <f>$G46*Supuestos!Q$10*(Drivers!Q$21/Drivers!$C$21)</f>
        <v/>
      </c>
      <c r="V46" s="24">
        <f>$G46*Supuestos!R$10*(Drivers!R$21/Drivers!$C$21)</f>
        <v/>
      </c>
    </row>
    <row r="47">
      <c r="A47" s="6" t="inlineStr">
        <is>
          <t>RSM</t>
        </is>
      </c>
      <c r="B47" s="6" t="inlineStr">
        <is>
          <t>ARS</t>
        </is>
      </c>
      <c r="C47" s="6" t="inlineStr">
        <is>
          <t>2 Costos de Explotación</t>
        </is>
      </c>
      <c r="D47" s="6" t="inlineStr">
        <is>
          <t>2.1 Remuneraciones</t>
        </is>
      </c>
      <c r="E47" s="6" t="inlineStr">
        <is>
          <t>Back Office</t>
        </is>
      </c>
      <c r="F47" s="6" t="inlineStr">
        <is>
          <t>pos_sal</t>
        </is>
      </c>
      <c r="G47" s="24" t="n">
        <v>-493260.31</v>
      </c>
      <c r="H47" s="24">
        <f>$G47*Supuestos!D$10*(Drivers!D$21/Drivers!$C$21)</f>
        <v/>
      </c>
      <c r="I47" s="24">
        <f>$G47*Supuestos!E$10*(Drivers!E$21/Drivers!$C$21)</f>
        <v/>
      </c>
      <c r="J47" s="24">
        <f>$G47*Supuestos!F$10*(Drivers!F$21/Drivers!$C$21)</f>
        <v/>
      </c>
      <c r="K47" s="24">
        <f>$G47*Supuestos!G$10*(Drivers!G$21/Drivers!$C$21)</f>
        <v/>
      </c>
      <c r="L47" s="24">
        <f>$G47*Supuestos!H$10*(Drivers!H$21/Drivers!$C$21)</f>
        <v/>
      </c>
      <c r="M47" s="24">
        <f>$G47*Supuestos!I$10*(Drivers!I$21/Drivers!$C$21)</f>
        <v/>
      </c>
      <c r="N47" s="24">
        <f>$G47*Supuestos!J$10*(Drivers!J$21/Drivers!$C$21)</f>
        <v/>
      </c>
      <c r="O47" s="24">
        <f>$G47*Supuestos!K$10*(Drivers!K$21/Drivers!$C$21)</f>
        <v/>
      </c>
      <c r="P47" s="24">
        <f>$G47*Supuestos!L$10*(Drivers!L$21/Drivers!$C$21)</f>
        <v/>
      </c>
      <c r="Q47" s="24">
        <f>$G47*Supuestos!M$10*(Drivers!M$21/Drivers!$C$21)</f>
        <v/>
      </c>
      <c r="R47" s="24">
        <f>$G47*Supuestos!N$10*(Drivers!N$21/Drivers!$C$21)</f>
        <v/>
      </c>
      <c r="S47" s="24">
        <f>$G47*Supuestos!O$10*(Drivers!O$21/Drivers!$C$21)</f>
        <v/>
      </c>
      <c r="T47" s="24">
        <f>$G47*Supuestos!P$10*(Drivers!P$21/Drivers!$C$21)</f>
        <v/>
      </c>
      <c r="U47" s="24">
        <f>$G47*Supuestos!Q$10*(Drivers!Q$21/Drivers!$C$21)</f>
        <v/>
      </c>
      <c r="V47" s="24">
        <f>$G47*Supuestos!R$10*(Drivers!R$21/Drivers!$C$21)</f>
        <v/>
      </c>
    </row>
    <row r="48">
      <c r="A48" s="6" t="inlineStr">
        <is>
          <t>RSM</t>
        </is>
      </c>
      <c r="B48" s="6" t="inlineStr">
        <is>
          <t>ARS</t>
        </is>
      </c>
      <c r="C48" s="6" t="inlineStr">
        <is>
          <t>2 Costos de Explotación</t>
        </is>
      </c>
      <c r="D48" s="6" t="inlineStr">
        <is>
          <t>2.1 Remuneraciones</t>
        </is>
      </c>
      <c r="E48" s="6" t="inlineStr">
        <is>
          <t>Ejecutivos de cuenta</t>
        </is>
      </c>
      <c r="F48" s="6" t="inlineStr">
        <is>
          <t>pos_sal</t>
        </is>
      </c>
      <c r="G48" s="24" t="n">
        <v>-937194.75</v>
      </c>
      <c r="H48" s="24">
        <f>$G48*Supuestos!D$10*(Drivers!D$21/Drivers!$C$21)</f>
        <v/>
      </c>
      <c r="I48" s="24">
        <f>$G48*Supuestos!E$10*(Drivers!E$21/Drivers!$C$21)</f>
        <v/>
      </c>
      <c r="J48" s="24">
        <f>$G48*Supuestos!F$10*(Drivers!F$21/Drivers!$C$21)</f>
        <v/>
      </c>
      <c r="K48" s="24">
        <f>$G48*Supuestos!G$10*(Drivers!G$21/Drivers!$C$21)</f>
        <v/>
      </c>
      <c r="L48" s="24">
        <f>$G48*Supuestos!H$10*(Drivers!H$21/Drivers!$C$21)</f>
        <v/>
      </c>
      <c r="M48" s="24">
        <f>$G48*Supuestos!I$10*(Drivers!I$21/Drivers!$C$21)</f>
        <v/>
      </c>
      <c r="N48" s="24">
        <f>$G48*Supuestos!J$10*(Drivers!J$21/Drivers!$C$21)</f>
        <v/>
      </c>
      <c r="O48" s="24">
        <f>$G48*Supuestos!K$10*(Drivers!K$21/Drivers!$C$21)</f>
        <v/>
      </c>
      <c r="P48" s="24">
        <f>$G48*Supuestos!L$10*(Drivers!L$21/Drivers!$C$21)</f>
        <v/>
      </c>
      <c r="Q48" s="24">
        <f>$G48*Supuestos!M$10*(Drivers!M$21/Drivers!$C$21)</f>
        <v/>
      </c>
      <c r="R48" s="24">
        <f>$G48*Supuestos!N$10*(Drivers!N$21/Drivers!$C$21)</f>
        <v/>
      </c>
      <c r="S48" s="24">
        <f>$G48*Supuestos!O$10*(Drivers!O$21/Drivers!$C$21)</f>
        <v/>
      </c>
      <c r="T48" s="24">
        <f>$G48*Supuestos!P$10*(Drivers!P$21/Drivers!$C$21)</f>
        <v/>
      </c>
      <c r="U48" s="24">
        <f>$G48*Supuestos!Q$10*(Drivers!Q$21/Drivers!$C$21)</f>
        <v/>
      </c>
      <c r="V48" s="24">
        <f>$G48*Supuestos!R$10*(Drivers!R$21/Drivers!$C$21)</f>
        <v/>
      </c>
    </row>
    <row r="49">
      <c r="A49" s="6" t="inlineStr">
        <is>
          <t>RSM</t>
        </is>
      </c>
      <c r="B49" s="6" t="inlineStr">
        <is>
          <t>ARS</t>
        </is>
      </c>
      <c r="C49" s="6" t="inlineStr">
        <is>
          <t>2 Costos de Explotación</t>
        </is>
      </c>
      <c r="D49" s="6" t="inlineStr">
        <is>
          <t>2.1 Remuneraciones</t>
        </is>
      </c>
      <c r="E49" s="6" t="inlineStr">
        <is>
          <t>Gerencia de Operaciones</t>
        </is>
      </c>
      <c r="F49" s="6" t="inlineStr">
        <is>
          <t>pos_sal</t>
        </is>
      </c>
      <c r="G49" s="24" t="n">
        <v>-1052288.77</v>
      </c>
      <c r="H49" s="24">
        <f>$G49*Supuestos!D$10*(Drivers!D$21/Drivers!$C$21)</f>
        <v/>
      </c>
      <c r="I49" s="24">
        <f>$G49*Supuestos!E$10*(Drivers!E$21/Drivers!$C$21)</f>
        <v/>
      </c>
      <c r="J49" s="24">
        <f>$G49*Supuestos!F$10*(Drivers!F$21/Drivers!$C$21)</f>
        <v/>
      </c>
      <c r="K49" s="24">
        <f>$G49*Supuestos!G$10*(Drivers!G$21/Drivers!$C$21)</f>
        <v/>
      </c>
      <c r="L49" s="24">
        <f>$G49*Supuestos!H$10*(Drivers!H$21/Drivers!$C$21)</f>
        <v/>
      </c>
      <c r="M49" s="24">
        <f>$G49*Supuestos!I$10*(Drivers!I$21/Drivers!$C$21)</f>
        <v/>
      </c>
      <c r="N49" s="24">
        <f>$G49*Supuestos!J$10*(Drivers!J$21/Drivers!$C$21)</f>
        <v/>
      </c>
      <c r="O49" s="24">
        <f>$G49*Supuestos!K$10*(Drivers!K$21/Drivers!$C$21)</f>
        <v/>
      </c>
      <c r="P49" s="24">
        <f>$G49*Supuestos!L$10*(Drivers!L$21/Drivers!$C$21)</f>
        <v/>
      </c>
      <c r="Q49" s="24">
        <f>$G49*Supuestos!M$10*(Drivers!M$21/Drivers!$C$21)</f>
        <v/>
      </c>
      <c r="R49" s="24">
        <f>$G49*Supuestos!N$10*(Drivers!N$21/Drivers!$C$21)</f>
        <v/>
      </c>
      <c r="S49" s="24">
        <f>$G49*Supuestos!O$10*(Drivers!O$21/Drivers!$C$21)</f>
        <v/>
      </c>
      <c r="T49" s="24">
        <f>$G49*Supuestos!P$10*(Drivers!P$21/Drivers!$C$21)</f>
        <v/>
      </c>
      <c r="U49" s="24">
        <f>$G49*Supuestos!Q$10*(Drivers!Q$21/Drivers!$C$21)</f>
        <v/>
      </c>
      <c r="V49" s="24">
        <f>$G49*Supuestos!R$10*(Drivers!R$21/Drivers!$C$21)</f>
        <v/>
      </c>
    </row>
    <row r="50">
      <c r="A50" s="6" t="inlineStr">
        <is>
          <t>RSM</t>
        </is>
      </c>
      <c r="B50" s="6" t="inlineStr">
        <is>
          <t>ARS</t>
        </is>
      </c>
      <c r="C50" s="6" t="inlineStr">
        <is>
          <t>2 Costos de Explotación</t>
        </is>
      </c>
      <c r="D50" s="6" t="inlineStr">
        <is>
          <t>2.1 Remuneraciones</t>
        </is>
      </c>
      <c r="E50" s="6" t="inlineStr">
        <is>
          <t>Indemnizaciones</t>
        </is>
      </c>
      <c r="F50" s="6" t="inlineStr">
        <is>
          <t>zero</t>
        </is>
      </c>
      <c r="G50" s="24" t="n">
        <v>-6407595.33</v>
      </c>
      <c r="H50" s="24">
        <f>0</f>
        <v/>
      </c>
      <c r="I50" s="24">
        <f>0</f>
        <v/>
      </c>
      <c r="J50" s="24">
        <f>0</f>
        <v/>
      </c>
      <c r="K50" s="24">
        <f>0</f>
        <v/>
      </c>
      <c r="L50" s="24">
        <f>0</f>
        <v/>
      </c>
      <c r="M50" s="24">
        <f>0</f>
        <v/>
      </c>
      <c r="N50" s="24">
        <f>0</f>
        <v/>
      </c>
      <c r="O50" s="24">
        <f>0</f>
        <v/>
      </c>
      <c r="P50" s="24">
        <f>0</f>
        <v/>
      </c>
      <c r="Q50" s="24">
        <f>0</f>
        <v/>
      </c>
      <c r="R50" s="24">
        <f>0</f>
        <v/>
      </c>
      <c r="S50" s="24">
        <f>0</f>
        <v/>
      </c>
      <c r="T50" s="24">
        <f>0</f>
        <v/>
      </c>
      <c r="U50" s="24">
        <f>0</f>
        <v/>
      </c>
      <c r="V50" s="24">
        <f>0</f>
        <v/>
      </c>
    </row>
    <row r="51">
      <c r="A51" s="6" t="inlineStr">
        <is>
          <t>RSM</t>
        </is>
      </c>
      <c r="B51" s="6" t="inlineStr">
        <is>
          <t>ARS</t>
        </is>
      </c>
      <c r="C51" s="6" t="inlineStr">
        <is>
          <t>2 Costos de Explotación</t>
        </is>
      </c>
      <c r="D51" s="6" t="inlineStr">
        <is>
          <t>2.2 Servicios de Terceros</t>
        </is>
      </c>
      <c r="E51" s="6" t="inlineStr">
        <is>
          <t>Posiciones Paraguay</t>
        </is>
      </c>
      <c r="F51" s="6" t="inlineStr">
        <is>
          <t>pos_usd</t>
        </is>
      </c>
      <c r="G51" s="24" t="n">
        <v>-11534250</v>
      </c>
      <c r="H51" s="24">
        <f>$G51*Supuestos!D$8*(Drivers!D$21/Drivers!$C$21)</f>
        <v/>
      </c>
      <c r="I51" s="24">
        <f>$G51*Supuestos!E$8*(Drivers!E$21/Drivers!$C$21)</f>
        <v/>
      </c>
      <c r="J51" s="24">
        <f>$G51*Supuestos!F$8*(Drivers!F$21/Drivers!$C$21)</f>
        <v/>
      </c>
      <c r="K51" s="24">
        <f>$G51*Supuestos!G$8*(Drivers!G$21/Drivers!$C$21)</f>
        <v/>
      </c>
      <c r="L51" s="24">
        <f>$G51*Supuestos!H$8*(Drivers!H$21/Drivers!$C$21)</f>
        <v/>
      </c>
      <c r="M51" s="24">
        <f>$G51*Supuestos!I$8*(Drivers!I$21/Drivers!$C$21)</f>
        <v/>
      </c>
      <c r="N51" s="24">
        <f>$G51*Supuestos!J$8*(Drivers!J$21/Drivers!$C$21)</f>
        <v/>
      </c>
      <c r="O51" s="24">
        <f>$G51*Supuestos!K$8*(Drivers!K$21/Drivers!$C$21)</f>
        <v/>
      </c>
      <c r="P51" s="24">
        <f>$G51*Supuestos!L$8*(Drivers!L$21/Drivers!$C$21)</f>
        <v/>
      </c>
      <c r="Q51" s="24">
        <f>$G51*Supuestos!M$8*(Drivers!M$21/Drivers!$C$21)</f>
        <v/>
      </c>
      <c r="R51" s="24">
        <f>$G51*Supuestos!N$8*(Drivers!N$21/Drivers!$C$21)</f>
        <v/>
      </c>
      <c r="S51" s="24">
        <f>$G51*Supuestos!O$8*(Drivers!O$21/Drivers!$C$21)</f>
        <v/>
      </c>
      <c r="T51" s="24">
        <f>$G51*Supuestos!P$8*(Drivers!P$21/Drivers!$C$21)</f>
        <v/>
      </c>
      <c r="U51" s="24">
        <f>$G51*Supuestos!Q$8*(Drivers!Q$21/Drivers!$C$21)</f>
        <v/>
      </c>
      <c r="V51" s="24">
        <f>$G51*Supuestos!R$8*(Drivers!R$21/Drivers!$C$21)</f>
        <v/>
      </c>
    </row>
    <row r="52">
      <c r="A52" s="6" t="inlineStr">
        <is>
          <t>RSM</t>
        </is>
      </c>
      <c r="B52" s="6" t="inlineStr">
        <is>
          <t>ARS</t>
        </is>
      </c>
      <c r="C52" s="6" t="inlineStr">
        <is>
          <t>2 Costos de Explotación</t>
        </is>
      </c>
      <c r="D52" s="6" t="inlineStr">
        <is>
          <t>2.3 Licencias</t>
        </is>
      </c>
      <c r="E52" s="6" t="inlineStr">
        <is>
          <t>Licencias discador/CRM</t>
        </is>
      </c>
      <c r="F52" s="6" t="inlineStr">
        <is>
          <t>pos_usd</t>
        </is>
      </c>
      <c r="G52" s="24" t="n">
        <v>-1351350</v>
      </c>
      <c r="H52" s="24">
        <f>$G52*Supuestos!D$8*(Drivers!D$21/Drivers!$C$21)</f>
        <v/>
      </c>
      <c r="I52" s="24">
        <f>$G52*Supuestos!E$8*(Drivers!E$21/Drivers!$C$21)</f>
        <v/>
      </c>
      <c r="J52" s="24">
        <f>$G52*Supuestos!F$8*(Drivers!F$21/Drivers!$C$21)</f>
        <v/>
      </c>
      <c r="K52" s="24">
        <f>$G52*Supuestos!G$8*(Drivers!G$21/Drivers!$C$21)</f>
        <v/>
      </c>
      <c r="L52" s="24">
        <f>$G52*Supuestos!H$8*(Drivers!H$21/Drivers!$C$21)</f>
        <v/>
      </c>
      <c r="M52" s="24">
        <f>$G52*Supuestos!I$8*(Drivers!I$21/Drivers!$C$21)</f>
        <v/>
      </c>
      <c r="N52" s="24">
        <f>$G52*Supuestos!J$8*(Drivers!J$21/Drivers!$C$21)</f>
        <v/>
      </c>
      <c r="O52" s="24">
        <f>$G52*Supuestos!K$8*(Drivers!K$21/Drivers!$C$21)</f>
        <v/>
      </c>
      <c r="P52" s="24">
        <f>$G52*Supuestos!L$8*(Drivers!L$21/Drivers!$C$21)</f>
        <v/>
      </c>
      <c r="Q52" s="24">
        <f>$G52*Supuestos!M$8*(Drivers!M$21/Drivers!$C$21)</f>
        <v/>
      </c>
      <c r="R52" s="24">
        <f>$G52*Supuestos!N$8*(Drivers!N$21/Drivers!$C$21)</f>
        <v/>
      </c>
      <c r="S52" s="24">
        <f>$G52*Supuestos!O$8*(Drivers!O$21/Drivers!$C$21)</f>
        <v/>
      </c>
      <c r="T52" s="24">
        <f>$G52*Supuestos!P$8*(Drivers!P$21/Drivers!$C$21)</f>
        <v/>
      </c>
      <c r="U52" s="24">
        <f>$G52*Supuestos!Q$8*(Drivers!Q$21/Drivers!$C$21)</f>
        <v/>
      </c>
      <c r="V52" s="24">
        <f>$G52*Supuestos!R$8*(Drivers!R$21/Drivers!$C$21)</f>
        <v/>
      </c>
    </row>
    <row r="53">
      <c r="A53" s="6" t="inlineStr">
        <is>
          <t>RSM</t>
        </is>
      </c>
      <c r="B53" s="6" t="inlineStr">
        <is>
          <t>ARS</t>
        </is>
      </c>
      <c r="C53" s="6" t="inlineStr">
        <is>
          <t>2 Costos de Explotación</t>
        </is>
      </c>
      <c r="D53" s="6" t="inlineStr">
        <is>
          <t>2.5 Telefonía</t>
        </is>
      </c>
      <c r="E53" s="6" t="inlineStr">
        <is>
          <t>Telefonía celular</t>
        </is>
      </c>
      <c r="F53" s="6" t="inlineStr">
        <is>
          <t>pos_inf</t>
        </is>
      </c>
      <c r="G53" s="24" t="n">
        <v>-778501.05</v>
      </c>
      <c r="H53" s="24">
        <f>$G53*Supuestos!D$6*(Drivers!D$21/Drivers!$C$21)</f>
        <v/>
      </c>
      <c r="I53" s="24">
        <f>$G53*Supuestos!E$6*(Drivers!E$21/Drivers!$C$21)</f>
        <v/>
      </c>
      <c r="J53" s="24">
        <f>$G53*Supuestos!F$6*(Drivers!F$21/Drivers!$C$21)</f>
        <v/>
      </c>
      <c r="K53" s="24">
        <f>$G53*Supuestos!G$6*(Drivers!G$21/Drivers!$C$21)</f>
        <v/>
      </c>
      <c r="L53" s="24">
        <f>$G53*Supuestos!H$6*(Drivers!H$21/Drivers!$C$21)</f>
        <v/>
      </c>
      <c r="M53" s="24">
        <f>$G53*Supuestos!I$6*(Drivers!I$21/Drivers!$C$21)</f>
        <v/>
      </c>
      <c r="N53" s="24">
        <f>$G53*Supuestos!J$6*(Drivers!J$21/Drivers!$C$21)</f>
        <v/>
      </c>
      <c r="O53" s="24">
        <f>$G53*Supuestos!K$6*(Drivers!K$21/Drivers!$C$21)</f>
        <v/>
      </c>
      <c r="P53" s="24">
        <f>$G53*Supuestos!L$6*(Drivers!L$21/Drivers!$C$21)</f>
        <v/>
      </c>
      <c r="Q53" s="24">
        <f>$G53*Supuestos!M$6*(Drivers!M$21/Drivers!$C$21)</f>
        <v/>
      </c>
      <c r="R53" s="24">
        <f>$G53*Supuestos!N$6*(Drivers!N$21/Drivers!$C$21)</f>
        <v/>
      </c>
      <c r="S53" s="24">
        <f>$G53*Supuestos!O$6*(Drivers!O$21/Drivers!$C$21)</f>
        <v/>
      </c>
      <c r="T53" s="24">
        <f>$G53*Supuestos!P$6*(Drivers!P$21/Drivers!$C$21)</f>
        <v/>
      </c>
      <c r="U53" s="24">
        <f>$G53*Supuestos!Q$6*(Drivers!Q$21/Drivers!$C$21)</f>
        <v/>
      </c>
      <c r="V53" s="24">
        <f>$G53*Supuestos!R$6*(Drivers!R$21/Drivers!$C$21)</f>
        <v/>
      </c>
    </row>
    <row r="54">
      <c r="A54" s="6" t="inlineStr">
        <is>
          <t>RSM</t>
        </is>
      </c>
      <c r="B54" s="6" t="inlineStr">
        <is>
          <t>ARS</t>
        </is>
      </c>
      <c r="C54" s="6" t="inlineStr">
        <is>
          <t>2 Costos de Explotación</t>
        </is>
      </c>
      <c r="D54" s="6" t="inlineStr">
        <is>
          <t>2.5 Telefonía</t>
        </is>
      </c>
      <c r="E54" s="6" t="inlineStr">
        <is>
          <t>Telefonía LDN</t>
        </is>
      </c>
      <c r="F54" s="6" t="inlineStr">
        <is>
          <t>pos_inf</t>
        </is>
      </c>
      <c r="G54" s="24" t="n">
        <v>-200185.9</v>
      </c>
      <c r="H54" s="24">
        <f>$G54*Supuestos!D$6*(Drivers!D$21/Drivers!$C$21)</f>
        <v/>
      </c>
      <c r="I54" s="24">
        <f>$G54*Supuestos!E$6*(Drivers!E$21/Drivers!$C$21)</f>
        <v/>
      </c>
      <c r="J54" s="24">
        <f>$G54*Supuestos!F$6*(Drivers!F$21/Drivers!$C$21)</f>
        <v/>
      </c>
      <c r="K54" s="24">
        <f>$G54*Supuestos!G$6*(Drivers!G$21/Drivers!$C$21)</f>
        <v/>
      </c>
      <c r="L54" s="24">
        <f>$G54*Supuestos!H$6*(Drivers!H$21/Drivers!$C$21)</f>
        <v/>
      </c>
      <c r="M54" s="24">
        <f>$G54*Supuestos!I$6*(Drivers!I$21/Drivers!$C$21)</f>
        <v/>
      </c>
      <c r="N54" s="24">
        <f>$G54*Supuestos!J$6*(Drivers!J$21/Drivers!$C$21)</f>
        <v/>
      </c>
      <c r="O54" s="24">
        <f>$G54*Supuestos!K$6*(Drivers!K$21/Drivers!$C$21)</f>
        <v/>
      </c>
      <c r="P54" s="24">
        <f>$G54*Supuestos!L$6*(Drivers!L$21/Drivers!$C$21)</f>
        <v/>
      </c>
      <c r="Q54" s="24">
        <f>$G54*Supuestos!M$6*(Drivers!M$21/Drivers!$C$21)</f>
        <v/>
      </c>
      <c r="R54" s="24">
        <f>$G54*Supuestos!N$6*(Drivers!N$21/Drivers!$C$21)</f>
        <v/>
      </c>
      <c r="S54" s="24">
        <f>$G54*Supuestos!O$6*(Drivers!O$21/Drivers!$C$21)</f>
        <v/>
      </c>
      <c r="T54" s="24">
        <f>$G54*Supuestos!P$6*(Drivers!P$21/Drivers!$C$21)</f>
        <v/>
      </c>
      <c r="U54" s="24">
        <f>$G54*Supuestos!Q$6*(Drivers!Q$21/Drivers!$C$21)</f>
        <v/>
      </c>
      <c r="V54" s="24">
        <f>$G54*Supuestos!R$6*(Drivers!R$21/Drivers!$C$21)</f>
        <v/>
      </c>
    </row>
    <row r="55">
      <c r="A55" s="6" t="inlineStr">
        <is>
          <t>RSM</t>
        </is>
      </c>
      <c r="B55" s="6" t="inlineStr">
        <is>
          <t>ARS</t>
        </is>
      </c>
      <c r="C55" s="6" t="inlineStr">
        <is>
          <t>2 Costos de Explotación</t>
        </is>
      </c>
      <c r="D55" s="6" t="inlineStr">
        <is>
          <t>2.5 Telefonía</t>
        </is>
      </c>
      <c r="E55" s="6" t="inlineStr">
        <is>
          <t>Telefonía local y 0800</t>
        </is>
      </c>
      <c r="F55" s="6" t="inlineStr">
        <is>
          <t>pos_inf</t>
        </is>
      </c>
      <c r="G55" s="24" t="n">
        <v>-133457.16</v>
      </c>
      <c r="H55" s="24">
        <f>$G55*Supuestos!D$6*(Drivers!D$21/Drivers!$C$21)</f>
        <v/>
      </c>
      <c r="I55" s="24">
        <f>$G55*Supuestos!E$6*(Drivers!E$21/Drivers!$C$21)</f>
        <v/>
      </c>
      <c r="J55" s="24">
        <f>$G55*Supuestos!F$6*(Drivers!F$21/Drivers!$C$21)</f>
        <v/>
      </c>
      <c r="K55" s="24">
        <f>$G55*Supuestos!G$6*(Drivers!G$21/Drivers!$C$21)</f>
        <v/>
      </c>
      <c r="L55" s="24">
        <f>$G55*Supuestos!H$6*(Drivers!H$21/Drivers!$C$21)</f>
        <v/>
      </c>
      <c r="M55" s="24">
        <f>$G55*Supuestos!I$6*(Drivers!I$21/Drivers!$C$21)</f>
        <v/>
      </c>
      <c r="N55" s="24">
        <f>$G55*Supuestos!J$6*(Drivers!J$21/Drivers!$C$21)</f>
        <v/>
      </c>
      <c r="O55" s="24">
        <f>$G55*Supuestos!K$6*(Drivers!K$21/Drivers!$C$21)</f>
        <v/>
      </c>
      <c r="P55" s="24">
        <f>$G55*Supuestos!L$6*(Drivers!L$21/Drivers!$C$21)</f>
        <v/>
      </c>
      <c r="Q55" s="24">
        <f>$G55*Supuestos!M$6*(Drivers!M$21/Drivers!$C$21)</f>
        <v/>
      </c>
      <c r="R55" s="24">
        <f>$G55*Supuestos!N$6*(Drivers!N$21/Drivers!$C$21)</f>
        <v/>
      </c>
      <c r="S55" s="24">
        <f>$G55*Supuestos!O$6*(Drivers!O$21/Drivers!$C$21)</f>
        <v/>
      </c>
      <c r="T55" s="24">
        <f>$G55*Supuestos!P$6*(Drivers!P$21/Drivers!$C$21)</f>
        <v/>
      </c>
      <c r="U55" s="24">
        <f>$G55*Supuestos!Q$6*(Drivers!Q$21/Drivers!$C$21)</f>
        <v/>
      </c>
      <c r="V55" s="24">
        <f>$G55*Supuestos!R$6*(Drivers!R$21/Drivers!$C$21)</f>
        <v/>
      </c>
    </row>
    <row r="56">
      <c r="A56" s="6" t="inlineStr">
        <is>
          <t>RSM</t>
        </is>
      </c>
      <c r="B56" s="6" t="inlineStr">
        <is>
          <t>ARS</t>
        </is>
      </c>
      <c r="C56" s="6" t="inlineStr">
        <is>
          <t>2 Costos de Explotación</t>
        </is>
      </c>
      <c r="D56" s="6" t="inlineStr">
        <is>
          <t>2.6 SMS</t>
        </is>
      </c>
      <c r="E56" s="6" t="inlineStr">
        <is>
          <t>SMS</t>
        </is>
      </c>
      <c r="F56" s="6" t="inlineStr">
        <is>
          <t>sms</t>
        </is>
      </c>
      <c r="G56" s="24" t="n">
        <v>-1111555.1</v>
      </c>
      <c r="H56" s="24">
        <f>$G56*Supuestos!D$12*(Drivers!D$18/100)</f>
        <v/>
      </c>
      <c r="I56" s="24">
        <f>$G56*Supuestos!E$12*(Drivers!E$18/100)</f>
        <v/>
      </c>
      <c r="J56" s="24">
        <f>$G56*Supuestos!F$12*(Drivers!F$18/100)</f>
        <v/>
      </c>
      <c r="K56" s="24">
        <f>$G56*Supuestos!G$12*(Drivers!G$18/100)</f>
        <v/>
      </c>
      <c r="L56" s="24">
        <f>$G56*Supuestos!H$12*(Drivers!H$18/100)</f>
        <v/>
      </c>
      <c r="M56" s="24">
        <f>$G56*Supuestos!I$12*(Drivers!I$18/100)</f>
        <v/>
      </c>
      <c r="N56" s="24">
        <f>$G56*Supuestos!J$12*(Drivers!J$18/100)</f>
        <v/>
      </c>
      <c r="O56" s="24">
        <f>$G56*Supuestos!K$12*(Drivers!K$18/100)</f>
        <v/>
      </c>
      <c r="P56" s="24">
        <f>$G56*Supuestos!L$12*(Drivers!L$18/100)</f>
        <v/>
      </c>
      <c r="Q56" s="24">
        <f>$G56*Supuestos!M$12*(Drivers!M$18/100)</f>
        <v/>
      </c>
      <c r="R56" s="24">
        <f>$G56*Supuestos!N$12*(Drivers!N$18/100)</f>
        <v/>
      </c>
      <c r="S56" s="24">
        <f>$G56*Supuestos!O$12*(Drivers!O$18/100)</f>
        <v/>
      </c>
      <c r="T56" s="24">
        <f>$G56*Supuestos!P$12*(Drivers!P$18/100)</f>
        <v/>
      </c>
      <c r="U56" s="24">
        <f>$G56*Supuestos!Q$12*(Drivers!Q$18/100)</f>
        <v/>
      </c>
      <c r="V56" s="24">
        <f>$G56*Supuestos!R$12*(Drivers!R$18/100)</f>
        <v/>
      </c>
    </row>
    <row r="57">
      <c r="A57" s="6" t="inlineStr">
        <is>
          <t>RSM</t>
        </is>
      </c>
      <c r="B57" s="6" t="inlineStr">
        <is>
          <t>ARS</t>
        </is>
      </c>
      <c r="C57" s="6" t="inlineStr">
        <is>
          <t>2 Costos de Explotación</t>
        </is>
      </c>
      <c r="D57" s="6" t="inlineStr">
        <is>
          <t>2.7 Bocas de Cobranza</t>
        </is>
      </c>
      <c r="E57" s="6" t="inlineStr">
        <is>
          <t>Bocas de cobranza</t>
        </is>
      </c>
      <c r="F57" s="6" t="inlineStr">
        <is>
          <t>vol_inf</t>
        </is>
      </c>
      <c r="G57" s="24" t="n">
        <v>-702313.84</v>
      </c>
      <c r="H57" s="24">
        <f>$G57*Supuestos!D$6*(Drivers!D$18/100)</f>
        <v/>
      </c>
      <c r="I57" s="24">
        <f>$G57*Supuestos!E$6*(Drivers!E$18/100)</f>
        <v/>
      </c>
      <c r="J57" s="24">
        <f>$G57*Supuestos!F$6*(Drivers!F$18/100)</f>
        <v/>
      </c>
      <c r="K57" s="24">
        <f>$G57*Supuestos!G$6*(Drivers!G$18/100)</f>
        <v/>
      </c>
      <c r="L57" s="24">
        <f>$G57*Supuestos!H$6*(Drivers!H$18/100)</f>
        <v/>
      </c>
      <c r="M57" s="24">
        <f>$G57*Supuestos!I$6*(Drivers!I$18/100)</f>
        <v/>
      </c>
      <c r="N57" s="24">
        <f>$G57*Supuestos!J$6*(Drivers!J$18/100)</f>
        <v/>
      </c>
      <c r="O57" s="24">
        <f>$G57*Supuestos!K$6*(Drivers!K$18/100)</f>
        <v/>
      </c>
      <c r="P57" s="24">
        <f>$G57*Supuestos!L$6*(Drivers!L$18/100)</f>
        <v/>
      </c>
      <c r="Q57" s="24">
        <f>$G57*Supuestos!M$6*(Drivers!M$18/100)</f>
        <v/>
      </c>
      <c r="R57" s="24">
        <f>$G57*Supuestos!N$6*(Drivers!N$18/100)</f>
        <v/>
      </c>
      <c r="S57" s="24">
        <f>$G57*Supuestos!O$6*(Drivers!O$18/100)</f>
        <v/>
      </c>
      <c r="T57" s="24">
        <f>$G57*Supuestos!P$6*(Drivers!P$18/100)</f>
        <v/>
      </c>
      <c r="U57" s="24">
        <f>$G57*Supuestos!Q$6*(Drivers!Q$18/100)</f>
        <v/>
      </c>
      <c r="V57" s="24">
        <f>$G57*Supuestos!R$6*(Drivers!R$18/100)</f>
        <v/>
      </c>
    </row>
    <row r="58">
      <c r="A58" s="6" t="inlineStr">
        <is>
          <t>RSM</t>
        </is>
      </c>
      <c r="B58" s="6" t="inlineStr">
        <is>
          <t>ARS</t>
        </is>
      </c>
      <c r="C58" s="6" t="inlineStr">
        <is>
          <t>2 Costos de Explotación</t>
        </is>
      </c>
      <c r="D58" s="6" t="inlineStr">
        <is>
          <t>2.8 Mailing</t>
        </is>
      </c>
      <c r="E58" s="6" t="inlineStr">
        <is>
          <t>Mailing</t>
        </is>
      </c>
      <c r="F58" s="6" t="inlineStr">
        <is>
          <t>vol_usd</t>
        </is>
      </c>
      <c r="G58" s="24" t="n">
        <v>-354489.97</v>
      </c>
      <c r="H58" s="24">
        <f>$G58*Supuestos!D$8*(Drivers!D$18/100)</f>
        <v/>
      </c>
      <c r="I58" s="24">
        <f>$G58*Supuestos!E$8*(Drivers!E$18/100)</f>
        <v/>
      </c>
      <c r="J58" s="24">
        <f>$G58*Supuestos!F$8*(Drivers!F$18/100)</f>
        <v/>
      </c>
      <c r="K58" s="24">
        <f>$G58*Supuestos!G$8*(Drivers!G$18/100)</f>
        <v/>
      </c>
      <c r="L58" s="24">
        <f>$G58*Supuestos!H$8*(Drivers!H$18/100)</f>
        <v/>
      </c>
      <c r="M58" s="24">
        <f>$G58*Supuestos!I$8*(Drivers!I$18/100)</f>
        <v/>
      </c>
      <c r="N58" s="24">
        <f>$G58*Supuestos!J$8*(Drivers!J$18/100)</f>
        <v/>
      </c>
      <c r="O58" s="24">
        <f>$G58*Supuestos!K$8*(Drivers!K$18/100)</f>
        <v/>
      </c>
      <c r="P58" s="24">
        <f>$G58*Supuestos!L$8*(Drivers!L$18/100)</f>
        <v/>
      </c>
      <c r="Q58" s="24">
        <f>$G58*Supuestos!M$8*(Drivers!M$18/100)</f>
        <v/>
      </c>
      <c r="R58" s="24">
        <f>$G58*Supuestos!N$8*(Drivers!N$18/100)</f>
        <v/>
      </c>
      <c r="S58" s="24">
        <f>$G58*Supuestos!O$8*(Drivers!O$18/100)</f>
        <v/>
      </c>
      <c r="T58" s="24">
        <f>$G58*Supuestos!P$8*(Drivers!P$18/100)</f>
        <v/>
      </c>
      <c r="U58" s="24">
        <f>$G58*Supuestos!Q$8*(Drivers!Q$18/100)</f>
        <v/>
      </c>
      <c r="V58" s="24">
        <f>$G58*Supuestos!R$8*(Drivers!R$18/100)</f>
        <v/>
      </c>
    </row>
    <row r="59">
      <c r="A59" s="6" t="inlineStr">
        <is>
          <t>RSM</t>
        </is>
      </c>
      <c r="B59" s="6" t="inlineStr">
        <is>
          <t>ARS</t>
        </is>
      </c>
      <c r="C59" s="6" t="inlineStr">
        <is>
          <t>2 Costos de Explotación</t>
        </is>
      </c>
      <c r="D59" s="6" t="inlineStr">
        <is>
          <t>2.9 Informes Comerciales</t>
        </is>
      </c>
      <c r="E59" s="6" t="inlineStr">
        <is>
          <t>Informes comerciales</t>
        </is>
      </c>
      <c r="F59" s="6" t="inlineStr">
        <is>
          <t>vol_inf</t>
        </is>
      </c>
      <c r="G59" s="24" t="n">
        <v>-151292.71</v>
      </c>
      <c r="H59" s="24">
        <f>$G59*Supuestos!D$6*(Drivers!D$18/100)</f>
        <v/>
      </c>
      <c r="I59" s="24">
        <f>$G59*Supuestos!E$6*(Drivers!E$18/100)</f>
        <v/>
      </c>
      <c r="J59" s="24">
        <f>$G59*Supuestos!F$6*(Drivers!F$18/100)</f>
        <v/>
      </c>
      <c r="K59" s="24">
        <f>$G59*Supuestos!G$6*(Drivers!G$18/100)</f>
        <v/>
      </c>
      <c r="L59" s="24">
        <f>$G59*Supuestos!H$6*(Drivers!H$18/100)</f>
        <v/>
      </c>
      <c r="M59" s="24">
        <f>$G59*Supuestos!I$6*(Drivers!I$18/100)</f>
        <v/>
      </c>
      <c r="N59" s="24">
        <f>$G59*Supuestos!J$6*(Drivers!J$18/100)</f>
        <v/>
      </c>
      <c r="O59" s="24">
        <f>$G59*Supuestos!K$6*(Drivers!K$18/100)</f>
        <v/>
      </c>
      <c r="P59" s="24">
        <f>$G59*Supuestos!L$6*(Drivers!L$18/100)</f>
        <v/>
      </c>
      <c r="Q59" s="24">
        <f>$G59*Supuestos!M$6*(Drivers!M$18/100)</f>
        <v/>
      </c>
      <c r="R59" s="24">
        <f>$G59*Supuestos!N$6*(Drivers!N$18/100)</f>
        <v/>
      </c>
      <c r="S59" s="24">
        <f>$G59*Supuestos!O$6*(Drivers!O$18/100)</f>
        <v/>
      </c>
      <c r="T59" s="24">
        <f>$G59*Supuestos!P$6*(Drivers!P$18/100)</f>
        <v/>
      </c>
      <c r="U59" s="24">
        <f>$G59*Supuestos!Q$6*(Drivers!Q$18/100)</f>
        <v/>
      </c>
      <c r="V59" s="24">
        <f>$G59*Supuestos!R$6*(Drivers!R$18/100)</f>
        <v/>
      </c>
    </row>
    <row r="60">
      <c r="A60" s="6" t="inlineStr">
        <is>
          <t>RSM</t>
        </is>
      </c>
      <c r="B60" s="6" t="inlineStr">
        <is>
          <t>ARS</t>
        </is>
      </c>
      <c r="C60" s="6" t="inlineStr">
        <is>
          <t>2 Costos de Explotación</t>
        </is>
      </c>
      <c r="D60" s="6" t="inlineStr">
        <is>
          <t>2.12 WhatsApp</t>
        </is>
      </c>
      <c r="E60" s="6" t="inlineStr">
        <is>
          <t>WhatsApp</t>
        </is>
      </c>
      <c r="F60" s="6" t="inlineStr">
        <is>
          <t>vol_usd</t>
        </is>
      </c>
      <c r="G60" s="24" t="n">
        <v>-304395</v>
      </c>
      <c r="H60" s="24">
        <f>$G60*Supuestos!D$8*(Drivers!D$18/100)</f>
        <v/>
      </c>
      <c r="I60" s="24">
        <f>$G60*Supuestos!E$8*(Drivers!E$18/100)</f>
        <v/>
      </c>
      <c r="J60" s="24">
        <f>$G60*Supuestos!F$8*(Drivers!F$18/100)</f>
        <v/>
      </c>
      <c r="K60" s="24">
        <f>$G60*Supuestos!G$8*(Drivers!G$18/100)</f>
        <v/>
      </c>
      <c r="L60" s="24">
        <f>$G60*Supuestos!H$8*(Drivers!H$18/100)</f>
        <v/>
      </c>
      <c r="M60" s="24">
        <f>$G60*Supuestos!I$8*(Drivers!I$18/100)</f>
        <v/>
      </c>
      <c r="N60" s="24">
        <f>$G60*Supuestos!J$8*(Drivers!J$18/100)</f>
        <v/>
      </c>
      <c r="O60" s="24">
        <f>$G60*Supuestos!K$8*(Drivers!K$18/100)</f>
        <v/>
      </c>
      <c r="P60" s="24">
        <f>$G60*Supuestos!L$8*(Drivers!L$18/100)</f>
        <v/>
      </c>
      <c r="Q60" s="24">
        <f>$G60*Supuestos!M$8*(Drivers!M$18/100)</f>
        <v/>
      </c>
      <c r="R60" s="24">
        <f>$G60*Supuestos!N$8*(Drivers!N$18/100)</f>
        <v/>
      </c>
      <c r="S60" s="24">
        <f>$G60*Supuestos!O$8*(Drivers!O$18/100)</f>
        <v/>
      </c>
      <c r="T60" s="24">
        <f>$G60*Supuestos!P$8*(Drivers!P$18/100)</f>
        <v/>
      </c>
      <c r="U60" s="24">
        <f>$G60*Supuestos!Q$8*(Drivers!Q$18/100)</f>
        <v/>
      </c>
      <c r="V60" s="24">
        <f>$G60*Supuestos!R$8*(Drivers!R$18/100)</f>
        <v/>
      </c>
    </row>
    <row r="61">
      <c r="A61" s="6" t="inlineStr">
        <is>
          <t>RSM</t>
        </is>
      </c>
      <c r="B61" s="6" t="inlineStr">
        <is>
          <t>ARS</t>
        </is>
      </c>
      <c r="C61" s="6" t="inlineStr">
        <is>
          <t>3 Impuestos Directos</t>
        </is>
      </c>
      <c r="D61" s="6" t="inlineStr">
        <is>
          <t>3.1 Ingresos Brutos</t>
        </is>
      </c>
      <c r="E61" s="6" t="inlineStr">
        <is>
          <t>Ingresos Brutos</t>
        </is>
      </c>
      <c r="F61" s="6" t="inlineStr">
        <is>
          <t>iibb</t>
        </is>
      </c>
      <c r="G61" s="24" t="n">
        <v>-1384424.7</v>
      </c>
      <c r="H61" s="24">
        <f>$G61*Supuestos!D$6*(Drivers!D$18/100)*(Drivers!D$19/Drivers!$C$19)*(Drivers!D$20/Drivers!$C$20)*Supuestos!D$13</f>
        <v/>
      </c>
      <c r="I61" s="24">
        <f>$G61*Supuestos!E$6*(Drivers!E$18/100)*(Drivers!E$19/Drivers!$C$19)*(Drivers!E$20/Drivers!$C$20)*Supuestos!E$13</f>
        <v/>
      </c>
      <c r="J61" s="24">
        <f>$G61*Supuestos!F$6*(Drivers!F$18/100)*(Drivers!F$19/Drivers!$C$19)*(Drivers!F$20/Drivers!$C$20)*Supuestos!F$13</f>
        <v/>
      </c>
      <c r="K61" s="24">
        <f>$G61*Supuestos!G$6*(Drivers!G$18/100)*(Drivers!G$19/Drivers!$C$19)*(Drivers!G$20/Drivers!$C$20)*Supuestos!G$13</f>
        <v/>
      </c>
      <c r="L61" s="24">
        <f>$G61*Supuestos!H$6*(Drivers!H$18/100)*(Drivers!H$19/Drivers!$C$19)*(Drivers!H$20/Drivers!$C$20)*Supuestos!H$13</f>
        <v/>
      </c>
      <c r="M61" s="24">
        <f>$G61*Supuestos!I$6*(Drivers!I$18/100)*(Drivers!I$19/Drivers!$C$19)*(Drivers!I$20/Drivers!$C$20)*Supuestos!I$13</f>
        <v/>
      </c>
      <c r="N61" s="24">
        <f>$G61*Supuestos!J$6*(Drivers!J$18/100)*(Drivers!J$19/Drivers!$C$19)*(Drivers!J$20/Drivers!$C$20)*Supuestos!J$13</f>
        <v/>
      </c>
      <c r="O61" s="24">
        <f>$G61*Supuestos!K$6*(Drivers!K$18/100)*(Drivers!K$19/Drivers!$C$19)*(Drivers!K$20/Drivers!$C$20)*Supuestos!K$13</f>
        <v/>
      </c>
      <c r="P61" s="24">
        <f>$G61*Supuestos!L$6*(Drivers!L$18/100)*(Drivers!L$19/Drivers!$C$19)*(Drivers!L$20/Drivers!$C$20)*Supuestos!L$13</f>
        <v/>
      </c>
      <c r="Q61" s="24">
        <f>$G61*Supuestos!M$6*(Drivers!M$18/100)*(Drivers!M$19/Drivers!$C$19)*(Drivers!M$20/Drivers!$C$20)*Supuestos!M$13</f>
        <v/>
      </c>
      <c r="R61" s="24">
        <f>$G61*Supuestos!N$6*(Drivers!N$18/100)*(Drivers!N$19/Drivers!$C$19)*(Drivers!N$20/Drivers!$C$20)*Supuestos!N$13</f>
        <v/>
      </c>
      <c r="S61" s="24">
        <f>$G61*Supuestos!O$6*(Drivers!O$18/100)*(Drivers!O$19/Drivers!$C$19)*(Drivers!O$20/Drivers!$C$20)*Supuestos!O$13</f>
        <v/>
      </c>
      <c r="T61" s="24">
        <f>$G61*Supuestos!P$6*(Drivers!P$18/100)*(Drivers!P$19/Drivers!$C$19)*(Drivers!P$20/Drivers!$C$20)*Supuestos!P$13</f>
        <v/>
      </c>
      <c r="U61" s="24">
        <f>$G61*Supuestos!Q$6*(Drivers!Q$18/100)*(Drivers!Q$19/Drivers!$C$19)*(Drivers!Q$20/Drivers!$C$20)*Supuestos!Q$13</f>
        <v/>
      </c>
      <c r="V61" s="24">
        <f>$G61*Supuestos!R$6*(Drivers!R$18/100)*(Drivers!R$19/Drivers!$C$19)*(Drivers!R$20/Drivers!$C$20)*Supuestos!R$13</f>
        <v/>
      </c>
    </row>
    <row r="62">
      <c r="A62" s="6" t="inlineStr">
        <is>
          <t>FPG</t>
        </is>
      </c>
      <c r="B62" s="6" t="inlineStr">
        <is>
          <t>ARS</t>
        </is>
      </c>
      <c r="C62" s="6" t="inlineStr">
        <is>
          <t>1 Ingreso Operacional</t>
        </is>
      </c>
      <c r="D62" s="6" t="inlineStr">
        <is>
          <t>1.1 Ingreso Cobranzas</t>
        </is>
      </c>
      <c r="E62" s="6" t="inlineStr">
        <is>
          <t>Ingreso por recupero</t>
        </is>
      </c>
      <c r="F62" s="6" t="inlineStr">
        <is>
          <t>rev</t>
        </is>
      </c>
      <c r="G62" s="24" t="n">
        <v>29712691.98</v>
      </c>
      <c r="H62" s="24">
        <f>$G62*Supuestos!D$6*(Drivers!D$24/100)*(Drivers!D$25/Drivers!$C$25)*(Drivers!D$26/Drivers!$C$26)*Supuestos!D$13</f>
        <v/>
      </c>
      <c r="I62" s="24">
        <f>$G62*Supuestos!E$6*(Drivers!E$24/100)*(Drivers!E$25/Drivers!$C$25)*(Drivers!E$26/Drivers!$C$26)*Supuestos!E$13</f>
        <v/>
      </c>
      <c r="J62" s="24">
        <f>$G62*Supuestos!F$6*(Drivers!F$24/100)*(Drivers!F$25/Drivers!$C$25)*(Drivers!F$26/Drivers!$C$26)*Supuestos!F$13</f>
        <v/>
      </c>
      <c r="K62" s="24">
        <f>$G62*Supuestos!G$6*(Drivers!G$24/100)*(Drivers!G$25/Drivers!$C$25)*(Drivers!G$26/Drivers!$C$26)*Supuestos!G$13</f>
        <v/>
      </c>
      <c r="L62" s="24">
        <f>$G62*Supuestos!H$6*(Drivers!H$24/100)*(Drivers!H$25/Drivers!$C$25)*(Drivers!H$26/Drivers!$C$26)*Supuestos!H$13</f>
        <v/>
      </c>
      <c r="M62" s="24">
        <f>$G62*Supuestos!I$6*(Drivers!I$24/100)*(Drivers!I$25/Drivers!$C$25)*(Drivers!I$26/Drivers!$C$26)*Supuestos!I$13</f>
        <v/>
      </c>
      <c r="N62" s="24">
        <f>$G62*Supuestos!J$6*(Drivers!J$24/100)*(Drivers!J$25/Drivers!$C$25)*(Drivers!J$26/Drivers!$C$26)*Supuestos!J$13</f>
        <v/>
      </c>
      <c r="O62" s="24">
        <f>$G62*Supuestos!K$6*(Drivers!K$24/100)*(Drivers!K$25/Drivers!$C$25)*(Drivers!K$26/Drivers!$C$26)*Supuestos!K$13</f>
        <v/>
      </c>
      <c r="P62" s="24">
        <f>$G62*Supuestos!L$6*(Drivers!L$24/100)*(Drivers!L$25/Drivers!$C$25)*(Drivers!L$26/Drivers!$C$26)*Supuestos!L$13</f>
        <v/>
      </c>
      <c r="Q62" s="24">
        <f>$G62*Supuestos!M$6*(Drivers!M$24/100)*(Drivers!M$25/Drivers!$C$25)*(Drivers!M$26/Drivers!$C$26)*Supuestos!M$13</f>
        <v/>
      </c>
      <c r="R62" s="24">
        <f>$G62*Supuestos!N$6*(Drivers!N$24/100)*(Drivers!N$25/Drivers!$C$25)*(Drivers!N$26/Drivers!$C$26)*Supuestos!N$13</f>
        <v/>
      </c>
      <c r="S62" s="24">
        <f>$G62*Supuestos!O$6*(Drivers!O$24/100)*(Drivers!O$25/Drivers!$C$25)*(Drivers!O$26/Drivers!$C$26)*Supuestos!O$13</f>
        <v/>
      </c>
      <c r="T62" s="24">
        <f>$G62*Supuestos!P$6*(Drivers!P$24/100)*(Drivers!P$25/Drivers!$C$25)*(Drivers!P$26/Drivers!$C$26)*Supuestos!P$13</f>
        <v/>
      </c>
      <c r="U62" s="24">
        <f>$G62*Supuestos!Q$6*(Drivers!Q$24/100)*(Drivers!Q$25/Drivers!$C$25)*(Drivers!Q$26/Drivers!$C$26)*Supuestos!Q$13</f>
        <v/>
      </c>
      <c r="V62" s="24">
        <f>$G62*Supuestos!R$6*(Drivers!R$24/100)*(Drivers!R$25/Drivers!$C$25)*(Drivers!R$26/Drivers!$C$26)*Supuestos!R$13</f>
        <v/>
      </c>
    </row>
    <row r="63">
      <c r="A63" s="6" t="inlineStr">
        <is>
          <t>FPG</t>
        </is>
      </c>
      <c r="B63" s="6" t="inlineStr">
        <is>
          <t>ARS</t>
        </is>
      </c>
      <c r="C63" s="6" t="inlineStr">
        <is>
          <t>2 Costos de Explotación</t>
        </is>
      </c>
      <c r="D63" s="6" t="inlineStr">
        <is>
          <t>2.1 Remuneraciones</t>
        </is>
      </c>
      <c r="E63" s="6" t="inlineStr">
        <is>
          <t>Operadores</t>
        </is>
      </c>
      <c r="F63" s="6" t="inlineStr">
        <is>
          <t>pos_sal</t>
        </is>
      </c>
      <c r="G63" s="24" t="n">
        <v>-8105145.03</v>
      </c>
      <c r="H63" s="24">
        <f>$G63*Supuestos!D$10*(Drivers!D$27/Drivers!$C$27)</f>
        <v/>
      </c>
      <c r="I63" s="24">
        <f>$G63*Supuestos!E$10*(Drivers!E$27/Drivers!$C$27)</f>
        <v/>
      </c>
      <c r="J63" s="24">
        <f>$G63*Supuestos!F$10*(Drivers!F$27/Drivers!$C$27)</f>
        <v/>
      </c>
      <c r="K63" s="24">
        <f>$G63*Supuestos!G$10*(Drivers!G$27/Drivers!$C$27)</f>
        <v/>
      </c>
      <c r="L63" s="24">
        <f>$G63*Supuestos!H$10*(Drivers!H$27/Drivers!$C$27)</f>
        <v/>
      </c>
      <c r="M63" s="24">
        <f>$G63*Supuestos!I$10*(Drivers!I$27/Drivers!$C$27)</f>
        <v/>
      </c>
      <c r="N63" s="24">
        <f>$G63*Supuestos!J$10*(Drivers!J$27/Drivers!$C$27)</f>
        <v/>
      </c>
      <c r="O63" s="24">
        <f>$G63*Supuestos!K$10*(Drivers!K$27/Drivers!$C$27)</f>
        <v/>
      </c>
      <c r="P63" s="24">
        <f>$G63*Supuestos!L$10*(Drivers!L$27/Drivers!$C$27)</f>
        <v/>
      </c>
      <c r="Q63" s="24">
        <f>$G63*Supuestos!M$10*(Drivers!M$27/Drivers!$C$27)</f>
        <v/>
      </c>
      <c r="R63" s="24">
        <f>$G63*Supuestos!N$10*(Drivers!N$27/Drivers!$C$27)</f>
        <v/>
      </c>
      <c r="S63" s="24">
        <f>$G63*Supuestos!O$10*(Drivers!O$27/Drivers!$C$27)</f>
        <v/>
      </c>
      <c r="T63" s="24">
        <f>$G63*Supuestos!P$10*(Drivers!P$27/Drivers!$C$27)</f>
        <v/>
      </c>
      <c r="U63" s="24">
        <f>$G63*Supuestos!Q$10*(Drivers!Q$27/Drivers!$C$27)</f>
        <v/>
      </c>
      <c r="V63" s="24">
        <f>$G63*Supuestos!R$10*(Drivers!R$27/Drivers!$C$27)</f>
        <v/>
      </c>
    </row>
    <row r="64">
      <c r="A64" s="6" t="inlineStr">
        <is>
          <t>FPG</t>
        </is>
      </c>
      <c r="B64" s="6" t="inlineStr">
        <is>
          <t>ARS</t>
        </is>
      </c>
      <c r="C64" s="6" t="inlineStr">
        <is>
          <t>2 Costos de Explotación</t>
        </is>
      </c>
      <c r="D64" s="6" t="inlineStr">
        <is>
          <t>2.1 Remuneraciones</t>
        </is>
      </c>
      <c r="E64" s="6" t="inlineStr">
        <is>
          <t>Supervisión</t>
        </is>
      </c>
      <c r="F64" s="6" t="inlineStr">
        <is>
          <t>pos_sal</t>
        </is>
      </c>
      <c r="G64" s="24" t="n">
        <v>-1251087.34</v>
      </c>
      <c r="H64" s="24">
        <f>$G64*Supuestos!D$10*(Drivers!D$27/Drivers!$C$27)</f>
        <v/>
      </c>
      <c r="I64" s="24">
        <f>$G64*Supuestos!E$10*(Drivers!E$27/Drivers!$C$27)</f>
        <v/>
      </c>
      <c r="J64" s="24">
        <f>$G64*Supuestos!F$10*(Drivers!F$27/Drivers!$C$27)</f>
        <v/>
      </c>
      <c r="K64" s="24">
        <f>$G64*Supuestos!G$10*(Drivers!G$27/Drivers!$C$27)</f>
        <v/>
      </c>
      <c r="L64" s="24">
        <f>$G64*Supuestos!H$10*(Drivers!H$27/Drivers!$C$27)</f>
        <v/>
      </c>
      <c r="M64" s="24">
        <f>$G64*Supuestos!I$10*(Drivers!I$27/Drivers!$C$27)</f>
        <v/>
      </c>
      <c r="N64" s="24">
        <f>$G64*Supuestos!J$10*(Drivers!J$27/Drivers!$C$27)</f>
        <v/>
      </c>
      <c r="O64" s="24">
        <f>$G64*Supuestos!K$10*(Drivers!K$27/Drivers!$C$27)</f>
        <v/>
      </c>
      <c r="P64" s="24">
        <f>$G64*Supuestos!L$10*(Drivers!L$27/Drivers!$C$27)</f>
        <v/>
      </c>
      <c r="Q64" s="24">
        <f>$G64*Supuestos!M$10*(Drivers!M$27/Drivers!$C$27)</f>
        <v/>
      </c>
      <c r="R64" s="24">
        <f>$G64*Supuestos!N$10*(Drivers!N$27/Drivers!$C$27)</f>
        <v/>
      </c>
      <c r="S64" s="24">
        <f>$G64*Supuestos!O$10*(Drivers!O$27/Drivers!$C$27)</f>
        <v/>
      </c>
      <c r="T64" s="24">
        <f>$G64*Supuestos!P$10*(Drivers!P$27/Drivers!$C$27)</f>
        <v/>
      </c>
      <c r="U64" s="24">
        <f>$G64*Supuestos!Q$10*(Drivers!Q$27/Drivers!$C$27)</f>
        <v/>
      </c>
      <c r="V64" s="24">
        <f>$G64*Supuestos!R$10*(Drivers!R$27/Drivers!$C$27)</f>
        <v/>
      </c>
    </row>
    <row r="65">
      <c r="A65" s="6" t="inlineStr">
        <is>
          <t>FPG</t>
        </is>
      </c>
      <c r="B65" s="6" t="inlineStr">
        <is>
          <t>ARS</t>
        </is>
      </c>
      <c r="C65" s="6" t="inlineStr">
        <is>
          <t>2 Costos de Explotación</t>
        </is>
      </c>
      <c r="D65" s="6" t="inlineStr">
        <is>
          <t>2.1 Remuneraciones</t>
        </is>
      </c>
      <c r="E65" s="6" t="inlineStr">
        <is>
          <t>Calidad</t>
        </is>
      </c>
      <c r="F65" s="6" t="inlineStr">
        <is>
          <t>pos_sal</t>
        </is>
      </c>
      <c r="G65" s="24" t="n">
        <v>-295956.19</v>
      </c>
      <c r="H65" s="24">
        <f>$G65*Supuestos!D$10*(Drivers!D$27/Drivers!$C$27)</f>
        <v/>
      </c>
      <c r="I65" s="24">
        <f>$G65*Supuestos!E$10*(Drivers!E$27/Drivers!$C$27)</f>
        <v/>
      </c>
      <c r="J65" s="24">
        <f>$G65*Supuestos!F$10*(Drivers!F$27/Drivers!$C$27)</f>
        <v/>
      </c>
      <c r="K65" s="24">
        <f>$G65*Supuestos!G$10*(Drivers!G$27/Drivers!$C$27)</f>
        <v/>
      </c>
      <c r="L65" s="24">
        <f>$G65*Supuestos!H$10*(Drivers!H$27/Drivers!$C$27)</f>
        <v/>
      </c>
      <c r="M65" s="24">
        <f>$G65*Supuestos!I$10*(Drivers!I$27/Drivers!$C$27)</f>
        <v/>
      </c>
      <c r="N65" s="24">
        <f>$G65*Supuestos!J$10*(Drivers!J$27/Drivers!$C$27)</f>
        <v/>
      </c>
      <c r="O65" s="24">
        <f>$G65*Supuestos!K$10*(Drivers!K$27/Drivers!$C$27)</f>
        <v/>
      </c>
      <c r="P65" s="24">
        <f>$G65*Supuestos!L$10*(Drivers!L$27/Drivers!$C$27)</f>
        <v/>
      </c>
      <c r="Q65" s="24">
        <f>$G65*Supuestos!M$10*(Drivers!M$27/Drivers!$C$27)</f>
        <v/>
      </c>
      <c r="R65" s="24">
        <f>$G65*Supuestos!N$10*(Drivers!N$27/Drivers!$C$27)</f>
        <v/>
      </c>
      <c r="S65" s="24">
        <f>$G65*Supuestos!O$10*(Drivers!O$27/Drivers!$C$27)</f>
        <v/>
      </c>
      <c r="T65" s="24">
        <f>$G65*Supuestos!P$10*(Drivers!P$27/Drivers!$C$27)</f>
        <v/>
      </c>
      <c r="U65" s="24">
        <f>$G65*Supuestos!Q$10*(Drivers!Q$27/Drivers!$C$27)</f>
        <v/>
      </c>
      <c r="V65" s="24">
        <f>$G65*Supuestos!R$10*(Drivers!R$27/Drivers!$C$27)</f>
        <v/>
      </c>
    </row>
    <row r="66">
      <c r="A66" s="6" t="inlineStr">
        <is>
          <t>FPG</t>
        </is>
      </c>
      <c r="B66" s="6" t="inlineStr">
        <is>
          <t>ARS</t>
        </is>
      </c>
      <c r="C66" s="6" t="inlineStr">
        <is>
          <t>2 Costos de Explotación</t>
        </is>
      </c>
      <c r="D66" s="6" t="inlineStr">
        <is>
          <t>2.1 Remuneraciones</t>
        </is>
      </c>
      <c r="E66" s="6" t="inlineStr">
        <is>
          <t>Back Office</t>
        </is>
      </c>
      <c r="F66" s="6" t="inlineStr">
        <is>
          <t>pos_sal</t>
        </is>
      </c>
      <c r="G66" s="24" t="n">
        <v>-201788.48</v>
      </c>
      <c r="H66" s="24">
        <f>$G66*Supuestos!D$10*(Drivers!D$27/Drivers!$C$27)</f>
        <v/>
      </c>
      <c r="I66" s="24">
        <f>$G66*Supuestos!E$10*(Drivers!E$27/Drivers!$C$27)</f>
        <v/>
      </c>
      <c r="J66" s="24">
        <f>$G66*Supuestos!F$10*(Drivers!F$27/Drivers!$C$27)</f>
        <v/>
      </c>
      <c r="K66" s="24">
        <f>$G66*Supuestos!G$10*(Drivers!G$27/Drivers!$C$27)</f>
        <v/>
      </c>
      <c r="L66" s="24">
        <f>$G66*Supuestos!H$10*(Drivers!H$27/Drivers!$C$27)</f>
        <v/>
      </c>
      <c r="M66" s="24">
        <f>$G66*Supuestos!I$10*(Drivers!I$27/Drivers!$C$27)</f>
        <v/>
      </c>
      <c r="N66" s="24">
        <f>$G66*Supuestos!J$10*(Drivers!J$27/Drivers!$C$27)</f>
        <v/>
      </c>
      <c r="O66" s="24">
        <f>$G66*Supuestos!K$10*(Drivers!K$27/Drivers!$C$27)</f>
        <v/>
      </c>
      <c r="P66" s="24">
        <f>$G66*Supuestos!L$10*(Drivers!L$27/Drivers!$C$27)</f>
        <v/>
      </c>
      <c r="Q66" s="24">
        <f>$G66*Supuestos!M$10*(Drivers!M$27/Drivers!$C$27)</f>
        <v/>
      </c>
      <c r="R66" s="24">
        <f>$G66*Supuestos!N$10*(Drivers!N$27/Drivers!$C$27)</f>
        <v/>
      </c>
      <c r="S66" s="24">
        <f>$G66*Supuestos!O$10*(Drivers!O$27/Drivers!$C$27)</f>
        <v/>
      </c>
      <c r="T66" s="24">
        <f>$G66*Supuestos!P$10*(Drivers!P$27/Drivers!$C$27)</f>
        <v/>
      </c>
      <c r="U66" s="24">
        <f>$G66*Supuestos!Q$10*(Drivers!Q$27/Drivers!$C$27)</f>
        <v/>
      </c>
      <c r="V66" s="24">
        <f>$G66*Supuestos!R$10*(Drivers!R$27/Drivers!$C$27)</f>
        <v/>
      </c>
    </row>
    <row r="67">
      <c r="A67" s="6" t="inlineStr">
        <is>
          <t>FPG</t>
        </is>
      </c>
      <c r="B67" s="6" t="inlineStr">
        <is>
          <t>ARS</t>
        </is>
      </c>
      <c r="C67" s="6" t="inlineStr">
        <is>
          <t>2 Costos de Explotación</t>
        </is>
      </c>
      <c r="D67" s="6" t="inlineStr">
        <is>
          <t>2.1 Remuneraciones</t>
        </is>
      </c>
      <c r="E67" s="6" t="inlineStr">
        <is>
          <t>Ejecutivos de cuenta</t>
        </is>
      </c>
      <c r="F67" s="6" t="inlineStr">
        <is>
          <t>pos_sal</t>
        </is>
      </c>
      <c r="G67" s="24" t="n">
        <v>-383397.87</v>
      </c>
      <c r="H67" s="24">
        <f>$G67*Supuestos!D$10*(Drivers!D$27/Drivers!$C$27)</f>
        <v/>
      </c>
      <c r="I67" s="24">
        <f>$G67*Supuestos!E$10*(Drivers!E$27/Drivers!$C$27)</f>
        <v/>
      </c>
      <c r="J67" s="24">
        <f>$G67*Supuestos!F$10*(Drivers!F$27/Drivers!$C$27)</f>
        <v/>
      </c>
      <c r="K67" s="24">
        <f>$G67*Supuestos!G$10*(Drivers!G$27/Drivers!$C$27)</f>
        <v/>
      </c>
      <c r="L67" s="24">
        <f>$G67*Supuestos!H$10*(Drivers!H$27/Drivers!$C$27)</f>
        <v/>
      </c>
      <c r="M67" s="24">
        <f>$G67*Supuestos!I$10*(Drivers!I$27/Drivers!$C$27)</f>
        <v/>
      </c>
      <c r="N67" s="24">
        <f>$G67*Supuestos!J$10*(Drivers!J$27/Drivers!$C$27)</f>
        <v/>
      </c>
      <c r="O67" s="24">
        <f>$G67*Supuestos!K$10*(Drivers!K$27/Drivers!$C$27)</f>
        <v/>
      </c>
      <c r="P67" s="24">
        <f>$G67*Supuestos!L$10*(Drivers!L$27/Drivers!$C$27)</f>
        <v/>
      </c>
      <c r="Q67" s="24">
        <f>$G67*Supuestos!M$10*(Drivers!M$27/Drivers!$C$27)</f>
        <v/>
      </c>
      <c r="R67" s="24">
        <f>$G67*Supuestos!N$10*(Drivers!N$27/Drivers!$C$27)</f>
        <v/>
      </c>
      <c r="S67" s="24">
        <f>$G67*Supuestos!O$10*(Drivers!O$27/Drivers!$C$27)</f>
        <v/>
      </c>
      <c r="T67" s="24">
        <f>$G67*Supuestos!P$10*(Drivers!P$27/Drivers!$C$27)</f>
        <v/>
      </c>
      <c r="U67" s="24">
        <f>$G67*Supuestos!Q$10*(Drivers!Q$27/Drivers!$C$27)</f>
        <v/>
      </c>
      <c r="V67" s="24">
        <f>$G67*Supuestos!R$10*(Drivers!R$27/Drivers!$C$27)</f>
        <v/>
      </c>
    </row>
    <row r="68">
      <c r="A68" s="6" t="inlineStr">
        <is>
          <t>FPG</t>
        </is>
      </c>
      <c r="B68" s="6" t="inlineStr">
        <is>
          <t>ARS</t>
        </is>
      </c>
      <c r="C68" s="6" t="inlineStr">
        <is>
          <t>2 Costos de Explotación</t>
        </is>
      </c>
      <c r="D68" s="6" t="inlineStr">
        <is>
          <t>2.1 Remuneraciones</t>
        </is>
      </c>
      <c r="E68" s="6" t="inlineStr">
        <is>
          <t>Gerencia de Operaciones</t>
        </is>
      </c>
      <c r="F68" s="6" t="inlineStr">
        <is>
          <t>pos_sal</t>
        </is>
      </c>
      <c r="G68" s="24" t="n">
        <v>-430482.06</v>
      </c>
      <c r="H68" s="24">
        <f>$G68*Supuestos!D$10*(Drivers!D$27/Drivers!$C$27)</f>
        <v/>
      </c>
      <c r="I68" s="24">
        <f>$G68*Supuestos!E$10*(Drivers!E$27/Drivers!$C$27)</f>
        <v/>
      </c>
      <c r="J68" s="24">
        <f>$G68*Supuestos!F$10*(Drivers!F$27/Drivers!$C$27)</f>
        <v/>
      </c>
      <c r="K68" s="24">
        <f>$G68*Supuestos!G$10*(Drivers!G$27/Drivers!$C$27)</f>
        <v/>
      </c>
      <c r="L68" s="24">
        <f>$G68*Supuestos!H$10*(Drivers!H$27/Drivers!$C$27)</f>
        <v/>
      </c>
      <c r="M68" s="24">
        <f>$G68*Supuestos!I$10*(Drivers!I$27/Drivers!$C$27)</f>
        <v/>
      </c>
      <c r="N68" s="24">
        <f>$G68*Supuestos!J$10*(Drivers!J$27/Drivers!$C$27)</f>
        <v/>
      </c>
      <c r="O68" s="24">
        <f>$G68*Supuestos!K$10*(Drivers!K$27/Drivers!$C$27)</f>
        <v/>
      </c>
      <c r="P68" s="24">
        <f>$G68*Supuestos!L$10*(Drivers!L$27/Drivers!$C$27)</f>
        <v/>
      </c>
      <c r="Q68" s="24">
        <f>$G68*Supuestos!M$10*(Drivers!M$27/Drivers!$C$27)</f>
        <v/>
      </c>
      <c r="R68" s="24">
        <f>$G68*Supuestos!N$10*(Drivers!N$27/Drivers!$C$27)</f>
        <v/>
      </c>
      <c r="S68" s="24">
        <f>$G68*Supuestos!O$10*(Drivers!O$27/Drivers!$C$27)</f>
        <v/>
      </c>
      <c r="T68" s="24">
        <f>$G68*Supuestos!P$10*(Drivers!P$27/Drivers!$C$27)</f>
        <v/>
      </c>
      <c r="U68" s="24">
        <f>$G68*Supuestos!Q$10*(Drivers!Q$27/Drivers!$C$27)</f>
        <v/>
      </c>
      <c r="V68" s="24">
        <f>$G68*Supuestos!R$10*(Drivers!R$27/Drivers!$C$27)</f>
        <v/>
      </c>
    </row>
    <row r="69">
      <c r="A69" s="6" t="inlineStr">
        <is>
          <t>FPG</t>
        </is>
      </c>
      <c r="B69" s="6" t="inlineStr">
        <is>
          <t>ARS</t>
        </is>
      </c>
      <c r="C69" s="6" t="inlineStr">
        <is>
          <t>2 Costos de Explotación</t>
        </is>
      </c>
      <c r="D69" s="6" t="inlineStr">
        <is>
          <t>2.1 Remuneraciones</t>
        </is>
      </c>
      <c r="E69" s="6" t="inlineStr">
        <is>
          <t>Indemnizaciones</t>
        </is>
      </c>
      <c r="F69" s="6" t="inlineStr">
        <is>
          <t>zero</t>
        </is>
      </c>
      <c r="G69" s="24" t="n">
        <v>-67579.50999999999</v>
      </c>
      <c r="H69" s="24">
        <f>0</f>
        <v/>
      </c>
      <c r="I69" s="24">
        <f>0</f>
        <v/>
      </c>
      <c r="J69" s="24">
        <f>0</f>
        <v/>
      </c>
      <c r="K69" s="24">
        <f>0</f>
        <v/>
      </c>
      <c r="L69" s="24">
        <f>0</f>
        <v/>
      </c>
      <c r="M69" s="24">
        <f>0</f>
        <v/>
      </c>
      <c r="N69" s="24">
        <f>0</f>
        <v/>
      </c>
      <c r="O69" s="24">
        <f>0</f>
        <v/>
      </c>
      <c r="P69" s="24">
        <f>0</f>
        <v/>
      </c>
      <c r="Q69" s="24">
        <f>0</f>
        <v/>
      </c>
      <c r="R69" s="24">
        <f>0</f>
        <v/>
      </c>
      <c r="S69" s="24">
        <f>0</f>
        <v/>
      </c>
      <c r="T69" s="24">
        <f>0</f>
        <v/>
      </c>
      <c r="U69" s="24">
        <f>0</f>
        <v/>
      </c>
      <c r="V69" s="24">
        <f>0</f>
        <v/>
      </c>
    </row>
    <row r="70">
      <c r="A70" s="6" t="inlineStr">
        <is>
          <t>FPG</t>
        </is>
      </c>
      <c r="B70" s="6" t="inlineStr">
        <is>
          <t>ARS</t>
        </is>
      </c>
      <c r="C70" s="6" t="inlineStr">
        <is>
          <t>2 Costos de Explotación</t>
        </is>
      </c>
      <c r="D70" s="6" t="inlineStr">
        <is>
          <t>2.3 Licencias</t>
        </is>
      </c>
      <c r="E70" s="6" t="inlineStr">
        <is>
          <t>Licencias discador/CRM</t>
        </is>
      </c>
      <c r="F70" s="6" t="inlineStr">
        <is>
          <t>pos_usd</t>
        </is>
      </c>
      <c r="G70" s="24" t="n">
        <v>-552825</v>
      </c>
      <c r="H70" s="24">
        <f>$G70*Supuestos!D$8*(Drivers!D$27/Drivers!$C$27)</f>
        <v/>
      </c>
      <c r="I70" s="24">
        <f>$G70*Supuestos!E$8*(Drivers!E$27/Drivers!$C$27)</f>
        <v/>
      </c>
      <c r="J70" s="24">
        <f>$G70*Supuestos!F$8*(Drivers!F$27/Drivers!$C$27)</f>
        <v/>
      </c>
      <c r="K70" s="24">
        <f>$G70*Supuestos!G$8*(Drivers!G$27/Drivers!$C$27)</f>
        <v/>
      </c>
      <c r="L70" s="24">
        <f>$G70*Supuestos!H$8*(Drivers!H$27/Drivers!$C$27)</f>
        <v/>
      </c>
      <c r="M70" s="24">
        <f>$G70*Supuestos!I$8*(Drivers!I$27/Drivers!$C$27)</f>
        <v/>
      </c>
      <c r="N70" s="24">
        <f>$G70*Supuestos!J$8*(Drivers!J$27/Drivers!$C$27)</f>
        <v/>
      </c>
      <c r="O70" s="24">
        <f>$G70*Supuestos!K$8*(Drivers!K$27/Drivers!$C$27)</f>
        <v/>
      </c>
      <c r="P70" s="24">
        <f>$G70*Supuestos!L$8*(Drivers!L$27/Drivers!$C$27)</f>
        <v/>
      </c>
      <c r="Q70" s="24">
        <f>$G70*Supuestos!M$8*(Drivers!M$27/Drivers!$C$27)</f>
        <v/>
      </c>
      <c r="R70" s="24">
        <f>$G70*Supuestos!N$8*(Drivers!N$27/Drivers!$C$27)</f>
        <v/>
      </c>
      <c r="S70" s="24">
        <f>$G70*Supuestos!O$8*(Drivers!O$27/Drivers!$C$27)</f>
        <v/>
      </c>
      <c r="T70" s="24">
        <f>$G70*Supuestos!P$8*(Drivers!P$27/Drivers!$C$27)</f>
        <v/>
      </c>
      <c r="U70" s="24">
        <f>$G70*Supuestos!Q$8*(Drivers!Q$27/Drivers!$C$27)</f>
        <v/>
      </c>
      <c r="V70" s="24">
        <f>$G70*Supuestos!R$8*(Drivers!R$27/Drivers!$C$27)</f>
        <v/>
      </c>
    </row>
    <row r="71">
      <c r="A71" s="6" t="inlineStr">
        <is>
          <t>FPG</t>
        </is>
      </c>
      <c r="B71" s="6" t="inlineStr">
        <is>
          <t>ARS</t>
        </is>
      </c>
      <c r="C71" s="6" t="inlineStr">
        <is>
          <t>2 Costos de Explotación</t>
        </is>
      </c>
      <c r="D71" s="6" t="inlineStr">
        <is>
          <t>2.5 Telefonía</t>
        </is>
      </c>
      <c r="E71" s="6" t="inlineStr">
        <is>
          <t>Telefonía celular</t>
        </is>
      </c>
      <c r="F71" s="6" t="inlineStr">
        <is>
          <t>pos_inf</t>
        </is>
      </c>
      <c r="G71" s="24" t="n">
        <v>-290830.93</v>
      </c>
      <c r="H71" s="24">
        <f>$G71*Supuestos!D$6*(Drivers!D$27/Drivers!$C$27)</f>
        <v/>
      </c>
      <c r="I71" s="24">
        <f>$G71*Supuestos!E$6*(Drivers!E$27/Drivers!$C$27)</f>
        <v/>
      </c>
      <c r="J71" s="24">
        <f>$G71*Supuestos!F$6*(Drivers!F$27/Drivers!$C$27)</f>
        <v/>
      </c>
      <c r="K71" s="24">
        <f>$G71*Supuestos!G$6*(Drivers!G$27/Drivers!$C$27)</f>
        <v/>
      </c>
      <c r="L71" s="24">
        <f>$G71*Supuestos!H$6*(Drivers!H$27/Drivers!$C$27)</f>
        <v/>
      </c>
      <c r="M71" s="24">
        <f>$G71*Supuestos!I$6*(Drivers!I$27/Drivers!$C$27)</f>
        <v/>
      </c>
      <c r="N71" s="24">
        <f>$G71*Supuestos!J$6*(Drivers!J$27/Drivers!$C$27)</f>
        <v/>
      </c>
      <c r="O71" s="24">
        <f>$G71*Supuestos!K$6*(Drivers!K$27/Drivers!$C$27)</f>
        <v/>
      </c>
      <c r="P71" s="24">
        <f>$G71*Supuestos!L$6*(Drivers!L$27/Drivers!$C$27)</f>
        <v/>
      </c>
      <c r="Q71" s="24">
        <f>$G71*Supuestos!M$6*(Drivers!M$27/Drivers!$C$27)</f>
        <v/>
      </c>
      <c r="R71" s="24">
        <f>$G71*Supuestos!N$6*(Drivers!N$27/Drivers!$C$27)</f>
        <v/>
      </c>
      <c r="S71" s="24">
        <f>$G71*Supuestos!O$6*(Drivers!O$27/Drivers!$C$27)</f>
        <v/>
      </c>
      <c r="T71" s="24">
        <f>$G71*Supuestos!P$6*(Drivers!P$27/Drivers!$C$27)</f>
        <v/>
      </c>
      <c r="U71" s="24">
        <f>$G71*Supuestos!Q$6*(Drivers!Q$27/Drivers!$C$27)</f>
        <v/>
      </c>
      <c r="V71" s="24">
        <f>$G71*Supuestos!R$6*(Drivers!R$27/Drivers!$C$27)</f>
        <v/>
      </c>
    </row>
    <row r="72">
      <c r="A72" s="6" t="inlineStr">
        <is>
          <t>FPG</t>
        </is>
      </c>
      <c r="B72" s="6" t="inlineStr">
        <is>
          <t>ARS</t>
        </is>
      </c>
      <c r="C72" s="6" t="inlineStr">
        <is>
          <t>2 Costos de Explotación</t>
        </is>
      </c>
      <c r="D72" s="6" t="inlineStr">
        <is>
          <t>2.5 Telefonía</t>
        </is>
      </c>
      <c r="E72" s="6" t="inlineStr">
        <is>
          <t>Telefonía LDN</t>
        </is>
      </c>
      <c r="F72" s="6" t="inlineStr">
        <is>
          <t>pos_inf</t>
        </is>
      </c>
      <c r="G72" s="24" t="n">
        <v>-74785.14999999999</v>
      </c>
      <c r="H72" s="24">
        <f>$G72*Supuestos!D$6*(Drivers!D$27/Drivers!$C$27)</f>
        <v/>
      </c>
      <c r="I72" s="24">
        <f>$G72*Supuestos!E$6*(Drivers!E$27/Drivers!$C$27)</f>
        <v/>
      </c>
      <c r="J72" s="24">
        <f>$G72*Supuestos!F$6*(Drivers!F$27/Drivers!$C$27)</f>
        <v/>
      </c>
      <c r="K72" s="24">
        <f>$G72*Supuestos!G$6*(Drivers!G$27/Drivers!$C$27)</f>
        <v/>
      </c>
      <c r="L72" s="24">
        <f>$G72*Supuestos!H$6*(Drivers!H$27/Drivers!$C$27)</f>
        <v/>
      </c>
      <c r="M72" s="24">
        <f>$G72*Supuestos!I$6*(Drivers!I$27/Drivers!$C$27)</f>
        <v/>
      </c>
      <c r="N72" s="24">
        <f>$G72*Supuestos!J$6*(Drivers!J$27/Drivers!$C$27)</f>
        <v/>
      </c>
      <c r="O72" s="24">
        <f>$G72*Supuestos!K$6*(Drivers!K$27/Drivers!$C$27)</f>
        <v/>
      </c>
      <c r="P72" s="24">
        <f>$G72*Supuestos!L$6*(Drivers!L$27/Drivers!$C$27)</f>
        <v/>
      </c>
      <c r="Q72" s="24">
        <f>$G72*Supuestos!M$6*(Drivers!M$27/Drivers!$C$27)</f>
        <v/>
      </c>
      <c r="R72" s="24">
        <f>$G72*Supuestos!N$6*(Drivers!N$27/Drivers!$C$27)</f>
        <v/>
      </c>
      <c r="S72" s="24">
        <f>$G72*Supuestos!O$6*(Drivers!O$27/Drivers!$C$27)</f>
        <v/>
      </c>
      <c r="T72" s="24">
        <f>$G72*Supuestos!P$6*(Drivers!P$27/Drivers!$C$27)</f>
        <v/>
      </c>
      <c r="U72" s="24">
        <f>$G72*Supuestos!Q$6*(Drivers!Q$27/Drivers!$C$27)</f>
        <v/>
      </c>
      <c r="V72" s="24">
        <f>$G72*Supuestos!R$6*(Drivers!R$27/Drivers!$C$27)</f>
        <v/>
      </c>
    </row>
    <row r="73">
      <c r="A73" s="6" t="inlineStr">
        <is>
          <t>FPG</t>
        </is>
      </c>
      <c r="B73" s="6" t="inlineStr">
        <is>
          <t>ARS</t>
        </is>
      </c>
      <c r="C73" s="6" t="inlineStr">
        <is>
          <t>2 Costos de Explotación</t>
        </is>
      </c>
      <c r="D73" s="6" t="inlineStr">
        <is>
          <t>2.5 Telefonía</t>
        </is>
      </c>
      <c r="E73" s="6" t="inlineStr">
        <is>
          <t>Telefonía local y 0800</t>
        </is>
      </c>
      <c r="F73" s="6" t="inlineStr">
        <is>
          <t>pos_inf</t>
        </is>
      </c>
      <c r="G73" s="24" t="n">
        <v>-49856.77</v>
      </c>
      <c r="H73" s="24">
        <f>$G73*Supuestos!D$6*(Drivers!D$27/Drivers!$C$27)</f>
        <v/>
      </c>
      <c r="I73" s="24">
        <f>$G73*Supuestos!E$6*(Drivers!E$27/Drivers!$C$27)</f>
        <v/>
      </c>
      <c r="J73" s="24">
        <f>$G73*Supuestos!F$6*(Drivers!F$27/Drivers!$C$27)</f>
        <v/>
      </c>
      <c r="K73" s="24">
        <f>$G73*Supuestos!G$6*(Drivers!G$27/Drivers!$C$27)</f>
        <v/>
      </c>
      <c r="L73" s="24">
        <f>$G73*Supuestos!H$6*(Drivers!H$27/Drivers!$C$27)</f>
        <v/>
      </c>
      <c r="M73" s="24">
        <f>$G73*Supuestos!I$6*(Drivers!I$27/Drivers!$C$27)</f>
        <v/>
      </c>
      <c r="N73" s="24">
        <f>$G73*Supuestos!J$6*(Drivers!J$27/Drivers!$C$27)</f>
        <v/>
      </c>
      <c r="O73" s="24">
        <f>$G73*Supuestos!K$6*(Drivers!K$27/Drivers!$C$27)</f>
        <v/>
      </c>
      <c r="P73" s="24">
        <f>$G73*Supuestos!L$6*(Drivers!L$27/Drivers!$C$27)</f>
        <v/>
      </c>
      <c r="Q73" s="24">
        <f>$G73*Supuestos!M$6*(Drivers!M$27/Drivers!$C$27)</f>
        <v/>
      </c>
      <c r="R73" s="24">
        <f>$G73*Supuestos!N$6*(Drivers!N$27/Drivers!$C$27)</f>
        <v/>
      </c>
      <c r="S73" s="24">
        <f>$G73*Supuestos!O$6*(Drivers!O$27/Drivers!$C$27)</f>
        <v/>
      </c>
      <c r="T73" s="24">
        <f>$G73*Supuestos!P$6*(Drivers!P$27/Drivers!$C$27)</f>
        <v/>
      </c>
      <c r="U73" s="24">
        <f>$G73*Supuestos!Q$6*(Drivers!Q$27/Drivers!$C$27)</f>
        <v/>
      </c>
      <c r="V73" s="24">
        <f>$G73*Supuestos!R$6*(Drivers!R$27/Drivers!$C$27)</f>
        <v/>
      </c>
    </row>
    <row r="74">
      <c r="A74" s="6" t="inlineStr">
        <is>
          <t>FPG</t>
        </is>
      </c>
      <c r="B74" s="6" t="inlineStr">
        <is>
          <t>ARS</t>
        </is>
      </c>
      <c r="C74" s="6" t="inlineStr">
        <is>
          <t>2 Costos de Explotación</t>
        </is>
      </c>
      <c r="D74" s="6" t="inlineStr">
        <is>
          <t>2.6 SMS</t>
        </is>
      </c>
      <c r="E74" s="6" t="inlineStr">
        <is>
          <t>SMS</t>
        </is>
      </c>
      <c r="F74" s="6" t="inlineStr">
        <is>
          <t>sms</t>
        </is>
      </c>
      <c r="G74" s="24" t="n">
        <v>-755964.41</v>
      </c>
      <c r="H74" s="24">
        <f>$G74*Supuestos!D$12*(Drivers!D$24/100)</f>
        <v/>
      </c>
      <c r="I74" s="24">
        <f>$G74*Supuestos!E$12*(Drivers!E$24/100)</f>
        <v/>
      </c>
      <c r="J74" s="24">
        <f>$G74*Supuestos!F$12*(Drivers!F$24/100)</f>
        <v/>
      </c>
      <c r="K74" s="24">
        <f>$G74*Supuestos!G$12*(Drivers!G$24/100)</f>
        <v/>
      </c>
      <c r="L74" s="24">
        <f>$G74*Supuestos!H$12*(Drivers!H$24/100)</f>
        <v/>
      </c>
      <c r="M74" s="24">
        <f>$G74*Supuestos!I$12*(Drivers!I$24/100)</f>
        <v/>
      </c>
      <c r="N74" s="24">
        <f>$G74*Supuestos!J$12*(Drivers!J$24/100)</f>
        <v/>
      </c>
      <c r="O74" s="24">
        <f>$G74*Supuestos!K$12*(Drivers!K$24/100)</f>
        <v/>
      </c>
      <c r="P74" s="24">
        <f>$G74*Supuestos!L$12*(Drivers!L$24/100)</f>
        <v/>
      </c>
      <c r="Q74" s="24">
        <f>$G74*Supuestos!M$12*(Drivers!M$24/100)</f>
        <v/>
      </c>
      <c r="R74" s="24">
        <f>$G74*Supuestos!N$12*(Drivers!N$24/100)</f>
        <v/>
      </c>
      <c r="S74" s="24">
        <f>$G74*Supuestos!O$12*(Drivers!O$24/100)</f>
        <v/>
      </c>
      <c r="T74" s="24">
        <f>$G74*Supuestos!P$12*(Drivers!P$24/100)</f>
        <v/>
      </c>
      <c r="U74" s="24">
        <f>$G74*Supuestos!Q$12*(Drivers!Q$24/100)</f>
        <v/>
      </c>
      <c r="V74" s="24">
        <f>$G74*Supuestos!R$12*(Drivers!R$24/100)</f>
        <v/>
      </c>
    </row>
    <row r="75">
      <c r="A75" s="6" t="inlineStr">
        <is>
          <t>FPG</t>
        </is>
      </c>
      <c r="B75" s="6" t="inlineStr">
        <is>
          <t>ARS</t>
        </is>
      </c>
      <c r="C75" s="6" t="inlineStr">
        <is>
          <t>2 Costos de Explotación</t>
        </is>
      </c>
      <c r="D75" s="6" t="inlineStr">
        <is>
          <t>2.7 Bocas de Cobranza</t>
        </is>
      </c>
      <c r="E75" s="6" t="inlineStr">
        <is>
          <t>Bocas de cobranza</t>
        </is>
      </c>
      <c r="F75" s="6" t="inlineStr">
        <is>
          <t>vol_inf</t>
        </is>
      </c>
      <c r="G75" s="24" t="n">
        <v>-450838.12</v>
      </c>
      <c r="H75" s="24">
        <f>$G75*Supuestos!D$6*(Drivers!D$24/100)</f>
        <v/>
      </c>
      <c r="I75" s="24">
        <f>$G75*Supuestos!E$6*(Drivers!E$24/100)</f>
        <v/>
      </c>
      <c r="J75" s="24">
        <f>$G75*Supuestos!F$6*(Drivers!F$24/100)</f>
        <v/>
      </c>
      <c r="K75" s="24">
        <f>$G75*Supuestos!G$6*(Drivers!G$24/100)</f>
        <v/>
      </c>
      <c r="L75" s="24">
        <f>$G75*Supuestos!H$6*(Drivers!H$24/100)</f>
        <v/>
      </c>
      <c r="M75" s="24">
        <f>$G75*Supuestos!I$6*(Drivers!I$24/100)</f>
        <v/>
      </c>
      <c r="N75" s="24">
        <f>$G75*Supuestos!J$6*(Drivers!J$24/100)</f>
        <v/>
      </c>
      <c r="O75" s="24">
        <f>$G75*Supuestos!K$6*(Drivers!K$24/100)</f>
        <v/>
      </c>
      <c r="P75" s="24">
        <f>$G75*Supuestos!L$6*(Drivers!L$24/100)</f>
        <v/>
      </c>
      <c r="Q75" s="24">
        <f>$G75*Supuestos!M$6*(Drivers!M$24/100)</f>
        <v/>
      </c>
      <c r="R75" s="24">
        <f>$G75*Supuestos!N$6*(Drivers!N$24/100)</f>
        <v/>
      </c>
      <c r="S75" s="24">
        <f>$G75*Supuestos!O$6*(Drivers!O$24/100)</f>
        <v/>
      </c>
      <c r="T75" s="24">
        <f>$G75*Supuestos!P$6*(Drivers!P$24/100)</f>
        <v/>
      </c>
      <c r="U75" s="24">
        <f>$G75*Supuestos!Q$6*(Drivers!Q$24/100)</f>
        <v/>
      </c>
      <c r="V75" s="24">
        <f>$G75*Supuestos!R$6*(Drivers!R$24/100)</f>
        <v/>
      </c>
    </row>
    <row r="76">
      <c r="A76" s="6" t="inlineStr">
        <is>
          <t>FPG</t>
        </is>
      </c>
      <c r="B76" s="6" t="inlineStr">
        <is>
          <t>ARS</t>
        </is>
      </c>
      <c r="C76" s="6" t="inlineStr">
        <is>
          <t>2 Costos de Explotación</t>
        </is>
      </c>
      <c r="D76" s="6" t="inlineStr">
        <is>
          <t>2.8 Mailing</t>
        </is>
      </c>
      <c r="E76" s="6" t="inlineStr">
        <is>
          <t>Mailing</t>
        </is>
      </c>
      <c r="F76" s="6" t="inlineStr">
        <is>
          <t>vol_usd</t>
        </is>
      </c>
      <c r="G76" s="24" t="n">
        <v>-393451.6</v>
      </c>
      <c r="H76" s="24">
        <f>$G76*Supuestos!D$8*(Drivers!D$24/100)</f>
        <v/>
      </c>
      <c r="I76" s="24">
        <f>$G76*Supuestos!E$8*(Drivers!E$24/100)</f>
        <v/>
      </c>
      <c r="J76" s="24">
        <f>$G76*Supuestos!F$8*(Drivers!F$24/100)</f>
        <v/>
      </c>
      <c r="K76" s="24">
        <f>$G76*Supuestos!G$8*(Drivers!G$24/100)</f>
        <v/>
      </c>
      <c r="L76" s="24">
        <f>$G76*Supuestos!H$8*(Drivers!H$24/100)</f>
        <v/>
      </c>
      <c r="M76" s="24">
        <f>$G76*Supuestos!I$8*(Drivers!I$24/100)</f>
        <v/>
      </c>
      <c r="N76" s="24">
        <f>$G76*Supuestos!J$8*(Drivers!J$24/100)</f>
        <v/>
      </c>
      <c r="O76" s="24">
        <f>$G76*Supuestos!K$8*(Drivers!K$24/100)</f>
        <v/>
      </c>
      <c r="P76" s="24">
        <f>$G76*Supuestos!L$8*(Drivers!L$24/100)</f>
        <v/>
      </c>
      <c r="Q76" s="24">
        <f>$G76*Supuestos!M$8*(Drivers!M$24/100)</f>
        <v/>
      </c>
      <c r="R76" s="24">
        <f>$G76*Supuestos!N$8*(Drivers!N$24/100)</f>
        <v/>
      </c>
      <c r="S76" s="24">
        <f>$G76*Supuestos!O$8*(Drivers!O$24/100)</f>
        <v/>
      </c>
      <c r="T76" s="24">
        <f>$G76*Supuestos!P$8*(Drivers!P$24/100)</f>
        <v/>
      </c>
      <c r="U76" s="24">
        <f>$G76*Supuestos!Q$8*(Drivers!Q$24/100)</f>
        <v/>
      </c>
      <c r="V76" s="24">
        <f>$G76*Supuestos!R$8*(Drivers!R$24/100)</f>
        <v/>
      </c>
    </row>
    <row r="77">
      <c r="A77" s="6" t="inlineStr">
        <is>
          <t>FPG</t>
        </is>
      </c>
      <c r="B77" s="6" t="inlineStr">
        <is>
          <t>ARS</t>
        </is>
      </c>
      <c r="C77" s="6" t="inlineStr">
        <is>
          <t>2 Costos de Explotación</t>
        </is>
      </c>
      <c r="D77" s="6" t="inlineStr">
        <is>
          <t>2.9 Informes Comerciales</t>
        </is>
      </c>
      <c r="E77" s="6" t="inlineStr">
        <is>
          <t>Informes comerciales</t>
        </is>
      </c>
      <c r="F77" s="6" t="inlineStr">
        <is>
          <t>vol_inf</t>
        </is>
      </c>
      <c r="G77" s="24" t="n">
        <v>-114143.12</v>
      </c>
      <c r="H77" s="24">
        <f>$G77*Supuestos!D$6*(Drivers!D$24/100)</f>
        <v/>
      </c>
      <c r="I77" s="24">
        <f>$G77*Supuestos!E$6*(Drivers!E$24/100)</f>
        <v/>
      </c>
      <c r="J77" s="24">
        <f>$G77*Supuestos!F$6*(Drivers!F$24/100)</f>
        <v/>
      </c>
      <c r="K77" s="24">
        <f>$G77*Supuestos!G$6*(Drivers!G$24/100)</f>
        <v/>
      </c>
      <c r="L77" s="24">
        <f>$G77*Supuestos!H$6*(Drivers!H$24/100)</f>
        <v/>
      </c>
      <c r="M77" s="24">
        <f>$G77*Supuestos!I$6*(Drivers!I$24/100)</f>
        <v/>
      </c>
      <c r="N77" s="24">
        <f>$G77*Supuestos!J$6*(Drivers!J$24/100)</f>
        <v/>
      </c>
      <c r="O77" s="24">
        <f>$G77*Supuestos!K$6*(Drivers!K$24/100)</f>
        <v/>
      </c>
      <c r="P77" s="24">
        <f>$G77*Supuestos!L$6*(Drivers!L$24/100)</f>
        <v/>
      </c>
      <c r="Q77" s="24">
        <f>$G77*Supuestos!M$6*(Drivers!M$24/100)</f>
        <v/>
      </c>
      <c r="R77" s="24">
        <f>$G77*Supuestos!N$6*(Drivers!N$24/100)</f>
        <v/>
      </c>
      <c r="S77" s="24">
        <f>$G77*Supuestos!O$6*(Drivers!O$24/100)</f>
        <v/>
      </c>
      <c r="T77" s="24">
        <f>$G77*Supuestos!P$6*(Drivers!P$24/100)</f>
        <v/>
      </c>
      <c r="U77" s="24">
        <f>$G77*Supuestos!Q$6*(Drivers!Q$24/100)</f>
        <v/>
      </c>
      <c r="V77" s="24">
        <f>$G77*Supuestos!R$6*(Drivers!R$24/100)</f>
        <v/>
      </c>
    </row>
    <row r="78">
      <c r="A78" s="6" t="inlineStr">
        <is>
          <t>FPG</t>
        </is>
      </c>
      <c r="B78" s="6" t="inlineStr">
        <is>
          <t>ARS</t>
        </is>
      </c>
      <c r="C78" s="6" t="inlineStr">
        <is>
          <t>2 Costos de Explotación</t>
        </is>
      </c>
      <c r="D78" s="6" t="inlineStr">
        <is>
          <t>2.12 WhatsApp</t>
        </is>
      </c>
      <c r="E78" s="6" t="inlineStr">
        <is>
          <t>WhatsApp</t>
        </is>
      </c>
      <c r="F78" s="6" t="inlineStr">
        <is>
          <t>vol_usd</t>
        </is>
      </c>
      <c r="G78" s="24" t="n">
        <v>-304395</v>
      </c>
      <c r="H78" s="24">
        <f>$G78*Supuestos!D$8*(Drivers!D$24/100)</f>
        <v/>
      </c>
      <c r="I78" s="24">
        <f>$G78*Supuestos!E$8*(Drivers!E$24/100)</f>
        <v/>
      </c>
      <c r="J78" s="24">
        <f>$G78*Supuestos!F$8*(Drivers!F$24/100)</f>
        <v/>
      </c>
      <c r="K78" s="24">
        <f>$G78*Supuestos!G$8*(Drivers!G$24/100)</f>
        <v/>
      </c>
      <c r="L78" s="24">
        <f>$G78*Supuestos!H$8*(Drivers!H$24/100)</f>
        <v/>
      </c>
      <c r="M78" s="24">
        <f>$G78*Supuestos!I$8*(Drivers!I$24/100)</f>
        <v/>
      </c>
      <c r="N78" s="24">
        <f>$G78*Supuestos!J$8*(Drivers!J$24/100)</f>
        <v/>
      </c>
      <c r="O78" s="24">
        <f>$G78*Supuestos!K$8*(Drivers!K$24/100)</f>
        <v/>
      </c>
      <c r="P78" s="24">
        <f>$G78*Supuestos!L$8*(Drivers!L$24/100)</f>
        <v/>
      </c>
      <c r="Q78" s="24">
        <f>$G78*Supuestos!M$8*(Drivers!M$24/100)</f>
        <v/>
      </c>
      <c r="R78" s="24">
        <f>$G78*Supuestos!N$8*(Drivers!N$24/100)</f>
        <v/>
      </c>
      <c r="S78" s="24">
        <f>$G78*Supuestos!O$8*(Drivers!O$24/100)</f>
        <v/>
      </c>
      <c r="T78" s="24">
        <f>$G78*Supuestos!P$8*(Drivers!P$24/100)</f>
        <v/>
      </c>
      <c r="U78" s="24">
        <f>$G78*Supuestos!Q$8*(Drivers!Q$24/100)</f>
        <v/>
      </c>
      <c r="V78" s="24">
        <f>$G78*Supuestos!R$8*(Drivers!R$24/100)</f>
        <v/>
      </c>
    </row>
    <row r="79">
      <c r="A79" s="6" t="inlineStr">
        <is>
          <t>FPG</t>
        </is>
      </c>
      <c r="B79" s="6" t="inlineStr">
        <is>
          <t>ARS</t>
        </is>
      </c>
      <c r="C79" s="6" t="inlineStr">
        <is>
          <t>3 Impuestos Directos</t>
        </is>
      </c>
      <c r="D79" s="6" t="inlineStr">
        <is>
          <t>3.1 Ingresos Brutos</t>
        </is>
      </c>
      <c r="E79" s="6" t="inlineStr">
        <is>
          <t>Ingresos Brutos</t>
        </is>
      </c>
      <c r="F79" s="6" t="inlineStr">
        <is>
          <t>iibb</t>
        </is>
      </c>
      <c r="G79" s="24" t="n">
        <v>-891380.85</v>
      </c>
      <c r="H79" s="24">
        <f>$G79*Supuestos!D$6*(Drivers!D$24/100)*(Drivers!D$25/Drivers!$C$25)*(Drivers!D$26/Drivers!$C$26)*Supuestos!D$13</f>
        <v/>
      </c>
      <c r="I79" s="24">
        <f>$G79*Supuestos!E$6*(Drivers!E$24/100)*(Drivers!E$25/Drivers!$C$25)*(Drivers!E$26/Drivers!$C$26)*Supuestos!E$13</f>
        <v/>
      </c>
      <c r="J79" s="24">
        <f>$G79*Supuestos!F$6*(Drivers!F$24/100)*(Drivers!F$25/Drivers!$C$25)*(Drivers!F$26/Drivers!$C$26)*Supuestos!F$13</f>
        <v/>
      </c>
      <c r="K79" s="24">
        <f>$G79*Supuestos!G$6*(Drivers!G$24/100)*(Drivers!G$25/Drivers!$C$25)*(Drivers!G$26/Drivers!$C$26)*Supuestos!G$13</f>
        <v/>
      </c>
      <c r="L79" s="24">
        <f>$G79*Supuestos!H$6*(Drivers!H$24/100)*(Drivers!H$25/Drivers!$C$25)*(Drivers!H$26/Drivers!$C$26)*Supuestos!H$13</f>
        <v/>
      </c>
      <c r="M79" s="24">
        <f>$G79*Supuestos!I$6*(Drivers!I$24/100)*(Drivers!I$25/Drivers!$C$25)*(Drivers!I$26/Drivers!$C$26)*Supuestos!I$13</f>
        <v/>
      </c>
      <c r="N79" s="24">
        <f>$G79*Supuestos!J$6*(Drivers!J$24/100)*(Drivers!J$25/Drivers!$C$25)*(Drivers!J$26/Drivers!$C$26)*Supuestos!J$13</f>
        <v/>
      </c>
      <c r="O79" s="24">
        <f>$G79*Supuestos!K$6*(Drivers!K$24/100)*(Drivers!K$25/Drivers!$C$25)*(Drivers!K$26/Drivers!$C$26)*Supuestos!K$13</f>
        <v/>
      </c>
      <c r="P79" s="24">
        <f>$G79*Supuestos!L$6*(Drivers!L$24/100)*(Drivers!L$25/Drivers!$C$25)*(Drivers!L$26/Drivers!$C$26)*Supuestos!L$13</f>
        <v/>
      </c>
      <c r="Q79" s="24">
        <f>$G79*Supuestos!M$6*(Drivers!M$24/100)*(Drivers!M$25/Drivers!$C$25)*(Drivers!M$26/Drivers!$C$26)*Supuestos!M$13</f>
        <v/>
      </c>
      <c r="R79" s="24">
        <f>$G79*Supuestos!N$6*(Drivers!N$24/100)*(Drivers!N$25/Drivers!$C$25)*(Drivers!N$26/Drivers!$C$26)*Supuestos!N$13</f>
        <v/>
      </c>
      <c r="S79" s="24">
        <f>$G79*Supuestos!O$6*(Drivers!O$24/100)*(Drivers!O$25/Drivers!$C$25)*(Drivers!O$26/Drivers!$C$26)*Supuestos!O$13</f>
        <v/>
      </c>
      <c r="T79" s="24">
        <f>$G79*Supuestos!P$6*(Drivers!P$24/100)*(Drivers!P$25/Drivers!$C$25)*(Drivers!P$26/Drivers!$C$26)*Supuestos!P$13</f>
        <v/>
      </c>
      <c r="U79" s="24">
        <f>$G79*Supuestos!Q$6*(Drivers!Q$24/100)*(Drivers!Q$25/Drivers!$C$25)*(Drivers!Q$26/Drivers!$C$26)*Supuestos!Q$13</f>
        <v/>
      </c>
      <c r="V79" s="24">
        <f>$G79*Supuestos!R$6*(Drivers!R$24/100)*(Drivers!R$25/Drivers!$C$25)*(Drivers!R$26/Drivers!$C$26)*Supuestos!R$13</f>
        <v/>
      </c>
    </row>
    <row r="80">
      <c r="A80" s="6" t="inlineStr">
        <is>
          <t>GNM</t>
        </is>
      </c>
      <c r="B80" s="6" t="inlineStr">
        <is>
          <t>ARS</t>
        </is>
      </c>
      <c r="C80" s="6" t="inlineStr">
        <is>
          <t>1 Ingreso Operacional</t>
        </is>
      </c>
      <c r="D80" s="6" t="inlineStr">
        <is>
          <t>1.1 Ingreso Cobranzas</t>
        </is>
      </c>
      <c r="E80" s="6" t="inlineStr">
        <is>
          <t>Ingreso por recupero</t>
        </is>
      </c>
      <c r="F80" s="6" t="inlineStr">
        <is>
          <t>rev</t>
        </is>
      </c>
      <c r="G80" s="24" t="n">
        <v>37284585.72</v>
      </c>
      <c r="H80" s="24">
        <f>$G80*Supuestos!D$6*(Drivers!D$30/100)*(Drivers!D$31/Drivers!$C$31)*(Drivers!D$32/Drivers!$C$32)*Supuestos!D$13</f>
        <v/>
      </c>
      <c r="I80" s="24">
        <f>$G80*Supuestos!E$6*(Drivers!E$30/100)*(Drivers!E$31/Drivers!$C$31)*(Drivers!E$32/Drivers!$C$32)*Supuestos!E$13</f>
        <v/>
      </c>
      <c r="J80" s="24">
        <f>$G80*Supuestos!F$6*(Drivers!F$30/100)*(Drivers!F$31/Drivers!$C$31)*(Drivers!F$32/Drivers!$C$32)*Supuestos!F$13</f>
        <v/>
      </c>
      <c r="K80" s="24">
        <f>$G80*Supuestos!G$6*(Drivers!G$30/100)*(Drivers!G$31/Drivers!$C$31)*(Drivers!G$32/Drivers!$C$32)*Supuestos!G$13</f>
        <v/>
      </c>
      <c r="L80" s="24">
        <f>$G80*Supuestos!H$6*(Drivers!H$30/100)*(Drivers!H$31/Drivers!$C$31)*(Drivers!H$32/Drivers!$C$32)*Supuestos!H$13</f>
        <v/>
      </c>
      <c r="M80" s="24">
        <f>$G80*Supuestos!I$6*(Drivers!I$30/100)*(Drivers!I$31/Drivers!$C$31)*(Drivers!I$32/Drivers!$C$32)*Supuestos!I$13</f>
        <v/>
      </c>
      <c r="N80" s="24">
        <f>$G80*Supuestos!J$6*(Drivers!J$30/100)*(Drivers!J$31/Drivers!$C$31)*(Drivers!J$32/Drivers!$C$32)*Supuestos!J$13</f>
        <v/>
      </c>
      <c r="O80" s="24">
        <f>$G80*Supuestos!K$6*(Drivers!K$30/100)*(Drivers!K$31/Drivers!$C$31)*(Drivers!K$32/Drivers!$C$32)*Supuestos!K$13</f>
        <v/>
      </c>
      <c r="P80" s="24">
        <f>$G80*Supuestos!L$6*(Drivers!L$30/100)*(Drivers!L$31/Drivers!$C$31)*(Drivers!L$32/Drivers!$C$32)*Supuestos!L$13</f>
        <v/>
      </c>
      <c r="Q80" s="24">
        <f>$G80*Supuestos!M$6*(Drivers!M$30/100)*(Drivers!M$31/Drivers!$C$31)*(Drivers!M$32/Drivers!$C$32)*Supuestos!M$13</f>
        <v/>
      </c>
      <c r="R80" s="24">
        <f>$G80*Supuestos!N$6*(Drivers!N$30/100)*(Drivers!N$31/Drivers!$C$31)*(Drivers!N$32/Drivers!$C$32)*Supuestos!N$13</f>
        <v/>
      </c>
      <c r="S80" s="24">
        <f>$G80*Supuestos!O$6*(Drivers!O$30/100)*(Drivers!O$31/Drivers!$C$31)*(Drivers!O$32/Drivers!$C$32)*Supuestos!O$13</f>
        <v/>
      </c>
      <c r="T80" s="24">
        <f>$G80*Supuestos!P$6*(Drivers!P$30/100)*(Drivers!P$31/Drivers!$C$31)*(Drivers!P$32/Drivers!$C$32)*Supuestos!P$13</f>
        <v/>
      </c>
      <c r="U80" s="24">
        <f>$G80*Supuestos!Q$6*(Drivers!Q$30/100)*(Drivers!Q$31/Drivers!$C$31)*(Drivers!Q$32/Drivers!$C$32)*Supuestos!Q$13</f>
        <v/>
      </c>
      <c r="V80" s="24">
        <f>$G80*Supuestos!R$6*(Drivers!R$30/100)*(Drivers!R$31/Drivers!$C$31)*(Drivers!R$32/Drivers!$C$32)*Supuestos!R$13</f>
        <v/>
      </c>
    </row>
    <row r="81">
      <c r="A81" s="6" t="inlineStr">
        <is>
          <t>GNM</t>
        </is>
      </c>
      <c r="B81" s="6" t="inlineStr">
        <is>
          <t>ARS</t>
        </is>
      </c>
      <c r="C81" s="6" t="inlineStr">
        <is>
          <t>2 Costos de Explotación</t>
        </is>
      </c>
      <c r="D81" s="6" t="inlineStr">
        <is>
          <t>2.1 Remuneraciones</t>
        </is>
      </c>
      <c r="E81" s="6" t="inlineStr">
        <is>
          <t>Operadores</t>
        </is>
      </c>
      <c r="F81" s="6" t="inlineStr">
        <is>
          <t>pos_sal</t>
        </is>
      </c>
      <c r="G81" s="24" t="n">
        <v>-5259005.76</v>
      </c>
      <c r="H81" s="24">
        <f>$G81*Supuestos!D$10*(Drivers!D$33/Drivers!$C$33)</f>
        <v/>
      </c>
      <c r="I81" s="24">
        <f>$G81*Supuestos!E$10*(Drivers!E$33/Drivers!$C$33)</f>
        <v/>
      </c>
      <c r="J81" s="24">
        <f>$G81*Supuestos!F$10*(Drivers!F$33/Drivers!$C$33)</f>
        <v/>
      </c>
      <c r="K81" s="24">
        <f>$G81*Supuestos!G$10*(Drivers!G$33/Drivers!$C$33)</f>
        <v/>
      </c>
      <c r="L81" s="24">
        <f>$G81*Supuestos!H$10*(Drivers!H$33/Drivers!$C$33)</f>
        <v/>
      </c>
      <c r="M81" s="24">
        <f>$G81*Supuestos!I$10*(Drivers!I$33/Drivers!$C$33)</f>
        <v/>
      </c>
      <c r="N81" s="24">
        <f>$G81*Supuestos!J$10*(Drivers!J$33/Drivers!$C$33)</f>
        <v/>
      </c>
      <c r="O81" s="24">
        <f>$G81*Supuestos!K$10*(Drivers!K$33/Drivers!$C$33)</f>
        <v/>
      </c>
      <c r="P81" s="24">
        <f>$G81*Supuestos!L$10*(Drivers!L$33/Drivers!$C$33)</f>
        <v/>
      </c>
      <c r="Q81" s="24">
        <f>$G81*Supuestos!M$10*(Drivers!M$33/Drivers!$C$33)</f>
        <v/>
      </c>
      <c r="R81" s="24">
        <f>$G81*Supuestos!N$10*(Drivers!N$33/Drivers!$C$33)</f>
        <v/>
      </c>
      <c r="S81" s="24">
        <f>$G81*Supuestos!O$10*(Drivers!O$33/Drivers!$C$33)</f>
        <v/>
      </c>
      <c r="T81" s="24">
        <f>$G81*Supuestos!P$10*(Drivers!P$33/Drivers!$C$33)</f>
        <v/>
      </c>
      <c r="U81" s="24">
        <f>$G81*Supuestos!Q$10*(Drivers!Q$33/Drivers!$C$33)</f>
        <v/>
      </c>
      <c r="V81" s="24">
        <f>$G81*Supuestos!R$10*(Drivers!R$33/Drivers!$C$33)</f>
        <v/>
      </c>
    </row>
    <row r="82">
      <c r="A82" s="6" t="inlineStr">
        <is>
          <t>GNM</t>
        </is>
      </c>
      <c r="B82" s="6" t="inlineStr">
        <is>
          <t>ARS</t>
        </is>
      </c>
      <c r="C82" s="6" t="inlineStr">
        <is>
          <t>2 Costos de Explotación</t>
        </is>
      </c>
      <c r="D82" s="6" t="inlineStr">
        <is>
          <t>2.1 Remuneraciones</t>
        </is>
      </c>
      <c r="E82" s="6" t="inlineStr">
        <is>
          <t>Supervisión</t>
        </is>
      </c>
      <c r="F82" s="6" t="inlineStr">
        <is>
          <t>pos_sal</t>
        </is>
      </c>
      <c r="G82" s="24" t="n">
        <v>-834058.34</v>
      </c>
      <c r="H82" s="24">
        <f>$G82*Supuestos!D$10*(Drivers!D$33/Drivers!$C$33)</f>
        <v/>
      </c>
      <c r="I82" s="24">
        <f>$G82*Supuestos!E$10*(Drivers!E$33/Drivers!$C$33)</f>
        <v/>
      </c>
      <c r="J82" s="24">
        <f>$G82*Supuestos!F$10*(Drivers!F$33/Drivers!$C$33)</f>
        <v/>
      </c>
      <c r="K82" s="24">
        <f>$G82*Supuestos!G$10*(Drivers!G$33/Drivers!$C$33)</f>
        <v/>
      </c>
      <c r="L82" s="24">
        <f>$G82*Supuestos!H$10*(Drivers!H$33/Drivers!$C$33)</f>
        <v/>
      </c>
      <c r="M82" s="24">
        <f>$G82*Supuestos!I$10*(Drivers!I$33/Drivers!$C$33)</f>
        <v/>
      </c>
      <c r="N82" s="24">
        <f>$G82*Supuestos!J$10*(Drivers!J$33/Drivers!$C$33)</f>
        <v/>
      </c>
      <c r="O82" s="24">
        <f>$G82*Supuestos!K$10*(Drivers!K$33/Drivers!$C$33)</f>
        <v/>
      </c>
      <c r="P82" s="24">
        <f>$G82*Supuestos!L$10*(Drivers!L$33/Drivers!$C$33)</f>
        <v/>
      </c>
      <c r="Q82" s="24">
        <f>$G82*Supuestos!M$10*(Drivers!M$33/Drivers!$C$33)</f>
        <v/>
      </c>
      <c r="R82" s="24">
        <f>$G82*Supuestos!N$10*(Drivers!N$33/Drivers!$C$33)</f>
        <v/>
      </c>
      <c r="S82" s="24">
        <f>$G82*Supuestos!O$10*(Drivers!O$33/Drivers!$C$33)</f>
        <v/>
      </c>
      <c r="T82" s="24">
        <f>$G82*Supuestos!P$10*(Drivers!P$33/Drivers!$C$33)</f>
        <v/>
      </c>
      <c r="U82" s="24">
        <f>$G82*Supuestos!Q$10*(Drivers!Q$33/Drivers!$C$33)</f>
        <v/>
      </c>
      <c r="V82" s="24">
        <f>$G82*Supuestos!R$10*(Drivers!R$33/Drivers!$C$33)</f>
        <v/>
      </c>
    </row>
    <row r="83">
      <c r="A83" s="6" t="inlineStr">
        <is>
          <t>GNM</t>
        </is>
      </c>
      <c r="B83" s="6" t="inlineStr">
        <is>
          <t>ARS</t>
        </is>
      </c>
      <c r="C83" s="6" t="inlineStr">
        <is>
          <t>2 Costos de Explotación</t>
        </is>
      </c>
      <c r="D83" s="6" t="inlineStr">
        <is>
          <t>2.1 Remuneraciones</t>
        </is>
      </c>
      <c r="E83" s="6" t="inlineStr">
        <is>
          <t>Calidad</t>
        </is>
      </c>
      <c r="F83" s="6" t="inlineStr">
        <is>
          <t>pos_sal</t>
        </is>
      </c>
      <c r="G83" s="24" t="n">
        <v>-197304.13</v>
      </c>
      <c r="H83" s="24">
        <f>$G83*Supuestos!D$10*(Drivers!D$33/Drivers!$C$33)</f>
        <v/>
      </c>
      <c r="I83" s="24">
        <f>$G83*Supuestos!E$10*(Drivers!E$33/Drivers!$C$33)</f>
        <v/>
      </c>
      <c r="J83" s="24">
        <f>$G83*Supuestos!F$10*(Drivers!F$33/Drivers!$C$33)</f>
        <v/>
      </c>
      <c r="K83" s="24">
        <f>$G83*Supuestos!G$10*(Drivers!G$33/Drivers!$C$33)</f>
        <v/>
      </c>
      <c r="L83" s="24">
        <f>$G83*Supuestos!H$10*(Drivers!H$33/Drivers!$C$33)</f>
        <v/>
      </c>
      <c r="M83" s="24">
        <f>$G83*Supuestos!I$10*(Drivers!I$33/Drivers!$C$33)</f>
        <v/>
      </c>
      <c r="N83" s="24">
        <f>$G83*Supuestos!J$10*(Drivers!J$33/Drivers!$C$33)</f>
        <v/>
      </c>
      <c r="O83" s="24">
        <f>$G83*Supuestos!K$10*(Drivers!K$33/Drivers!$C$33)</f>
        <v/>
      </c>
      <c r="P83" s="24">
        <f>$G83*Supuestos!L$10*(Drivers!L$33/Drivers!$C$33)</f>
        <v/>
      </c>
      <c r="Q83" s="24">
        <f>$G83*Supuestos!M$10*(Drivers!M$33/Drivers!$C$33)</f>
        <v/>
      </c>
      <c r="R83" s="24">
        <f>$G83*Supuestos!N$10*(Drivers!N$33/Drivers!$C$33)</f>
        <v/>
      </c>
      <c r="S83" s="24">
        <f>$G83*Supuestos!O$10*(Drivers!O$33/Drivers!$C$33)</f>
        <v/>
      </c>
      <c r="T83" s="24">
        <f>$G83*Supuestos!P$10*(Drivers!P$33/Drivers!$C$33)</f>
        <v/>
      </c>
      <c r="U83" s="24">
        <f>$G83*Supuestos!Q$10*(Drivers!Q$33/Drivers!$C$33)</f>
        <v/>
      </c>
      <c r="V83" s="24">
        <f>$G83*Supuestos!R$10*(Drivers!R$33/Drivers!$C$33)</f>
        <v/>
      </c>
    </row>
    <row r="84">
      <c r="A84" s="6" t="inlineStr">
        <is>
          <t>GNM</t>
        </is>
      </c>
      <c r="B84" s="6" t="inlineStr">
        <is>
          <t>ARS</t>
        </is>
      </c>
      <c r="C84" s="6" t="inlineStr">
        <is>
          <t>2 Costos de Explotación</t>
        </is>
      </c>
      <c r="D84" s="6" t="inlineStr">
        <is>
          <t>2.1 Remuneraciones</t>
        </is>
      </c>
      <c r="E84" s="6" t="inlineStr">
        <is>
          <t>Back Office</t>
        </is>
      </c>
      <c r="F84" s="6" t="inlineStr">
        <is>
          <t>pos_sal</t>
        </is>
      </c>
      <c r="G84" s="24" t="n">
        <v>-134525.88</v>
      </c>
      <c r="H84" s="24">
        <f>$G84*Supuestos!D$10*(Drivers!D$33/Drivers!$C$33)</f>
        <v/>
      </c>
      <c r="I84" s="24">
        <f>$G84*Supuestos!E$10*(Drivers!E$33/Drivers!$C$33)</f>
        <v/>
      </c>
      <c r="J84" s="24">
        <f>$G84*Supuestos!F$10*(Drivers!F$33/Drivers!$C$33)</f>
        <v/>
      </c>
      <c r="K84" s="24">
        <f>$G84*Supuestos!G$10*(Drivers!G$33/Drivers!$C$33)</f>
        <v/>
      </c>
      <c r="L84" s="24">
        <f>$G84*Supuestos!H$10*(Drivers!H$33/Drivers!$C$33)</f>
        <v/>
      </c>
      <c r="M84" s="24">
        <f>$G84*Supuestos!I$10*(Drivers!I$33/Drivers!$C$33)</f>
        <v/>
      </c>
      <c r="N84" s="24">
        <f>$G84*Supuestos!J$10*(Drivers!J$33/Drivers!$C$33)</f>
        <v/>
      </c>
      <c r="O84" s="24">
        <f>$G84*Supuestos!K$10*(Drivers!K$33/Drivers!$C$33)</f>
        <v/>
      </c>
      <c r="P84" s="24">
        <f>$G84*Supuestos!L$10*(Drivers!L$33/Drivers!$C$33)</f>
        <v/>
      </c>
      <c r="Q84" s="24">
        <f>$G84*Supuestos!M$10*(Drivers!M$33/Drivers!$C$33)</f>
        <v/>
      </c>
      <c r="R84" s="24">
        <f>$G84*Supuestos!N$10*(Drivers!N$33/Drivers!$C$33)</f>
        <v/>
      </c>
      <c r="S84" s="24">
        <f>$G84*Supuestos!O$10*(Drivers!O$33/Drivers!$C$33)</f>
        <v/>
      </c>
      <c r="T84" s="24">
        <f>$G84*Supuestos!P$10*(Drivers!P$33/Drivers!$C$33)</f>
        <v/>
      </c>
      <c r="U84" s="24">
        <f>$G84*Supuestos!Q$10*(Drivers!Q$33/Drivers!$C$33)</f>
        <v/>
      </c>
      <c r="V84" s="24">
        <f>$G84*Supuestos!R$10*(Drivers!R$33/Drivers!$C$33)</f>
        <v/>
      </c>
    </row>
    <row r="85">
      <c r="A85" s="6" t="inlineStr">
        <is>
          <t>GNM</t>
        </is>
      </c>
      <c r="B85" s="6" t="inlineStr">
        <is>
          <t>ARS</t>
        </is>
      </c>
      <c r="C85" s="6" t="inlineStr">
        <is>
          <t>2 Costos de Explotación</t>
        </is>
      </c>
      <c r="D85" s="6" t="inlineStr">
        <is>
          <t>2.1 Remuneraciones</t>
        </is>
      </c>
      <c r="E85" s="6" t="inlineStr">
        <is>
          <t>Ejecutivos de cuenta</t>
        </is>
      </c>
      <c r="F85" s="6" t="inlineStr">
        <is>
          <t>pos_sal</t>
        </is>
      </c>
      <c r="G85" s="24" t="n">
        <v>-255598.69</v>
      </c>
      <c r="H85" s="24">
        <f>$G85*Supuestos!D$10*(Drivers!D$33/Drivers!$C$33)</f>
        <v/>
      </c>
      <c r="I85" s="24">
        <f>$G85*Supuestos!E$10*(Drivers!E$33/Drivers!$C$33)</f>
        <v/>
      </c>
      <c r="J85" s="24">
        <f>$G85*Supuestos!F$10*(Drivers!F$33/Drivers!$C$33)</f>
        <v/>
      </c>
      <c r="K85" s="24">
        <f>$G85*Supuestos!G$10*(Drivers!G$33/Drivers!$C$33)</f>
        <v/>
      </c>
      <c r="L85" s="24">
        <f>$G85*Supuestos!H$10*(Drivers!H$33/Drivers!$C$33)</f>
        <v/>
      </c>
      <c r="M85" s="24">
        <f>$G85*Supuestos!I$10*(Drivers!I$33/Drivers!$C$33)</f>
        <v/>
      </c>
      <c r="N85" s="24">
        <f>$G85*Supuestos!J$10*(Drivers!J$33/Drivers!$C$33)</f>
        <v/>
      </c>
      <c r="O85" s="24">
        <f>$G85*Supuestos!K$10*(Drivers!K$33/Drivers!$C$33)</f>
        <v/>
      </c>
      <c r="P85" s="24">
        <f>$G85*Supuestos!L$10*(Drivers!L$33/Drivers!$C$33)</f>
        <v/>
      </c>
      <c r="Q85" s="24">
        <f>$G85*Supuestos!M$10*(Drivers!M$33/Drivers!$C$33)</f>
        <v/>
      </c>
      <c r="R85" s="24">
        <f>$G85*Supuestos!N$10*(Drivers!N$33/Drivers!$C$33)</f>
        <v/>
      </c>
      <c r="S85" s="24">
        <f>$G85*Supuestos!O$10*(Drivers!O$33/Drivers!$C$33)</f>
        <v/>
      </c>
      <c r="T85" s="24">
        <f>$G85*Supuestos!P$10*(Drivers!P$33/Drivers!$C$33)</f>
        <v/>
      </c>
      <c r="U85" s="24">
        <f>$G85*Supuestos!Q$10*(Drivers!Q$33/Drivers!$C$33)</f>
        <v/>
      </c>
      <c r="V85" s="24">
        <f>$G85*Supuestos!R$10*(Drivers!R$33/Drivers!$C$33)</f>
        <v/>
      </c>
    </row>
    <row r="86">
      <c r="A86" s="6" t="inlineStr">
        <is>
          <t>GNM</t>
        </is>
      </c>
      <c r="B86" s="6" t="inlineStr">
        <is>
          <t>ARS</t>
        </is>
      </c>
      <c r="C86" s="6" t="inlineStr">
        <is>
          <t>2 Costos de Explotación</t>
        </is>
      </c>
      <c r="D86" s="6" t="inlineStr">
        <is>
          <t>2.1 Remuneraciones</t>
        </is>
      </c>
      <c r="E86" s="6" t="inlineStr">
        <is>
          <t>Gerencia de Operaciones</t>
        </is>
      </c>
      <c r="F86" s="6" t="inlineStr">
        <is>
          <t>pos_sal</t>
        </is>
      </c>
      <c r="G86" s="24" t="n">
        <v>-286988.16</v>
      </c>
      <c r="H86" s="24">
        <f>$G86*Supuestos!D$10*(Drivers!D$33/Drivers!$C$33)</f>
        <v/>
      </c>
      <c r="I86" s="24">
        <f>$G86*Supuestos!E$10*(Drivers!E$33/Drivers!$C$33)</f>
        <v/>
      </c>
      <c r="J86" s="24">
        <f>$G86*Supuestos!F$10*(Drivers!F$33/Drivers!$C$33)</f>
        <v/>
      </c>
      <c r="K86" s="24">
        <f>$G86*Supuestos!G$10*(Drivers!G$33/Drivers!$C$33)</f>
        <v/>
      </c>
      <c r="L86" s="24">
        <f>$G86*Supuestos!H$10*(Drivers!H$33/Drivers!$C$33)</f>
        <v/>
      </c>
      <c r="M86" s="24">
        <f>$G86*Supuestos!I$10*(Drivers!I$33/Drivers!$C$33)</f>
        <v/>
      </c>
      <c r="N86" s="24">
        <f>$G86*Supuestos!J$10*(Drivers!J$33/Drivers!$C$33)</f>
        <v/>
      </c>
      <c r="O86" s="24">
        <f>$G86*Supuestos!K$10*(Drivers!K$33/Drivers!$C$33)</f>
        <v/>
      </c>
      <c r="P86" s="24">
        <f>$G86*Supuestos!L$10*(Drivers!L$33/Drivers!$C$33)</f>
        <v/>
      </c>
      <c r="Q86" s="24">
        <f>$G86*Supuestos!M$10*(Drivers!M$33/Drivers!$C$33)</f>
        <v/>
      </c>
      <c r="R86" s="24">
        <f>$G86*Supuestos!N$10*(Drivers!N$33/Drivers!$C$33)</f>
        <v/>
      </c>
      <c r="S86" s="24">
        <f>$G86*Supuestos!O$10*(Drivers!O$33/Drivers!$C$33)</f>
        <v/>
      </c>
      <c r="T86" s="24">
        <f>$G86*Supuestos!P$10*(Drivers!P$33/Drivers!$C$33)</f>
        <v/>
      </c>
      <c r="U86" s="24">
        <f>$G86*Supuestos!Q$10*(Drivers!Q$33/Drivers!$C$33)</f>
        <v/>
      </c>
      <c r="V86" s="24">
        <f>$G86*Supuestos!R$10*(Drivers!R$33/Drivers!$C$33)</f>
        <v/>
      </c>
    </row>
    <row r="87">
      <c r="A87" s="6" t="inlineStr">
        <is>
          <t>GNM</t>
        </is>
      </c>
      <c r="B87" s="6" t="inlineStr">
        <is>
          <t>ARS</t>
        </is>
      </c>
      <c r="C87" s="6" t="inlineStr">
        <is>
          <t>2 Costos de Explotación</t>
        </is>
      </c>
      <c r="D87" s="6" t="inlineStr">
        <is>
          <t>2.1 Remuneraciones</t>
        </is>
      </c>
      <c r="E87" s="6" t="inlineStr">
        <is>
          <t>Indemnizaciones</t>
        </is>
      </c>
      <c r="F87" s="6" t="inlineStr">
        <is>
          <t>zero</t>
        </is>
      </c>
      <c r="G87" s="24" t="n">
        <v>-45053.23</v>
      </c>
      <c r="H87" s="24">
        <f>0</f>
        <v/>
      </c>
      <c r="I87" s="24">
        <f>0</f>
        <v/>
      </c>
      <c r="J87" s="24">
        <f>0</f>
        <v/>
      </c>
      <c r="K87" s="24">
        <f>0</f>
        <v/>
      </c>
      <c r="L87" s="24">
        <f>0</f>
        <v/>
      </c>
      <c r="M87" s="24">
        <f>0</f>
        <v/>
      </c>
      <c r="N87" s="24">
        <f>0</f>
        <v/>
      </c>
      <c r="O87" s="24">
        <f>0</f>
        <v/>
      </c>
      <c r="P87" s="24">
        <f>0</f>
        <v/>
      </c>
      <c r="Q87" s="24">
        <f>0</f>
        <v/>
      </c>
      <c r="R87" s="24">
        <f>0</f>
        <v/>
      </c>
      <c r="S87" s="24">
        <f>0</f>
        <v/>
      </c>
      <c r="T87" s="24">
        <f>0</f>
        <v/>
      </c>
      <c r="U87" s="24">
        <f>0</f>
        <v/>
      </c>
      <c r="V87" s="24">
        <f>0</f>
        <v/>
      </c>
    </row>
    <row r="88">
      <c r="A88" s="6" t="inlineStr">
        <is>
          <t>GNM</t>
        </is>
      </c>
      <c r="B88" s="6" t="inlineStr">
        <is>
          <t>ARS</t>
        </is>
      </c>
      <c r="C88" s="6" t="inlineStr">
        <is>
          <t>2 Costos de Explotación</t>
        </is>
      </c>
      <c r="D88" s="6" t="inlineStr">
        <is>
          <t>2.3 Licencias</t>
        </is>
      </c>
      <c r="E88" s="6" t="inlineStr">
        <is>
          <t>Licencias discador/CRM</t>
        </is>
      </c>
      <c r="F88" s="6" t="inlineStr">
        <is>
          <t>pos_usd</t>
        </is>
      </c>
      <c r="G88" s="24" t="n">
        <v>-368550</v>
      </c>
      <c r="H88" s="24">
        <f>$G88*Supuestos!D$8*(Drivers!D$33/Drivers!$C$33)</f>
        <v/>
      </c>
      <c r="I88" s="24">
        <f>$G88*Supuestos!E$8*(Drivers!E$33/Drivers!$C$33)</f>
        <v/>
      </c>
      <c r="J88" s="24">
        <f>$G88*Supuestos!F$8*(Drivers!F$33/Drivers!$C$33)</f>
        <v/>
      </c>
      <c r="K88" s="24">
        <f>$G88*Supuestos!G$8*(Drivers!G$33/Drivers!$C$33)</f>
        <v/>
      </c>
      <c r="L88" s="24">
        <f>$G88*Supuestos!H$8*(Drivers!H$33/Drivers!$C$33)</f>
        <v/>
      </c>
      <c r="M88" s="24">
        <f>$G88*Supuestos!I$8*(Drivers!I$33/Drivers!$C$33)</f>
        <v/>
      </c>
      <c r="N88" s="24">
        <f>$G88*Supuestos!J$8*(Drivers!J$33/Drivers!$C$33)</f>
        <v/>
      </c>
      <c r="O88" s="24">
        <f>$G88*Supuestos!K$8*(Drivers!K$33/Drivers!$C$33)</f>
        <v/>
      </c>
      <c r="P88" s="24">
        <f>$G88*Supuestos!L$8*(Drivers!L$33/Drivers!$C$33)</f>
        <v/>
      </c>
      <c r="Q88" s="24">
        <f>$G88*Supuestos!M$8*(Drivers!M$33/Drivers!$C$33)</f>
        <v/>
      </c>
      <c r="R88" s="24">
        <f>$G88*Supuestos!N$8*(Drivers!N$33/Drivers!$C$33)</f>
        <v/>
      </c>
      <c r="S88" s="24">
        <f>$G88*Supuestos!O$8*(Drivers!O$33/Drivers!$C$33)</f>
        <v/>
      </c>
      <c r="T88" s="24">
        <f>$G88*Supuestos!P$8*(Drivers!P$33/Drivers!$C$33)</f>
        <v/>
      </c>
      <c r="U88" s="24">
        <f>$G88*Supuestos!Q$8*(Drivers!Q$33/Drivers!$C$33)</f>
        <v/>
      </c>
      <c r="V88" s="24">
        <f>$G88*Supuestos!R$8*(Drivers!R$33/Drivers!$C$33)</f>
        <v/>
      </c>
    </row>
    <row r="89">
      <c r="A89" s="6" t="inlineStr">
        <is>
          <t>GNM</t>
        </is>
      </c>
      <c r="B89" s="6" t="inlineStr">
        <is>
          <t>ARS</t>
        </is>
      </c>
      <c r="C89" s="6" t="inlineStr">
        <is>
          <t>2 Costos de Explotación</t>
        </is>
      </c>
      <c r="D89" s="6" t="inlineStr">
        <is>
          <t>2.5 Telefonía</t>
        </is>
      </c>
      <c r="E89" s="6" t="inlineStr">
        <is>
          <t>Telefonía celular</t>
        </is>
      </c>
      <c r="F89" s="6" t="inlineStr">
        <is>
          <t>pos_inf</t>
        </is>
      </c>
      <c r="G89" s="24" t="n">
        <v>-175338.08</v>
      </c>
      <c r="H89" s="24">
        <f>$G89*Supuestos!D$6*(Drivers!D$33/Drivers!$C$33)</f>
        <v/>
      </c>
      <c r="I89" s="24">
        <f>$G89*Supuestos!E$6*(Drivers!E$33/Drivers!$C$33)</f>
        <v/>
      </c>
      <c r="J89" s="24">
        <f>$G89*Supuestos!F$6*(Drivers!F$33/Drivers!$C$33)</f>
        <v/>
      </c>
      <c r="K89" s="24">
        <f>$G89*Supuestos!G$6*(Drivers!G$33/Drivers!$C$33)</f>
        <v/>
      </c>
      <c r="L89" s="24">
        <f>$G89*Supuestos!H$6*(Drivers!H$33/Drivers!$C$33)</f>
        <v/>
      </c>
      <c r="M89" s="24">
        <f>$G89*Supuestos!I$6*(Drivers!I$33/Drivers!$C$33)</f>
        <v/>
      </c>
      <c r="N89" s="24">
        <f>$G89*Supuestos!J$6*(Drivers!J$33/Drivers!$C$33)</f>
        <v/>
      </c>
      <c r="O89" s="24">
        <f>$G89*Supuestos!K$6*(Drivers!K$33/Drivers!$C$33)</f>
        <v/>
      </c>
      <c r="P89" s="24">
        <f>$G89*Supuestos!L$6*(Drivers!L$33/Drivers!$C$33)</f>
        <v/>
      </c>
      <c r="Q89" s="24">
        <f>$G89*Supuestos!M$6*(Drivers!M$33/Drivers!$C$33)</f>
        <v/>
      </c>
      <c r="R89" s="24">
        <f>$G89*Supuestos!N$6*(Drivers!N$33/Drivers!$C$33)</f>
        <v/>
      </c>
      <c r="S89" s="24">
        <f>$G89*Supuestos!O$6*(Drivers!O$33/Drivers!$C$33)</f>
        <v/>
      </c>
      <c r="T89" s="24">
        <f>$G89*Supuestos!P$6*(Drivers!P$33/Drivers!$C$33)</f>
        <v/>
      </c>
      <c r="U89" s="24">
        <f>$G89*Supuestos!Q$6*(Drivers!Q$33/Drivers!$C$33)</f>
        <v/>
      </c>
      <c r="V89" s="24">
        <f>$G89*Supuestos!R$6*(Drivers!R$33/Drivers!$C$33)</f>
        <v/>
      </c>
    </row>
    <row r="90">
      <c r="A90" s="6" t="inlineStr">
        <is>
          <t>GNM</t>
        </is>
      </c>
      <c r="B90" s="6" t="inlineStr">
        <is>
          <t>ARS</t>
        </is>
      </c>
      <c r="C90" s="6" t="inlineStr">
        <is>
          <t>2 Costos de Explotación</t>
        </is>
      </c>
      <c r="D90" s="6" t="inlineStr">
        <is>
          <t>2.5 Telefonía</t>
        </is>
      </c>
      <c r="E90" s="6" t="inlineStr">
        <is>
          <t>Telefonía LDN</t>
        </is>
      </c>
      <c r="F90" s="6" t="inlineStr">
        <is>
          <t>pos_inf</t>
        </is>
      </c>
      <c r="G90" s="24" t="n">
        <v>-45087.21</v>
      </c>
      <c r="H90" s="24">
        <f>$G90*Supuestos!D$6*(Drivers!D$33/Drivers!$C$33)</f>
        <v/>
      </c>
      <c r="I90" s="24">
        <f>$G90*Supuestos!E$6*(Drivers!E$33/Drivers!$C$33)</f>
        <v/>
      </c>
      <c r="J90" s="24">
        <f>$G90*Supuestos!F$6*(Drivers!F$33/Drivers!$C$33)</f>
        <v/>
      </c>
      <c r="K90" s="24">
        <f>$G90*Supuestos!G$6*(Drivers!G$33/Drivers!$C$33)</f>
        <v/>
      </c>
      <c r="L90" s="24">
        <f>$G90*Supuestos!H$6*(Drivers!H$33/Drivers!$C$33)</f>
        <v/>
      </c>
      <c r="M90" s="24">
        <f>$G90*Supuestos!I$6*(Drivers!I$33/Drivers!$C$33)</f>
        <v/>
      </c>
      <c r="N90" s="24">
        <f>$G90*Supuestos!J$6*(Drivers!J$33/Drivers!$C$33)</f>
        <v/>
      </c>
      <c r="O90" s="24">
        <f>$G90*Supuestos!K$6*(Drivers!K$33/Drivers!$C$33)</f>
        <v/>
      </c>
      <c r="P90" s="24">
        <f>$G90*Supuestos!L$6*(Drivers!L$33/Drivers!$C$33)</f>
        <v/>
      </c>
      <c r="Q90" s="24">
        <f>$G90*Supuestos!M$6*(Drivers!M$33/Drivers!$C$33)</f>
        <v/>
      </c>
      <c r="R90" s="24">
        <f>$G90*Supuestos!N$6*(Drivers!N$33/Drivers!$C$33)</f>
        <v/>
      </c>
      <c r="S90" s="24">
        <f>$G90*Supuestos!O$6*(Drivers!O$33/Drivers!$C$33)</f>
        <v/>
      </c>
      <c r="T90" s="24">
        <f>$G90*Supuestos!P$6*(Drivers!P$33/Drivers!$C$33)</f>
        <v/>
      </c>
      <c r="U90" s="24">
        <f>$G90*Supuestos!Q$6*(Drivers!Q$33/Drivers!$C$33)</f>
        <v/>
      </c>
      <c r="V90" s="24">
        <f>$G90*Supuestos!R$6*(Drivers!R$33/Drivers!$C$33)</f>
        <v/>
      </c>
    </row>
    <row r="91">
      <c r="A91" s="6" t="inlineStr">
        <is>
          <t>GNM</t>
        </is>
      </c>
      <c r="B91" s="6" t="inlineStr">
        <is>
          <t>ARS</t>
        </is>
      </c>
      <c r="C91" s="6" t="inlineStr">
        <is>
          <t>2 Costos de Explotación</t>
        </is>
      </c>
      <c r="D91" s="6" t="inlineStr">
        <is>
          <t>2.5 Telefonía</t>
        </is>
      </c>
      <c r="E91" s="6" t="inlineStr">
        <is>
          <t>Telefonía local y 0800</t>
        </is>
      </c>
      <c r="F91" s="6" t="inlineStr">
        <is>
          <t>pos_inf</t>
        </is>
      </c>
      <c r="G91" s="24" t="n">
        <v>-30057.68</v>
      </c>
      <c r="H91" s="24">
        <f>$G91*Supuestos!D$6*(Drivers!D$33/Drivers!$C$33)</f>
        <v/>
      </c>
      <c r="I91" s="24">
        <f>$G91*Supuestos!E$6*(Drivers!E$33/Drivers!$C$33)</f>
        <v/>
      </c>
      <c r="J91" s="24">
        <f>$G91*Supuestos!F$6*(Drivers!F$33/Drivers!$C$33)</f>
        <v/>
      </c>
      <c r="K91" s="24">
        <f>$G91*Supuestos!G$6*(Drivers!G$33/Drivers!$C$33)</f>
        <v/>
      </c>
      <c r="L91" s="24">
        <f>$G91*Supuestos!H$6*(Drivers!H$33/Drivers!$C$33)</f>
        <v/>
      </c>
      <c r="M91" s="24">
        <f>$G91*Supuestos!I$6*(Drivers!I$33/Drivers!$C$33)</f>
        <v/>
      </c>
      <c r="N91" s="24">
        <f>$G91*Supuestos!J$6*(Drivers!J$33/Drivers!$C$33)</f>
        <v/>
      </c>
      <c r="O91" s="24">
        <f>$G91*Supuestos!K$6*(Drivers!K$33/Drivers!$C$33)</f>
        <v/>
      </c>
      <c r="P91" s="24">
        <f>$G91*Supuestos!L$6*(Drivers!L$33/Drivers!$C$33)</f>
        <v/>
      </c>
      <c r="Q91" s="24">
        <f>$G91*Supuestos!M$6*(Drivers!M$33/Drivers!$C$33)</f>
        <v/>
      </c>
      <c r="R91" s="24">
        <f>$G91*Supuestos!N$6*(Drivers!N$33/Drivers!$C$33)</f>
        <v/>
      </c>
      <c r="S91" s="24">
        <f>$G91*Supuestos!O$6*(Drivers!O$33/Drivers!$C$33)</f>
        <v/>
      </c>
      <c r="T91" s="24">
        <f>$G91*Supuestos!P$6*(Drivers!P$33/Drivers!$C$33)</f>
        <v/>
      </c>
      <c r="U91" s="24">
        <f>$G91*Supuestos!Q$6*(Drivers!Q$33/Drivers!$C$33)</f>
        <v/>
      </c>
      <c r="V91" s="24">
        <f>$G91*Supuestos!R$6*(Drivers!R$33/Drivers!$C$33)</f>
        <v/>
      </c>
    </row>
    <row r="92">
      <c r="A92" s="6" t="inlineStr">
        <is>
          <t>GNM</t>
        </is>
      </c>
      <c r="B92" s="6" t="inlineStr">
        <is>
          <t>ARS</t>
        </is>
      </c>
      <c r="C92" s="6" t="inlineStr">
        <is>
          <t>2 Costos de Explotación</t>
        </is>
      </c>
      <c r="D92" s="6" t="inlineStr">
        <is>
          <t>2.6 SMS</t>
        </is>
      </c>
      <c r="E92" s="6" t="inlineStr">
        <is>
          <t>SMS</t>
        </is>
      </c>
      <c r="F92" s="6" t="inlineStr">
        <is>
          <t>sms</t>
        </is>
      </c>
      <c r="G92" s="24" t="n">
        <v>-2299004.46</v>
      </c>
      <c r="H92" s="24">
        <f>$G92*Supuestos!D$12*(Drivers!D$30/100)</f>
        <v/>
      </c>
      <c r="I92" s="24">
        <f>$G92*Supuestos!E$12*(Drivers!E$30/100)</f>
        <v/>
      </c>
      <c r="J92" s="24">
        <f>$G92*Supuestos!F$12*(Drivers!F$30/100)</f>
        <v/>
      </c>
      <c r="K92" s="24">
        <f>$G92*Supuestos!G$12*(Drivers!G$30/100)</f>
        <v/>
      </c>
      <c r="L92" s="24">
        <f>$G92*Supuestos!H$12*(Drivers!H$30/100)</f>
        <v/>
      </c>
      <c r="M92" s="24">
        <f>$G92*Supuestos!I$12*(Drivers!I$30/100)</f>
        <v/>
      </c>
      <c r="N92" s="24">
        <f>$G92*Supuestos!J$12*(Drivers!J$30/100)</f>
        <v/>
      </c>
      <c r="O92" s="24">
        <f>$G92*Supuestos!K$12*(Drivers!K$30/100)</f>
        <v/>
      </c>
      <c r="P92" s="24">
        <f>$G92*Supuestos!L$12*(Drivers!L$30/100)</f>
        <v/>
      </c>
      <c r="Q92" s="24">
        <f>$G92*Supuestos!M$12*(Drivers!M$30/100)</f>
        <v/>
      </c>
      <c r="R92" s="24">
        <f>$G92*Supuestos!N$12*(Drivers!N$30/100)</f>
        <v/>
      </c>
      <c r="S92" s="24">
        <f>$G92*Supuestos!O$12*(Drivers!O$30/100)</f>
        <v/>
      </c>
      <c r="T92" s="24">
        <f>$G92*Supuestos!P$12*(Drivers!P$30/100)</f>
        <v/>
      </c>
      <c r="U92" s="24">
        <f>$G92*Supuestos!Q$12*(Drivers!Q$30/100)</f>
        <v/>
      </c>
      <c r="V92" s="24">
        <f>$G92*Supuestos!R$12*(Drivers!R$30/100)</f>
        <v/>
      </c>
    </row>
    <row r="93">
      <c r="A93" s="6" t="inlineStr">
        <is>
          <t>GNM</t>
        </is>
      </c>
      <c r="B93" s="6" t="inlineStr">
        <is>
          <t>ARS</t>
        </is>
      </c>
      <c r="C93" s="6" t="inlineStr">
        <is>
          <t>2 Costos de Explotación</t>
        </is>
      </c>
      <c r="D93" s="6" t="inlineStr">
        <is>
          <t>2.7 Bocas de Cobranza</t>
        </is>
      </c>
      <c r="E93" s="6" t="inlineStr">
        <is>
          <t>Bocas de cobranza</t>
        </is>
      </c>
      <c r="F93" s="6" t="inlineStr">
        <is>
          <t>vol_inf</t>
        </is>
      </c>
      <c r="G93" s="24" t="n">
        <v>-1083327.61</v>
      </c>
      <c r="H93" s="24">
        <f>$G93*Supuestos!D$6*(Drivers!D$30/100)</f>
        <v/>
      </c>
      <c r="I93" s="24">
        <f>$G93*Supuestos!E$6*(Drivers!E$30/100)</f>
        <v/>
      </c>
      <c r="J93" s="24">
        <f>$G93*Supuestos!F$6*(Drivers!F$30/100)</f>
        <v/>
      </c>
      <c r="K93" s="24">
        <f>$G93*Supuestos!G$6*(Drivers!G$30/100)</f>
        <v/>
      </c>
      <c r="L93" s="24">
        <f>$G93*Supuestos!H$6*(Drivers!H$30/100)</f>
        <v/>
      </c>
      <c r="M93" s="24">
        <f>$G93*Supuestos!I$6*(Drivers!I$30/100)</f>
        <v/>
      </c>
      <c r="N93" s="24">
        <f>$G93*Supuestos!J$6*(Drivers!J$30/100)</f>
        <v/>
      </c>
      <c r="O93" s="24">
        <f>$G93*Supuestos!K$6*(Drivers!K$30/100)</f>
        <v/>
      </c>
      <c r="P93" s="24">
        <f>$G93*Supuestos!L$6*(Drivers!L$30/100)</f>
        <v/>
      </c>
      <c r="Q93" s="24">
        <f>$G93*Supuestos!M$6*(Drivers!M$30/100)</f>
        <v/>
      </c>
      <c r="R93" s="24">
        <f>$G93*Supuestos!N$6*(Drivers!N$30/100)</f>
        <v/>
      </c>
      <c r="S93" s="24">
        <f>$G93*Supuestos!O$6*(Drivers!O$30/100)</f>
        <v/>
      </c>
      <c r="T93" s="24">
        <f>$G93*Supuestos!P$6*(Drivers!P$30/100)</f>
        <v/>
      </c>
      <c r="U93" s="24">
        <f>$G93*Supuestos!Q$6*(Drivers!Q$30/100)</f>
        <v/>
      </c>
      <c r="V93" s="24">
        <f>$G93*Supuestos!R$6*(Drivers!R$30/100)</f>
        <v/>
      </c>
    </row>
    <row r="94">
      <c r="A94" s="6" t="inlineStr">
        <is>
          <t>GNM</t>
        </is>
      </c>
      <c r="B94" s="6" t="inlineStr">
        <is>
          <t>ARS</t>
        </is>
      </c>
      <c r="C94" s="6" t="inlineStr">
        <is>
          <t>2 Costos de Explotación</t>
        </is>
      </c>
      <c r="D94" s="6" t="inlineStr">
        <is>
          <t>2.8 Mailing</t>
        </is>
      </c>
      <c r="E94" s="6" t="inlineStr">
        <is>
          <t>Mailing</t>
        </is>
      </c>
      <c r="F94" s="6" t="inlineStr">
        <is>
          <t>vol_usd</t>
        </is>
      </c>
      <c r="G94" s="24" t="n">
        <v>-777046.49</v>
      </c>
      <c r="H94" s="24">
        <f>$G94*Supuestos!D$8*(Drivers!D$30/100)</f>
        <v/>
      </c>
      <c r="I94" s="24">
        <f>$G94*Supuestos!E$8*(Drivers!E$30/100)</f>
        <v/>
      </c>
      <c r="J94" s="24">
        <f>$G94*Supuestos!F$8*(Drivers!F$30/100)</f>
        <v/>
      </c>
      <c r="K94" s="24">
        <f>$G94*Supuestos!G$8*(Drivers!G$30/100)</f>
        <v/>
      </c>
      <c r="L94" s="24">
        <f>$G94*Supuestos!H$8*(Drivers!H$30/100)</f>
        <v/>
      </c>
      <c r="M94" s="24">
        <f>$G94*Supuestos!I$8*(Drivers!I$30/100)</f>
        <v/>
      </c>
      <c r="N94" s="24">
        <f>$G94*Supuestos!J$8*(Drivers!J$30/100)</f>
        <v/>
      </c>
      <c r="O94" s="24">
        <f>$G94*Supuestos!K$8*(Drivers!K$30/100)</f>
        <v/>
      </c>
      <c r="P94" s="24">
        <f>$G94*Supuestos!L$8*(Drivers!L$30/100)</f>
        <v/>
      </c>
      <c r="Q94" s="24">
        <f>$G94*Supuestos!M$8*(Drivers!M$30/100)</f>
        <v/>
      </c>
      <c r="R94" s="24">
        <f>$G94*Supuestos!N$8*(Drivers!N$30/100)</f>
        <v/>
      </c>
      <c r="S94" s="24">
        <f>$G94*Supuestos!O$8*(Drivers!O$30/100)</f>
        <v/>
      </c>
      <c r="T94" s="24">
        <f>$G94*Supuestos!P$8*(Drivers!P$30/100)</f>
        <v/>
      </c>
      <c r="U94" s="24">
        <f>$G94*Supuestos!Q$8*(Drivers!Q$30/100)</f>
        <v/>
      </c>
      <c r="V94" s="24">
        <f>$G94*Supuestos!R$8*(Drivers!R$30/100)</f>
        <v/>
      </c>
    </row>
    <row r="95">
      <c r="A95" s="6" t="inlineStr">
        <is>
          <t>GNM</t>
        </is>
      </c>
      <c r="B95" s="6" t="inlineStr">
        <is>
          <t>ARS</t>
        </is>
      </c>
      <c r="C95" s="6" t="inlineStr">
        <is>
          <t>3 Impuestos Directos</t>
        </is>
      </c>
      <c r="D95" s="6" t="inlineStr">
        <is>
          <t>3.1 Ingresos Brutos</t>
        </is>
      </c>
      <c r="E95" s="6" t="inlineStr">
        <is>
          <t>Ingresos Brutos</t>
        </is>
      </c>
      <c r="F95" s="6" t="inlineStr">
        <is>
          <t>iibb</t>
        </is>
      </c>
      <c r="G95" s="24" t="n">
        <v>-1118537.79</v>
      </c>
      <c r="H95" s="24">
        <f>$G95*Supuestos!D$6*(Drivers!D$30/100)*(Drivers!D$31/Drivers!$C$31)*(Drivers!D$32/Drivers!$C$32)*Supuestos!D$13</f>
        <v/>
      </c>
      <c r="I95" s="24">
        <f>$G95*Supuestos!E$6*(Drivers!E$30/100)*(Drivers!E$31/Drivers!$C$31)*(Drivers!E$32/Drivers!$C$32)*Supuestos!E$13</f>
        <v/>
      </c>
      <c r="J95" s="24">
        <f>$G95*Supuestos!F$6*(Drivers!F$30/100)*(Drivers!F$31/Drivers!$C$31)*(Drivers!F$32/Drivers!$C$32)*Supuestos!F$13</f>
        <v/>
      </c>
      <c r="K95" s="24">
        <f>$G95*Supuestos!G$6*(Drivers!G$30/100)*(Drivers!G$31/Drivers!$C$31)*(Drivers!G$32/Drivers!$C$32)*Supuestos!G$13</f>
        <v/>
      </c>
      <c r="L95" s="24">
        <f>$G95*Supuestos!H$6*(Drivers!H$30/100)*(Drivers!H$31/Drivers!$C$31)*(Drivers!H$32/Drivers!$C$32)*Supuestos!H$13</f>
        <v/>
      </c>
      <c r="M95" s="24">
        <f>$G95*Supuestos!I$6*(Drivers!I$30/100)*(Drivers!I$31/Drivers!$C$31)*(Drivers!I$32/Drivers!$C$32)*Supuestos!I$13</f>
        <v/>
      </c>
      <c r="N95" s="24">
        <f>$G95*Supuestos!J$6*(Drivers!J$30/100)*(Drivers!J$31/Drivers!$C$31)*(Drivers!J$32/Drivers!$C$32)*Supuestos!J$13</f>
        <v/>
      </c>
      <c r="O95" s="24">
        <f>$G95*Supuestos!K$6*(Drivers!K$30/100)*(Drivers!K$31/Drivers!$C$31)*(Drivers!K$32/Drivers!$C$32)*Supuestos!K$13</f>
        <v/>
      </c>
      <c r="P95" s="24">
        <f>$G95*Supuestos!L$6*(Drivers!L$30/100)*(Drivers!L$31/Drivers!$C$31)*(Drivers!L$32/Drivers!$C$32)*Supuestos!L$13</f>
        <v/>
      </c>
      <c r="Q95" s="24">
        <f>$G95*Supuestos!M$6*(Drivers!M$30/100)*(Drivers!M$31/Drivers!$C$31)*(Drivers!M$32/Drivers!$C$32)*Supuestos!M$13</f>
        <v/>
      </c>
      <c r="R95" s="24">
        <f>$G95*Supuestos!N$6*(Drivers!N$30/100)*(Drivers!N$31/Drivers!$C$31)*(Drivers!N$32/Drivers!$C$32)*Supuestos!N$13</f>
        <v/>
      </c>
      <c r="S95" s="24">
        <f>$G95*Supuestos!O$6*(Drivers!O$30/100)*(Drivers!O$31/Drivers!$C$31)*(Drivers!O$32/Drivers!$C$32)*Supuestos!O$13</f>
        <v/>
      </c>
      <c r="T95" s="24">
        <f>$G95*Supuestos!P$6*(Drivers!P$30/100)*(Drivers!P$31/Drivers!$C$31)*(Drivers!P$32/Drivers!$C$32)*Supuestos!P$13</f>
        <v/>
      </c>
      <c r="U95" s="24">
        <f>$G95*Supuestos!Q$6*(Drivers!Q$30/100)*(Drivers!Q$31/Drivers!$C$31)*(Drivers!Q$32/Drivers!$C$32)*Supuestos!Q$13</f>
        <v/>
      </c>
      <c r="V95" s="24">
        <f>$G95*Supuestos!R$6*(Drivers!R$30/100)*(Drivers!R$31/Drivers!$C$31)*(Drivers!R$32/Drivers!$C$32)*Supuestos!R$13</f>
        <v/>
      </c>
    </row>
    <row r="96">
      <c r="A96" s="6" t="inlineStr">
        <is>
          <t>CFM</t>
        </is>
      </c>
      <c r="B96" s="6" t="inlineStr">
        <is>
          <t>ARS</t>
        </is>
      </c>
      <c r="C96" s="6" t="inlineStr">
        <is>
          <t>1 Ingreso Operacional</t>
        </is>
      </c>
      <c r="D96" s="6" t="inlineStr">
        <is>
          <t>1.1 Ingreso Cobranzas</t>
        </is>
      </c>
      <c r="E96" s="6" t="inlineStr">
        <is>
          <t>Ingreso por recupero</t>
        </is>
      </c>
      <c r="F96" s="6" t="inlineStr">
        <is>
          <t>rev</t>
        </is>
      </c>
      <c r="G96" s="24" t="n">
        <v>24986832.45</v>
      </c>
      <c r="H96" s="24">
        <f>$G96*Supuestos!D$6*(Drivers!D$36/100)*(Drivers!D$37/Drivers!$C$37)*(Drivers!D$38/Drivers!$C$38)*Supuestos!D$13</f>
        <v/>
      </c>
      <c r="I96" s="24">
        <f>$G96*Supuestos!E$6*(Drivers!E$36/100)*(Drivers!E$37/Drivers!$C$37)*(Drivers!E$38/Drivers!$C$38)*Supuestos!E$13</f>
        <v/>
      </c>
      <c r="J96" s="24">
        <f>$G96*Supuestos!F$6*(Drivers!F$36/100)*(Drivers!F$37/Drivers!$C$37)*(Drivers!F$38/Drivers!$C$38)*Supuestos!F$13</f>
        <v/>
      </c>
      <c r="K96" s="24">
        <f>$G96*Supuestos!G$6*(Drivers!G$36/100)*(Drivers!G$37/Drivers!$C$37)*(Drivers!G$38/Drivers!$C$38)*Supuestos!G$13</f>
        <v/>
      </c>
      <c r="L96" s="24">
        <f>$G96*Supuestos!H$6*(Drivers!H$36/100)*(Drivers!H$37/Drivers!$C$37)*(Drivers!H$38/Drivers!$C$38)*Supuestos!H$13</f>
        <v/>
      </c>
      <c r="M96" s="24">
        <f>$G96*Supuestos!I$6*(Drivers!I$36/100)*(Drivers!I$37/Drivers!$C$37)*(Drivers!I$38/Drivers!$C$38)*Supuestos!I$13</f>
        <v/>
      </c>
      <c r="N96" s="24">
        <f>$G96*Supuestos!J$6*(Drivers!J$36/100)*(Drivers!J$37/Drivers!$C$37)*(Drivers!J$38/Drivers!$C$38)*Supuestos!J$13</f>
        <v/>
      </c>
      <c r="O96" s="24">
        <f>$G96*Supuestos!K$6*(Drivers!K$36/100)*(Drivers!K$37/Drivers!$C$37)*(Drivers!K$38/Drivers!$C$38)*Supuestos!K$13</f>
        <v/>
      </c>
      <c r="P96" s="24">
        <f>$G96*Supuestos!L$6*(Drivers!L$36/100)*(Drivers!L$37/Drivers!$C$37)*(Drivers!L$38/Drivers!$C$38)*Supuestos!L$13</f>
        <v/>
      </c>
      <c r="Q96" s="24">
        <f>$G96*Supuestos!M$6*(Drivers!M$36/100)*(Drivers!M$37/Drivers!$C$37)*(Drivers!M$38/Drivers!$C$38)*Supuestos!M$13</f>
        <v/>
      </c>
      <c r="R96" s="24">
        <f>$G96*Supuestos!N$6*(Drivers!N$36/100)*(Drivers!N$37/Drivers!$C$37)*(Drivers!N$38/Drivers!$C$38)*Supuestos!N$13</f>
        <v/>
      </c>
      <c r="S96" s="24">
        <f>$G96*Supuestos!O$6*(Drivers!O$36/100)*(Drivers!O$37/Drivers!$C$37)*(Drivers!O$38/Drivers!$C$38)*Supuestos!O$13</f>
        <v/>
      </c>
      <c r="T96" s="24">
        <f>$G96*Supuestos!P$6*(Drivers!P$36/100)*(Drivers!P$37/Drivers!$C$37)*(Drivers!P$38/Drivers!$C$38)*Supuestos!P$13</f>
        <v/>
      </c>
      <c r="U96" s="24">
        <f>$G96*Supuestos!Q$6*(Drivers!Q$36/100)*(Drivers!Q$37/Drivers!$C$37)*(Drivers!Q$38/Drivers!$C$38)*Supuestos!Q$13</f>
        <v/>
      </c>
      <c r="V96" s="24">
        <f>$G96*Supuestos!R$6*(Drivers!R$36/100)*(Drivers!R$37/Drivers!$C$37)*(Drivers!R$38/Drivers!$C$38)*Supuestos!R$13</f>
        <v/>
      </c>
    </row>
    <row r="97">
      <c r="A97" s="6" t="inlineStr">
        <is>
          <t>CFM</t>
        </is>
      </c>
      <c r="B97" s="6" t="inlineStr">
        <is>
          <t>ARS</t>
        </is>
      </c>
      <c r="C97" s="6" t="inlineStr">
        <is>
          <t>2 Costos de Explotación</t>
        </is>
      </c>
      <c r="D97" s="6" t="inlineStr">
        <is>
          <t>2.1 Remuneraciones</t>
        </is>
      </c>
      <c r="E97" s="6" t="inlineStr">
        <is>
          <t>Operadores</t>
        </is>
      </c>
      <c r="F97" s="6" t="inlineStr">
        <is>
          <t>pos_sal</t>
        </is>
      </c>
      <c r="G97" s="24" t="n">
        <v>-5350505.06</v>
      </c>
      <c r="H97" s="24">
        <f>$G97*Supuestos!D$10*(Drivers!D$39/Drivers!$C$39)</f>
        <v/>
      </c>
      <c r="I97" s="24">
        <f>$G97*Supuestos!E$10*(Drivers!E$39/Drivers!$C$39)</f>
        <v/>
      </c>
      <c r="J97" s="24">
        <f>$G97*Supuestos!F$10*(Drivers!F$39/Drivers!$C$39)</f>
        <v/>
      </c>
      <c r="K97" s="24">
        <f>$G97*Supuestos!G$10*(Drivers!G$39/Drivers!$C$39)</f>
        <v/>
      </c>
      <c r="L97" s="24">
        <f>$G97*Supuestos!H$10*(Drivers!H$39/Drivers!$C$39)</f>
        <v/>
      </c>
      <c r="M97" s="24">
        <f>$G97*Supuestos!I$10*(Drivers!I$39/Drivers!$C$39)</f>
        <v/>
      </c>
      <c r="N97" s="24">
        <f>$G97*Supuestos!J$10*(Drivers!J$39/Drivers!$C$39)</f>
        <v/>
      </c>
      <c r="O97" s="24">
        <f>$G97*Supuestos!K$10*(Drivers!K$39/Drivers!$C$39)</f>
        <v/>
      </c>
      <c r="P97" s="24">
        <f>$G97*Supuestos!L$10*(Drivers!L$39/Drivers!$C$39)</f>
        <v/>
      </c>
      <c r="Q97" s="24">
        <f>$G97*Supuestos!M$10*(Drivers!M$39/Drivers!$C$39)</f>
        <v/>
      </c>
      <c r="R97" s="24">
        <f>$G97*Supuestos!N$10*(Drivers!N$39/Drivers!$C$39)</f>
        <v/>
      </c>
      <c r="S97" s="24">
        <f>$G97*Supuestos!O$10*(Drivers!O$39/Drivers!$C$39)</f>
        <v/>
      </c>
      <c r="T97" s="24">
        <f>$G97*Supuestos!P$10*(Drivers!P$39/Drivers!$C$39)</f>
        <v/>
      </c>
      <c r="U97" s="24">
        <f>$G97*Supuestos!Q$10*(Drivers!Q$39/Drivers!$C$39)</f>
        <v/>
      </c>
      <c r="V97" s="24">
        <f>$G97*Supuestos!R$10*(Drivers!R$39/Drivers!$C$39)</f>
        <v/>
      </c>
    </row>
    <row r="98">
      <c r="A98" s="6" t="inlineStr">
        <is>
          <t>CFM</t>
        </is>
      </c>
      <c r="B98" s="6" t="inlineStr">
        <is>
          <t>ARS</t>
        </is>
      </c>
      <c r="C98" s="6" t="inlineStr">
        <is>
          <t>2 Costos de Explotación</t>
        </is>
      </c>
      <c r="D98" s="6" t="inlineStr">
        <is>
          <t>2.1 Remuneraciones</t>
        </is>
      </c>
      <c r="E98" s="6" t="inlineStr">
        <is>
          <t>Supervisión</t>
        </is>
      </c>
      <c r="F98" s="6" t="inlineStr">
        <is>
          <t>pos_sal</t>
        </is>
      </c>
      <c r="G98" s="24" t="n">
        <v>-834058.34</v>
      </c>
      <c r="H98" s="24">
        <f>$G98*Supuestos!D$10*(Drivers!D$39/Drivers!$C$39)</f>
        <v/>
      </c>
      <c r="I98" s="24">
        <f>$G98*Supuestos!E$10*(Drivers!E$39/Drivers!$C$39)</f>
        <v/>
      </c>
      <c r="J98" s="24">
        <f>$G98*Supuestos!F$10*(Drivers!F$39/Drivers!$C$39)</f>
        <v/>
      </c>
      <c r="K98" s="24">
        <f>$G98*Supuestos!G$10*(Drivers!G$39/Drivers!$C$39)</f>
        <v/>
      </c>
      <c r="L98" s="24">
        <f>$G98*Supuestos!H$10*(Drivers!H$39/Drivers!$C$39)</f>
        <v/>
      </c>
      <c r="M98" s="24">
        <f>$G98*Supuestos!I$10*(Drivers!I$39/Drivers!$C$39)</f>
        <v/>
      </c>
      <c r="N98" s="24">
        <f>$G98*Supuestos!J$10*(Drivers!J$39/Drivers!$C$39)</f>
        <v/>
      </c>
      <c r="O98" s="24">
        <f>$G98*Supuestos!K$10*(Drivers!K$39/Drivers!$C$39)</f>
        <v/>
      </c>
      <c r="P98" s="24">
        <f>$G98*Supuestos!L$10*(Drivers!L$39/Drivers!$C$39)</f>
        <v/>
      </c>
      <c r="Q98" s="24">
        <f>$G98*Supuestos!M$10*(Drivers!M$39/Drivers!$C$39)</f>
        <v/>
      </c>
      <c r="R98" s="24">
        <f>$G98*Supuestos!N$10*(Drivers!N$39/Drivers!$C$39)</f>
        <v/>
      </c>
      <c r="S98" s="24">
        <f>$G98*Supuestos!O$10*(Drivers!O$39/Drivers!$C$39)</f>
        <v/>
      </c>
      <c r="T98" s="24">
        <f>$G98*Supuestos!P$10*(Drivers!P$39/Drivers!$C$39)</f>
        <v/>
      </c>
      <c r="U98" s="24">
        <f>$G98*Supuestos!Q$10*(Drivers!Q$39/Drivers!$C$39)</f>
        <v/>
      </c>
      <c r="V98" s="24">
        <f>$G98*Supuestos!R$10*(Drivers!R$39/Drivers!$C$39)</f>
        <v/>
      </c>
    </row>
    <row r="99">
      <c r="A99" s="6" t="inlineStr">
        <is>
          <t>CFM</t>
        </is>
      </c>
      <c r="B99" s="6" t="inlineStr">
        <is>
          <t>ARS</t>
        </is>
      </c>
      <c r="C99" s="6" t="inlineStr">
        <is>
          <t>2 Costos de Explotación</t>
        </is>
      </c>
      <c r="D99" s="6" t="inlineStr">
        <is>
          <t>2.1 Remuneraciones</t>
        </is>
      </c>
      <c r="E99" s="6" t="inlineStr">
        <is>
          <t>Calidad</t>
        </is>
      </c>
      <c r="F99" s="6" t="inlineStr">
        <is>
          <t>pos_sal</t>
        </is>
      </c>
      <c r="G99" s="24" t="n">
        <v>-197304.13</v>
      </c>
      <c r="H99" s="24">
        <f>$G99*Supuestos!D$10*(Drivers!D$39/Drivers!$C$39)</f>
        <v/>
      </c>
      <c r="I99" s="24">
        <f>$G99*Supuestos!E$10*(Drivers!E$39/Drivers!$C$39)</f>
        <v/>
      </c>
      <c r="J99" s="24">
        <f>$G99*Supuestos!F$10*(Drivers!F$39/Drivers!$C$39)</f>
        <v/>
      </c>
      <c r="K99" s="24">
        <f>$G99*Supuestos!G$10*(Drivers!G$39/Drivers!$C$39)</f>
        <v/>
      </c>
      <c r="L99" s="24">
        <f>$G99*Supuestos!H$10*(Drivers!H$39/Drivers!$C$39)</f>
        <v/>
      </c>
      <c r="M99" s="24">
        <f>$G99*Supuestos!I$10*(Drivers!I$39/Drivers!$C$39)</f>
        <v/>
      </c>
      <c r="N99" s="24">
        <f>$G99*Supuestos!J$10*(Drivers!J$39/Drivers!$C$39)</f>
        <v/>
      </c>
      <c r="O99" s="24">
        <f>$G99*Supuestos!K$10*(Drivers!K$39/Drivers!$C$39)</f>
        <v/>
      </c>
      <c r="P99" s="24">
        <f>$G99*Supuestos!L$10*(Drivers!L$39/Drivers!$C$39)</f>
        <v/>
      </c>
      <c r="Q99" s="24">
        <f>$G99*Supuestos!M$10*(Drivers!M$39/Drivers!$C$39)</f>
        <v/>
      </c>
      <c r="R99" s="24">
        <f>$G99*Supuestos!N$10*(Drivers!N$39/Drivers!$C$39)</f>
        <v/>
      </c>
      <c r="S99" s="24">
        <f>$G99*Supuestos!O$10*(Drivers!O$39/Drivers!$C$39)</f>
        <v/>
      </c>
      <c r="T99" s="24">
        <f>$G99*Supuestos!P$10*(Drivers!P$39/Drivers!$C$39)</f>
        <v/>
      </c>
      <c r="U99" s="24">
        <f>$G99*Supuestos!Q$10*(Drivers!Q$39/Drivers!$C$39)</f>
        <v/>
      </c>
      <c r="V99" s="24">
        <f>$G99*Supuestos!R$10*(Drivers!R$39/Drivers!$C$39)</f>
        <v/>
      </c>
    </row>
    <row r="100">
      <c r="A100" s="6" t="inlineStr">
        <is>
          <t>CFM</t>
        </is>
      </c>
      <c r="B100" s="6" t="inlineStr">
        <is>
          <t>ARS</t>
        </is>
      </c>
      <c r="C100" s="6" t="inlineStr">
        <is>
          <t>2 Costos de Explotación</t>
        </is>
      </c>
      <c r="D100" s="6" t="inlineStr">
        <is>
          <t>2.1 Remuneraciones</t>
        </is>
      </c>
      <c r="E100" s="6" t="inlineStr">
        <is>
          <t>Back Office</t>
        </is>
      </c>
      <c r="F100" s="6" t="inlineStr">
        <is>
          <t>pos_sal</t>
        </is>
      </c>
      <c r="G100" s="24" t="n">
        <v>-134525.88</v>
      </c>
      <c r="H100" s="24">
        <f>$G100*Supuestos!D$10*(Drivers!D$39/Drivers!$C$39)</f>
        <v/>
      </c>
      <c r="I100" s="24">
        <f>$G100*Supuestos!E$10*(Drivers!E$39/Drivers!$C$39)</f>
        <v/>
      </c>
      <c r="J100" s="24">
        <f>$G100*Supuestos!F$10*(Drivers!F$39/Drivers!$C$39)</f>
        <v/>
      </c>
      <c r="K100" s="24">
        <f>$G100*Supuestos!G$10*(Drivers!G$39/Drivers!$C$39)</f>
        <v/>
      </c>
      <c r="L100" s="24">
        <f>$G100*Supuestos!H$10*(Drivers!H$39/Drivers!$C$39)</f>
        <v/>
      </c>
      <c r="M100" s="24">
        <f>$G100*Supuestos!I$10*(Drivers!I$39/Drivers!$C$39)</f>
        <v/>
      </c>
      <c r="N100" s="24">
        <f>$G100*Supuestos!J$10*(Drivers!J$39/Drivers!$C$39)</f>
        <v/>
      </c>
      <c r="O100" s="24">
        <f>$G100*Supuestos!K$10*(Drivers!K$39/Drivers!$C$39)</f>
        <v/>
      </c>
      <c r="P100" s="24">
        <f>$G100*Supuestos!L$10*(Drivers!L$39/Drivers!$C$39)</f>
        <v/>
      </c>
      <c r="Q100" s="24">
        <f>$G100*Supuestos!M$10*(Drivers!M$39/Drivers!$C$39)</f>
        <v/>
      </c>
      <c r="R100" s="24">
        <f>$G100*Supuestos!N$10*(Drivers!N$39/Drivers!$C$39)</f>
        <v/>
      </c>
      <c r="S100" s="24">
        <f>$G100*Supuestos!O$10*(Drivers!O$39/Drivers!$C$39)</f>
        <v/>
      </c>
      <c r="T100" s="24">
        <f>$G100*Supuestos!P$10*(Drivers!P$39/Drivers!$C$39)</f>
        <v/>
      </c>
      <c r="U100" s="24">
        <f>$G100*Supuestos!Q$10*(Drivers!Q$39/Drivers!$C$39)</f>
        <v/>
      </c>
      <c r="V100" s="24">
        <f>$G100*Supuestos!R$10*(Drivers!R$39/Drivers!$C$39)</f>
        <v/>
      </c>
    </row>
    <row r="101">
      <c r="A101" s="6" t="inlineStr">
        <is>
          <t>CFM</t>
        </is>
      </c>
      <c r="B101" s="6" t="inlineStr">
        <is>
          <t>ARS</t>
        </is>
      </c>
      <c r="C101" s="6" t="inlineStr">
        <is>
          <t>2 Costos de Explotación</t>
        </is>
      </c>
      <c r="D101" s="6" t="inlineStr">
        <is>
          <t>2.1 Remuneraciones</t>
        </is>
      </c>
      <c r="E101" s="6" t="inlineStr">
        <is>
          <t>Ejecutivos de cuenta</t>
        </is>
      </c>
      <c r="F101" s="6" t="inlineStr">
        <is>
          <t>pos_sal</t>
        </is>
      </c>
      <c r="G101" s="24" t="n">
        <v>-255598.69</v>
      </c>
      <c r="H101" s="24">
        <f>$G101*Supuestos!D$10*(Drivers!D$39/Drivers!$C$39)</f>
        <v/>
      </c>
      <c r="I101" s="24">
        <f>$G101*Supuestos!E$10*(Drivers!E$39/Drivers!$C$39)</f>
        <v/>
      </c>
      <c r="J101" s="24">
        <f>$G101*Supuestos!F$10*(Drivers!F$39/Drivers!$C$39)</f>
        <v/>
      </c>
      <c r="K101" s="24">
        <f>$G101*Supuestos!G$10*(Drivers!G$39/Drivers!$C$39)</f>
        <v/>
      </c>
      <c r="L101" s="24">
        <f>$G101*Supuestos!H$10*(Drivers!H$39/Drivers!$C$39)</f>
        <v/>
      </c>
      <c r="M101" s="24">
        <f>$G101*Supuestos!I$10*(Drivers!I$39/Drivers!$C$39)</f>
        <v/>
      </c>
      <c r="N101" s="24">
        <f>$G101*Supuestos!J$10*(Drivers!J$39/Drivers!$C$39)</f>
        <v/>
      </c>
      <c r="O101" s="24">
        <f>$G101*Supuestos!K$10*(Drivers!K$39/Drivers!$C$39)</f>
        <v/>
      </c>
      <c r="P101" s="24">
        <f>$G101*Supuestos!L$10*(Drivers!L$39/Drivers!$C$39)</f>
        <v/>
      </c>
      <c r="Q101" s="24">
        <f>$G101*Supuestos!M$10*(Drivers!M$39/Drivers!$C$39)</f>
        <v/>
      </c>
      <c r="R101" s="24">
        <f>$G101*Supuestos!N$10*(Drivers!N$39/Drivers!$C$39)</f>
        <v/>
      </c>
      <c r="S101" s="24">
        <f>$G101*Supuestos!O$10*(Drivers!O$39/Drivers!$C$39)</f>
        <v/>
      </c>
      <c r="T101" s="24">
        <f>$G101*Supuestos!P$10*(Drivers!P$39/Drivers!$C$39)</f>
        <v/>
      </c>
      <c r="U101" s="24">
        <f>$G101*Supuestos!Q$10*(Drivers!Q$39/Drivers!$C$39)</f>
        <v/>
      </c>
      <c r="V101" s="24">
        <f>$G101*Supuestos!R$10*(Drivers!R$39/Drivers!$C$39)</f>
        <v/>
      </c>
    </row>
    <row r="102">
      <c r="A102" s="6" t="inlineStr">
        <is>
          <t>CFM</t>
        </is>
      </c>
      <c r="B102" s="6" t="inlineStr">
        <is>
          <t>ARS</t>
        </is>
      </c>
      <c r="C102" s="6" t="inlineStr">
        <is>
          <t>2 Costos de Explotación</t>
        </is>
      </c>
      <c r="D102" s="6" t="inlineStr">
        <is>
          <t>2.1 Remuneraciones</t>
        </is>
      </c>
      <c r="E102" s="6" t="inlineStr">
        <is>
          <t>Gerencia de Operaciones</t>
        </is>
      </c>
      <c r="F102" s="6" t="inlineStr">
        <is>
          <t>pos_sal</t>
        </is>
      </c>
      <c r="G102" s="24" t="n">
        <v>-286988.16</v>
      </c>
      <c r="H102" s="24">
        <f>$G102*Supuestos!D$10*(Drivers!D$39/Drivers!$C$39)</f>
        <v/>
      </c>
      <c r="I102" s="24">
        <f>$G102*Supuestos!E$10*(Drivers!E$39/Drivers!$C$39)</f>
        <v/>
      </c>
      <c r="J102" s="24">
        <f>$G102*Supuestos!F$10*(Drivers!F$39/Drivers!$C$39)</f>
        <v/>
      </c>
      <c r="K102" s="24">
        <f>$G102*Supuestos!G$10*(Drivers!G$39/Drivers!$C$39)</f>
        <v/>
      </c>
      <c r="L102" s="24">
        <f>$G102*Supuestos!H$10*(Drivers!H$39/Drivers!$C$39)</f>
        <v/>
      </c>
      <c r="M102" s="24">
        <f>$G102*Supuestos!I$10*(Drivers!I$39/Drivers!$C$39)</f>
        <v/>
      </c>
      <c r="N102" s="24">
        <f>$G102*Supuestos!J$10*(Drivers!J$39/Drivers!$C$39)</f>
        <v/>
      </c>
      <c r="O102" s="24">
        <f>$G102*Supuestos!K$10*(Drivers!K$39/Drivers!$C$39)</f>
        <v/>
      </c>
      <c r="P102" s="24">
        <f>$G102*Supuestos!L$10*(Drivers!L$39/Drivers!$C$39)</f>
        <v/>
      </c>
      <c r="Q102" s="24">
        <f>$G102*Supuestos!M$10*(Drivers!M$39/Drivers!$C$39)</f>
        <v/>
      </c>
      <c r="R102" s="24">
        <f>$G102*Supuestos!N$10*(Drivers!N$39/Drivers!$C$39)</f>
        <v/>
      </c>
      <c r="S102" s="24">
        <f>$G102*Supuestos!O$10*(Drivers!O$39/Drivers!$C$39)</f>
        <v/>
      </c>
      <c r="T102" s="24">
        <f>$G102*Supuestos!P$10*(Drivers!P$39/Drivers!$C$39)</f>
        <v/>
      </c>
      <c r="U102" s="24">
        <f>$G102*Supuestos!Q$10*(Drivers!Q$39/Drivers!$C$39)</f>
        <v/>
      </c>
      <c r="V102" s="24">
        <f>$G102*Supuestos!R$10*(Drivers!R$39/Drivers!$C$39)</f>
        <v/>
      </c>
    </row>
    <row r="103">
      <c r="A103" s="6" t="inlineStr">
        <is>
          <t>CFM</t>
        </is>
      </c>
      <c r="B103" s="6" t="inlineStr">
        <is>
          <t>ARS</t>
        </is>
      </c>
      <c r="C103" s="6" t="inlineStr">
        <is>
          <t>2 Costos de Explotación</t>
        </is>
      </c>
      <c r="D103" s="6" t="inlineStr">
        <is>
          <t>2.1 Remuneraciones</t>
        </is>
      </c>
      <c r="E103" s="6" t="inlineStr">
        <is>
          <t>Indemnizaciones</t>
        </is>
      </c>
      <c r="F103" s="6" t="inlineStr">
        <is>
          <t>zero</t>
        </is>
      </c>
      <c r="G103" s="24" t="n">
        <v>-45053.23</v>
      </c>
      <c r="H103" s="24">
        <f>0</f>
        <v/>
      </c>
      <c r="I103" s="24">
        <f>0</f>
        <v/>
      </c>
      <c r="J103" s="24">
        <f>0</f>
        <v/>
      </c>
      <c r="K103" s="24">
        <f>0</f>
        <v/>
      </c>
      <c r="L103" s="24">
        <f>0</f>
        <v/>
      </c>
      <c r="M103" s="24">
        <f>0</f>
        <v/>
      </c>
      <c r="N103" s="24">
        <f>0</f>
        <v/>
      </c>
      <c r="O103" s="24">
        <f>0</f>
        <v/>
      </c>
      <c r="P103" s="24">
        <f>0</f>
        <v/>
      </c>
      <c r="Q103" s="24">
        <f>0</f>
        <v/>
      </c>
      <c r="R103" s="24">
        <f>0</f>
        <v/>
      </c>
      <c r="S103" s="24">
        <f>0</f>
        <v/>
      </c>
      <c r="T103" s="24">
        <f>0</f>
        <v/>
      </c>
      <c r="U103" s="24">
        <f>0</f>
        <v/>
      </c>
      <c r="V103" s="24">
        <f>0</f>
        <v/>
      </c>
    </row>
    <row r="104">
      <c r="A104" s="6" t="inlineStr">
        <is>
          <t>CFM</t>
        </is>
      </c>
      <c r="B104" s="6" t="inlineStr">
        <is>
          <t>ARS</t>
        </is>
      </c>
      <c r="C104" s="6" t="inlineStr">
        <is>
          <t>2 Costos de Explotación</t>
        </is>
      </c>
      <c r="D104" s="6" t="inlineStr">
        <is>
          <t>2.3 Licencias</t>
        </is>
      </c>
      <c r="E104" s="6" t="inlineStr">
        <is>
          <t>Licencias discador/CRM</t>
        </is>
      </c>
      <c r="F104" s="6" t="inlineStr">
        <is>
          <t>pos_usd</t>
        </is>
      </c>
      <c r="G104" s="24" t="n">
        <v>-368550</v>
      </c>
      <c r="H104" s="24">
        <f>$G104*Supuestos!D$8*(Drivers!D$39/Drivers!$C$39)</f>
        <v/>
      </c>
      <c r="I104" s="24">
        <f>$G104*Supuestos!E$8*(Drivers!E$39/Drivers!$C$39)</f>
        <v/>
      </c>
      <c r="J104" s="24">
        <f>$G104*Supuestos!F$8*(Drivers!F$39/Drivers!$C$39)</f>
        <v/>
      </c>
      <c r="K104" s="24">
        <f>$G104*Supuestos!G$8*(Drivers!G$39/Drivers!$C$39)</f>
        <v/>
      </c>
      <c r="L104" s="24">
        <f>$G104*Supuestos!H$8*(Drivers!H$39/Drivers!$C$39)</f>
        <v/>
      </c>
      <c r="M104" s="24">
        <f>$G104*Supuestos!I$8*(Drivers!I$39/Drivers!$C$39)</f>
        <v/>
      </c>
      <c r="N104" s="24">
        <f>$G104*Supuestos!J$8*(Drivers!J$39/Drivers!$C$39)</f>
        <v/>
      </c>
      <c r="O104" s="24">
        <f>$G104*Supuestos!K$8*(Drivers!K$39/Drivers!$C$39)</f>
        <v/>
      </c>
      <c r="P104" s="24">
        <f>$G104*Supuestos!L$8*(Drivers!L$39/Drivers!$C$39)</f>
        <v/>
      </c>
      <c r="Q104" s="24">
        <f>$G104*Supuestos!M$8*(Drivers!M$39/Drivers!$C$39)</f>
        <v/>
      </c>
      <c r="R104" s="24">
        <f>$G104*Supuestos!N$8*(Drivers!N$39/Drivers!$C$39)</f>
        <v/>
      </c>
      <c r="S104" s="24">
        <f>$G104*Supuestos!O$8*(Drivers!O$39/Drivers!$C$39)</f>
        <v/>
      </c>
      <c r="T104" s="24">
        <f>$G104*Supuestos!P$8*(Drivers!P$39/Drivers!$C$39)</f>
        <v/>
      </c>
      <c r="U104" s="24">
        <f>$G104*Supuestos!Q$8*(Drivers!Q$39/Drivers!$C$39)</f>
        <v/>
      </c>
      <c r="V104" s="24">
        <f>$G104*Supuestos!R$8*(Drivers!R$39/Drivers!$C$39)</f>
        <v/>
      </c>
    </row>
    <row r="105">
      <c r="A105" s="6" t="inlineStr">
        <is>
          <t>CFM</t>
        </is>
      </c>
      <c r="B105" s="6" t="inlineStr">
        <is>
          <t>ARS</t>
        </is>
      </c>
      <c r="C105" s="6" t="inlineStr">
        <is>
          <t>2 Costos de Explotación</t>
        </is>
      </c>
      <c r="D105" s="6" t="inlineStr">
        <is>
          <t>2.5 Telefonía</t>
        </is>
      </c>
      <c r="E105" s="6" t="inlineStr">
        <is>
          <t>Telefonía celular</t>
        </is>
      </c>
      <c r="F105" s="6" t="inlineStr">
        <is>
          <t>pos_inf</t>
        </is>
      </c>
      <c r="G105" s="24" t="n">
        <v>-177252.65</v>
      </c>
      <c r="H105" s="24">
        <f>$G105*Supuestos!D$6*(Drivers!D$39/Drivers!$C$39)</f>
        <v/>
      </c>
      <c r="I105" s="24">
        <f>$G105*Supuestos!E$6*(Drivers!E$39/Drivers!$C$39)</f>
        <v/>
      </c>
      <c r="J105" s="24">
        <f>$G105*Supuestos!F$6*(Drivers!F$39/Drivers!$C$39)</f>
        <v/>
      </c>
      <c r="K105" s="24">
        <f>$G105*Supuestos!G$6*(Drivers!G$39/Drivers!$C$39)</f>
        <v/>
      </c>
      <c r="L105" s="24">
        <f>$G105*Supuestos!H$6*(Drivers!H$39/Drivers!$C$39)</f>
        <v/>
      </c>
      <c r="M105" s="24">
        <f>$G105*Supuestos!I$6*(Drivers!I$39/Drivers!$C$39)</f>
        <v/>
      </c>
      <c r="N105" s="24">
        <f>$G105*Supuestos!J$6*(Drivers!J$39/Drivers!$C$39)</f>
        <v/>
      </c>
      <c r="O105" s="24">
        <f>$G105*Supuestos!K$6*(Drivers!K$39/Drivers!$C$39)</f>
        <v/>
      </c>
      <c r="P105" s="24">
        <f>$G105*Supuestos!L$6*(Drivers!L$39/Drivers!$C$39)</f>
        <v/>
      </c>
      <c r="Q105" s="24">
        <f>$G105*Supuestos!M$6*(Drivers!M$39/Drivers!$C$39)</f>
        <v/>
      </c>
      <c r="R105" s="24">
        <f>$G105*Supuestos!N$6*(Drivers!N$39/Drivers!$C$39)</f>
        <v/>
      </c>
      <c r="S105" s="24">
        <f>$G105*Supuestos!O$6*(Drivers!O$39/Drivers!$C$39)</f>
        <v/>
      </c>
      <c r="T105" s="24">
        <f>$G105*Supuestos!P$6*(Drivers!P$39/Drivers!$C$39)</f>
        <v/>
      </c>
      <c r="U105" s="24">
        <f>$G105*Supuestos!Q$6*(Drivers!Q$39/Drivers!$C$39)</f>
        <v/>
      </c>
      <c r="V105" s="24">
        <f>$G105*Supuestos!R$6*(Drivers!R$39/Drivers!$C$39)</f>
        <v/>
      </c>
    </row>
    <row r="106">
      <c r="A106" s="6" t="inlineStr">
        <is>
          <t>CFM</t>
        </is>
      </c>
      <c r="B106" s="6" t="inlineStr">
        <is>
          <t>ARS</t>
        </is>
      </c>
      <c r="C106" s="6" t="inlineStr">
        <is>
          <t>2 Costos de Explotación</t>
        </is>
      </c>
      <c r="D106" s="6" t="inlineStr">
        <is>
          <t>2.5 Telefonía</t>
        </is>
      </c>
      <c r="E106" s="6" t="inlineStr">
        <is>
          <t>Telefonía LDN</t>
        </is>
      </c>
      <c r="F106" s="6" t="inlineStr">
        <is>
          <t>pos_inf</t>
        </is>
      </c>
      <c r="G106" s="24" t="n">
        <v>-45579.41</v>
      </c>
      <c r="H106" s="24">
        <f>$G106*Supuestos!D$6*(Drivers!D$39/Drivers!$C$39)</f>
        <v/>
      </c>
      <c r="I106" s="24">
        <f>$G106*Supuestos!E$6*(Drivers!E$39/Drivers!$C$39)</f>
        <v/>
      </c>
      <c r="J106" s="24">
        <f>$G106*Supuestos!F$6*(Drivers!F$39/Drivers!$C$39)</f>
        <v/>
      </c>
      <c r="K106" s="24">
        <f>$G106*Supuestos!G$6*(Drivers!G$39/Drivers!$C$39)</f>
        <v/>
      </c>
      <c r="L106" s="24">
        <f>$G106*Supuestos!H$6*(Drivers!H$39/Drivers!$C$39)</f>
        <v/>
      </c>
      <c r="M106" s="24">
        <f>$G106*Supuestos!I$6*(Drivers!I$39/Drivers!$C$39)</f>
        <v/>
      </c>
      <c r="N106" s="24">
        <f>$G106*Supuestos!J$6*(Drivers!J$39/Drivers!$C$39)</f>
        <v/>
      </c>
      <c r="O106" s="24">
        <f>$G106*Supuestos!K$6*(Drivers!K$39/Drivers!$C$39)</f>
        <v/>
      </c>
      <c r="P106" s="24">
        <f>$G106*Supuestos!L$6*(Drivers!L$39/Drivers!$C$39)</f>
        <v/>
      </c>
      <c r="Q106" s="24">
        <f>$G106*Supuestos!M$6*(Drivers!M$39/Drivers!$C$39)</f>
        <v/>
      </c>
      <c r="R106" s="24">
        <f>$G106*Supuestos!N$6*(Drivers!N$39/Drivers!$C$39)</f>
        <v/>
      </c>
      <c r="S106" s="24">
        <f>$G106*Supuestos!O$6*(Drivers!O$39/Drivers!$C$39)</f>
        <v/>
      </c>
      <c r="T106" s="24">
        <f>$G106*Supuestos!P$6*(Drivers!P$39/Drivers!$C$39)</f>
        <v/>
      </c>
      <c r="U106" s="24">
        <f>$G106*Supuestos!Q$6*(Drivers!Q$39/Drivers!$C$39)</f>
        <v/>
      </c>
      <c r="V106" s="24">
        <f>$G106*Supuestos!R$6*(Drivers!R$39/Drivers!$C$39)</f>
        <v/>
      </c>
    </row>
    <row r="107">
      <c r="A107" s="6" t="inlineStr">
        <is>
          <t>CFM</t>
        </is>
      </c>
      <c r="B107" s="6" t="inlineStr">
        <is>
          <t>ARS</t>
        </is>
      </c>
      <c r="C107" s="6" t="inlineStr">
        <is>
          <t>2 Costos de Explotación</t>
        </is>
      </c>
      <c r="D107" s="6" t="inlineStr">
        <is>
          <t>2.5 Telefonía</t>
        </is>
      </c>
      <c r="E107" s="6" t="inlineStr">
        <is>
          <t>Telefonía local y 0800</t>
        </is>
      </c>
      <c r="F107" s="6" t="inlineStr">
        <is>
          <t>pos_inf</t>
        </is>
      </c>
      <c r="G107" s="24" t="n">
        <v>-30386.5</v>
      </c>
      <c r="H107" s="24">
        <f>$G107*Supuestos!D$6*(Drivers!D$39/Drivers!$C$39)</f>
        <v/>
      </c>
      <c r="I107" s="24">
        <f>$G107*Supuestos!E$6*(Drivers!E$39/Drivers!$C$39)</f>
        <v/>
      </c>
      <c r="J107" s="24">
        <f>$G107*Supuestos!F$6*(Drivers!F$39/Drivers!$C$39)</f>
        <v/>
      </c>
      <c r="K107" s="24">
        <f>$G107*Supuestos!G$6*(Drivers!G$39/Drivers!$C$39)</f>
        <v/>
      </c>
      <c r="L107" s="24">
        <f>$G107*Supuestos!H$6*(Drivers!H$39/Drivers!$C$39)</f>
        <v/>
      </c>
      <c r="M107" s="24">
        <f>$G107*Supuestos!I$6*(Drivers!I$39/Drivers!$C$39)</f>
        <v/>
      </c>
      <c r="N107" s="24">
        <f>$G107*Supuestos!J$6*(Drivers!J$39/Drivers!$C$39)</f>
        <v/>
      </c>
      <c r="O107" s="24">
        <f>$G107*Supuestos!K$6*(Drivers!K$39/Drivers!$C$39)</f>
        <v/>
      </c>
      <c r="P107" s="24">
        <f>$G107*Supuestos!L$6*(Drivers!L$39/Drivers!$C$39)</f>
        <v/>
      </c>
      <c r="Q107" s="24">
        <f>$G107*Supuestos!M$6*(Drivers!M$39/Drivers!$C$39)</f>
        <v/>
      </c>
      <c r="R107" s="24">
        <f>$G107*Supuestos!N$6*(Drivers!N$39/Drivers!$C$39)</f>
        <v/>
      </c>
      <c r="S107" s="24">
        <f>$G107*Supuestos!O$6*(Drivers!O$39/Drivers!$C$39)</f>
        <v/>
      </c>
      <c r="T107" s="24">
        <f>$G107*Supuestos!P$6*(Drivers!P$39/Drivers!$C$39)</f>
        <v/>
      </c>
      <c r="U107" s="24">
        <f>$G107*Supuestos!Q$6*(Drivers!Q$39/Drivers!$C$39)</f>
        <v/>
      </c>
      <c r="V107" s="24">
        <f>$G107*Supuestos!R$6*(Drivers!R$39/Drivers!$C$39)</f>
        <v/>
      </c>
    </row>
    <row r="108">
      <c r="A108" s="6" t="inlineStr">
        <is>
          <t>CFM</t>
        </is>
      </c>
      <c r="B108" s="6" t="inlineStr">
        <is>
          <t>ARS</t>
        </is>
      </c>
      <c r="C108" s="6" t="inlineStr">
        <is>
          <t>2 Costos de Explotación</t>
        </is>
      </c>
      <c r="D108" s="6" t="inlineStr">
        <is>
          <t>2.6 SMS</t>
        </is>
      </c>
      <c r="E108" s="6" t="inlineStr">
        <is>
          <t>SMS</t>
        </is>
      </c>
      <c r="F108" s="6" t="inlineStr">
        <is>
          <t>sms</t>
        </is>
      </c>
      <c r="G108" s="24" t="n">
        <v>-1534010.12</v>
      </c>
      <c r="H108" s="24">
        <f>$G108*Supuestos!D$12*(Drivers!D$36/100)</f>
        <v/>
      </c>
      <c r="I108" s="24">
        <f>$G108*Supuestos!E$12*(Drivers!E$36/100)</f>
        <v/>
      </c>
      <c r="J108" s="24">
        <f>$G108*Supuestos!F$12*(Drivers!F$36/100)</f>
        <v/>
      </c>
      <c r="K108" s="24">
        <f>$G108*Supuestos!G$12*(Drivers!G$36/100)</f>
        <v/>
      </c>
      <c r="L108" s="24">
        <f>$G108*Supuestos!H$12*(Drivers!H$36/100)</f>
        <v/>
      </c>
      <c r="M108" s="24">
        <f>$G108*Supuestos!I$12*(Drivers!I$36/100)</f>
        <v/>
      </c>
      <c r="N108" s="24">
        <f>$G108*Supuestos!J$12*(Drivers!J$36/100)</f>
        <v/>
      </c>
      <c r="O108" s="24">
        <f>$G108*Supuestos!K$12*(Drivers!K$36/100)</f>
        <v/>
      </c>
      <c r="P108" s="24">
        <f>$G108*Supuestos!L$12*(Drivers!L$36/100)</f>
        <v/>
      </c>
      <c r="Q108" s="24">
        <f>$G108*Supuestos!M$12*(Drivers!M$36/100)</f>
        <v/>
      </c>
      <c r="R108" s="24">
        <f>$G108*Supuestos!N$12*(Drivers!N$36/100)</f>
        <v/>
      </c>
      <c r="S108" s="24">
        <f>$G108*Supuestos!O$12*(Drivers!O$36/100)</f>
        <v/>
      </c>
      <c r="T108" s="24">
        <f>$G108*Supuestos!P$12*(Drivers!P$36/100)</f>
        <v/>
      </c>
      <c r="U108" s="24">
        <f>$G108*Supuestos!Q$12*(Drivers!Q$36/100)</f>
        <v/>
      </c>
      <c r="V108" s="24">
        <f>$G108*Supuestos!R$12*(Drivers!R$36/100)</f>
        <v/>
      </c>
    </row>
    <row r="109">
      <c r="A109" s="6" t="inlineStr">
        <is>
          <t>CFM</t>
        </is>
      </c>
      <c r="B109" s="6" t="inlineStr">
        <is>
          <t>ARS</t>
        </is>
      </c>
      <c r="C109" s="6" t="inlineStr">
        <is>
          <t>2 Costos de Explotación</t>
        </is>
      </c>
      <c r="D109" s="6" t="inlineStr">
        <is>
          <t>2.7 Bocas de Cobranza</t>
        </is>
      </c>
      <c r="E109" s="6" t="inlineStr">
        <is>
          <t>Bocas de cobranza</t>
        </is>
      </c>
      <c r="F109" s="6" t="inlineStr">
        <is>
          <t>vol_inf</t>
        </is>
      </c>
      <c r="G109" s="24" t="n">
        <v>-710217.3100000001</v>
      </c>
      <c r="H109" s="24">
        <f>$G109*Supuestos!D$6*(Drivers!D$36/100)</f>
        <v/>
      </c>
      <c r="I109" s="24">
        <f>$G109*Supuestos!E$6*(Drivers!E$36/100)</f>
        <v/>
      </c>
      <c r="J109" s="24">
        <f>$G109*Supuestos!F$6*(Drivers!F$36/100)</f>
        <v/>
      </c>
      <c r="K109" s="24">
        <f>$G109*Supuestos!G$6*(Drivers!G$36/100)</f>
        <v/>
      </c>
      <c r="L109" s="24">
        <f>$G109*Supuestos!H$6*(Drivers!H$36/100)</f>
        <v/>
      </c>
      <c r="M109" s="24">
        <f>$G109*Supuestos!I$6*(Drivers!I$36/100)</f>
        <v/>
      </c>
      <c r="N109" s="24">
        <f>$G109*Supuestos!J$6*(Drivers!J$36/100)</f>
        <v/>
      </c>
      <c r="O109" s="24">
        <f>$G109*Supuestos!K$6*(Drivers!K$36/100)</f>
        <v/>
      </c>
      <c r="P109" s="24">
        <f>$G109*Supuestos!L$6*(Drivers!L$36/100)</f>
        <v/>
      </c>
      <c r="Q109" s="24">
        <f>$G109*Supuestos!M$6*(Drivers!M$36/100)</f>
        <v/>
      </c>
      <c r="R109" s="24">
        <f>$G109*Supuestos!N$6*(Drivers!N$36/100)</f>
        <v/>
      </c>
      <c r="S109" s="24">
        <f>$G109*Supuestos!O$6*(Drivers!O$36/100)</f>
        <v/>
      </c>
      <c r="T109" s="24">
        <f>$G109*Supuestos!P$6*(Drivers!P$36/100)</f>
        <v/>
      </c>
      <c r="U109" s="24">
        <f>$G109*Supuestos!Q$6*(Drivers!Q$36/100)</f>
        <v/>
      </c>
      <c r="V109" s="24">
        <f>$G109*Supuestos!R$6*(Drivers!R$36/100)</f>
        <v/>
      </c>
    </row>
    <row r="110">
      <c r="A110" s="6" t="inlineStr">
        <is>
          <t>CFM</t>
        </is>
      </c>
      <c r="B110" s="6" t="inlineStr">
        <is>
          <t>ARS</t>
        </is>
      </c>
      <c r="C110" s="6" t="inlineStr">
        <is>
          <t>2 Costos de Explotación</t>
        </is>
      </c>
      <c r="D110" s="6" t="inlineStr">
        <is>
          <t>2.8 Mailing</t>
        </is>
      </c>
      <c r="E110" s="6" t="inlineStr">
        <is>
          <t>Mailing</t>
        </is>
      </c>
      <c r="F110" s="6" t="inlineStr">
        <is>
          <t>vol_usd</t>
        </is>
      </c>
      <c r="G110" s="24" t="n">
        <v>-477998.18</v>
      </c>
      <c r="H110" s="24">
        <f>$G110*Supuestos!D$8*(Drivers!D$36/100)</f>
        <v/>
      </c>
      <c r="I110" s="24">
        <f>$G110*Supuestos!E$8*(Drivers!E$36/100)</f>
        <v/>
      </c>
      <c r="J110" s="24">
        <f>$G110*Supuestos!F$8*(Drivers!F$36/100)</f>
        <v/>
      </c>
      <c r="K110" s="24">
        <f>$G110*Supuestos!G$8*(Drivers!G$36/100)</f>
        <v/>
      </c>
      <c r="L110" s="24">
        <f>$G110*Supuestos!H$8*(Drivers!H$36/100)</f>
        <v/>
      </c>
      <c r="M110" s="24">
        <f>$G110*Supuestos!I$8*(Drivers!I$36/100)</f>
        <v/>
      </c>
      <c r="N110" s="24">
        <f>$G110*Supuestos!J$8*(Drivers!J$36/100)</f>
        <v/>
      </c>
      <c r="O110" s="24">
        <f>$G110*Supuestos!K$8*(Drivers!K$36/100)</f>
        <v/>
      </c>
      <c r="P110" s="24">
        <f>$G110*Supuestos!L$8*(Drivers!L$36/100)</f>
        <v/>
      </c>
      <c r="Q110" s="24">
        <f>$G110*Supuestos!M$8*(Drivers!M$36/100)</f>
        <v/>
      </c>
      <c r="R110" s="24">
        <f>$G110*Supuestos!N$8*(Drivers!N$36/100)</f>
        <v/>
      </c>
      <c r="S110" s="24">
        <f>$G110*Supuestos!O$8*(Drivers!O$36/100)</f>
        <v/>
      </c>
      <c r="T110" s="24">
        <f>$G110*Supuestos!P$8*(Drivers!P$36/100)</f>
        <v/>
      </c>
      <c r="U110" s="24">
        <f>$G110*Supuestos!Q$8*(Drivers!Q$36/100)</f>
        <v/>
      </c>
      <c r="V110" s="24">
        <f>$G110*Supuestos!R$8*(Drivers!R$36/100)</f>
        <v/>
      </c>
    </row>
    <row r="111">
      <c r="A111" s="6" t="inlineStr">
        <is>
          <t>CFM</t>
        </is>
      </c>
      <c r="B111" s="6" t="inlineStr">
        <is>
          <t>ARS</t>
        </is>
      </c>
      <c r="C111" s="6" t="inlineStr">
        <is>
          <t>3 Impuestos Directos</t>
        </is>
      </c>
      <c r="D111" s="6" t="inlineStr">
        <is>
          <t>3.1 Ingresos Brutos</t>
        </is>
      </c>
      <c r="E111" s="6" t="inlineStr">
        <is>
          <t>Ingresos Brutos</t>
        </is>
      </c>
      <c r="F111" s="6" t="inlineStr">
        <is>
          <t>iibb</t>
        </is>
      </c>
      <c r="G111" s="24" t="n">
        <v>-749604.9</v>
      </c>
      <c r="H111" s="24">
        <f>$G111*Supuestos!D$6*(Drivers!D$36/100)*(Drivers!D$37/Drivers!$C$37)*(Drivers!D$38/Drivers!$C$38)*Supuestos!D$13</f>
        <v/>
      </c>
      <c r="I111" s="24">
        <f>$G111*Supuestos!E$6*(Drivers!E$36/100)*(Drivers!E$37/Drivers!$C$37)*(Drivers!E$38/Drivers!$C$38)*Supuestos!E$13</f>
        <v/>
      </c>
      <c r="J111" s="24">
        <f>$G111*Supuestos!F$6*(Drivers!F$36/100)*(Drivers!F$37/Drivers!$C$37)*(Drivers!F$38/Drivers!$C$38)*Supuestos!F$13</f>
        <v/>
      </c>
      <c r="K111" s="24">
        <f>$G111*Supuestos!G$6*(Drivers!G$36/100)*(Drivers!G$37/Drivers!$C$37)*(Drivers!G$38/Drivers!$C$38)*Supuestos!G$13</f>
        <v/>
      </c>
      <c r="L111" s="24">
        <f>$G111*Supuestos!H$6*(Drivers!H$36/100)*(Drivers!H$37/Drivers!$C$37)*(Drivers!H$38/Drivers!$C$38)*Supuestos!H$13</f>
        <v/>
      </c>
      <c r="M111" s="24">
        <f>$G111*Supuestos!I$6*(Drivers!I$36/100)*(Drivers!I$37/Drivers!$C$37)*(Drivers!I$38/Drivers!$C$38)*Supuestos!I$13</f>
        <v/>
      </c>
      <c r="N111" s="24">
        <f>$G111*Supuestos!J$6*(Drivers!J$36/100)*(Drivers!J$37/Drivers!$C$37)*(Drivers!J$38/Drivers!$C$38)*Supuestos!J$13</f>
        <v/>
      </c>
      <c r="O111" s="24">
        <f>$G111*Supuestos!K$6*(Drivers!K$36/100)*(Drivers!K$37/Drivers!$C$37)*(Drivers!K$38/Drivers!$C$38)*Supuestos!K$13</f>
        <v/>
      </c>
      <c r="P111" s="24">
        <f>$G111*Supuestos!L$6*(Drivers!L$36/100)*(Drivers!L$37/Drivers!$C$37)*(Drivers!L$38/Drivers!$C$38)*Supuestos!L$13</f>
        <v/>
      </c>
      <c r="Q111" s="24">
        <f>$G111*Supuestos!M$6*(Drivers!M$36/100)*(Drivers!M$37/Drivers!$C$37)*(Drivers!M$38/Drivers!$C$38)*Supuestos!M$13</f>
        <v/>
      </c>
      <c r="R111" s="24">
        <f>$G111*Supuestos!N$6*(Drivers!N$36/100)*(Drivers!N$37/Drivers!$C$37)*(Drivers!N$38/Drivers!$C$38)*Supuestos!N$13</f>
        <v/>
      </c>
      <c r="S111" s="24">
        <f>$G111*Supuestos!O$6*(Drivers!O$36/100)*(Drivers!O$37/Drivers!$C$37)*(Drivers!O$38/Drivers!$C$38)*Supuestos!O$13</f>
        <v/>
      </c>
      <c r="T111" s="24">
        <f>$G111*Supuestos!P$6*(Drivers!P$36/100)*(Drivers!P$37/Drivers!$C$37)*(Drivers!P$38/Drivers!$C$38)*Supuestos!P$13</f>
        <v/>
      </c>
      <c r="U111" s="24">
        <f>$G111*Supuestos!Q$6*(Drivers!Q$36/100)*(Drivers!Q$37/Drivers!$C$37)*(Drivers!Q$38/Drivers!$C$38)*Supuestos!Q$13</f>
        <v/>
      </c>
      <c r="V111" s="24">
        <f>$G111*Supuestos!R$6*(Drivers!R$36/100)*(Drivers!R$37/Drivers!$C$37)*(Drivers!R$38/Drivers!$C$38)*Supuestos!R$13</f>
        <v/>
      </c>
    </row>
    <row r="112">
      <c r="A112" s="6" t="inlineStr">
        <is>
          <t>PUY</t>
        </is>
      </c>
      <c r="B112" s="6" t="inlineStr">
        <is>
          <t>USD</t>
        </is>
      </c>
      <c r="C112" s="6" t="inlineStr">
        <is>
          <t>1 Ingreso Operacional</t>
        </is>
      </c>
      <c r="D112" s="6" t="inlineStr">
        <is>
          <t>1.1 Ingreso Cobranzas</t>
        </is>
      </c>
      <c r="E112" s="6" t="inlineStr">
        <is>
          <t>Ingreso por recupero</t>
        </is>
      </c>
      <c r="F112" s="6" t="inlineStr">
        <is>
          <t>rev</t>
        </is>
      </c>
      <c r="G112" s="24" t="n">
        <v>18827090.5</v>
      </c>
      <c r="H112" s="24">
        <f>$G112*Supuestos!D$8*(Drivers!D$42/100)*(Drivers!D$43/Drivers!$C$43)*(Drivers!D$44/Drivers!$C$44)*Supuestos!D$13</f>
        <v/>
      </c>
      <c r="I112" s="24">
        <f>$G112*Supuestos!E$8*(Drivers!E$42/100)*(Drivers!E$43/Drivers!$C$43)*(Drivers!E$44/Drivers!$C$44)*Supuestos!E$13</f>
        <v/>
      </c>
      <c r="J112" s="24">
        <f>$G112*Supuestos!F$8*(Drivers!F$42/100)*(Drivers!F$43/Drivers!$C$43)*(Drivers!F$44/Drivers!$C$44)*Supuestos!F$13</f>
        <v/>
      </c>
      <c r="K112" s="24">
        <f>$G112*Supuestos!G$8*(Drivers!G$42/100)*(Drivers!G$43/Drivers!$C$43)*(Drivers!G$44/Drivers!$C$44)*Supuestos!G$13</f>
        <v/>
      </c>
      <c r="L112" s="24">
        <f>$G112*Supuestos!H$8*(Drivers!H$42/100)*(Drivers!H$43/Drivers!$C$43)*(Drivers!H$44/Drivers!$C$44)*Supuestos!H$13</f>
        <v/>
      </c>
      <c r="M112" s="24">
        <f>$G112*Supuestos!I$8*(Drivers!I$42/100)*(Drivers!I$43/Drivers!$C$43)*(Drivers!I$44/Drivers!$C$44)*Supuestos!I$13</f>
        <v/>
      </c>
      <c r="N112" s="24">
        <f>$G112*Supuestos!J$8*(Drivers!J$42/100)*(Drivers!J$43/Drivers!$C$43)*(Drivers!J$44/Drivers!$C$44)*Supuestos!J$13</f>
        <v/>
      </c>
      <c r="O112" s="24">
        <f>$G112*Supuestos!K$8*(Drivers!K$42/100)*(Drivers!K$43/Drivers!$C$43)*(Drivers!K$44/Drivers!$C$44)*Supuestos!K$13</f>
        <v/>
      </c>
      <c r="P112" s="24">
        <f>$G112*Supuestos!L$8*(Drivers!L$42/100)*(Drivers!L$43/Drivers!$C$43)*(Drivers!L$44/Drivers!$C$44)*Supuestos!L$13</f>
        <v/>
      </c>
      <c r="Q112" s="24">
        <f>$G112*Supuestos!M$8*(Drivers!M$42/100)*(Drivers!M$43/Drivers!$C$43)*(Drivers!M$44/Drivers!$C$44)*Supuestos!M$13</f>
        <v/>
      </c>
      <c r="R112" s="24">
        <f>$G112*Supuestos!N$8*(Drivers!N$42/100)*(Drivers!N$43/Drivers!$C$43)*(Drivers!N$44/Drivers!$C$44)*Supuestos!N$13</f>
        <v/>
      </c>
      <c r="S112" s="24">
        <f>$G112*Supuestos!O$8*(Drivers!O$42/100)*(Drivers!O$43/Drivers!$C$43)*(Drivers!O$44/Drivers!$C$44)*Supuestos!O$13</f>
        <v/>
      </c>
      <c r="T112" s="24">
        <f>$G112*Supuestos!P$8*(Drivers!P$42/100)*(Drivers!P$43/Drivers!$C$43)*(Drivers!P$44/Drivers!$C$44)*Supuestos!P$13</f>
        <v/>
      </c>
      <c r="U112" s="24">
        <f>$G112*Supuestos!Q$8*(Drivers!Q$42/100)*(Drivers!Q$43/Drivers!$C$43)*(Drivers!Q$44/Drivers!$C$44)*Supuestos!Q$13</f>
        <v/>
      </c>
      <c r="V112" s="24">
        <f>$G112*Supuestos!R$8*(Drivers!R$42/100)*(Drivers!R$43/Drivers!$C$43)*(Drivers!R$44/Drivers!$C$44)*Supuestos!R$13</f>
        <v/>
      </c>
    </row>
    <row r="113">
      <c r="A113" s="6" t="inlineStr">
        <is>
          <t>PUY</t>
        </is>
      </c>
      <c r="B113" s="6" t="inlineStr">
        <is>
          <t>USD</t>
        </is>
      </c>
      <c r="C113" s="6" t="inlineStr">
        <is>
          <t>2 Costos de Explotación</t>
        </is>
      </c>
      <c r="D113" s="6" t="inlineStr">
        <is>
          <t>2.1 Remuneraciones</t>
        </is>
      </c>
      <c r="E113" s="6" t="inlineStr">
        <is>
          <t>Operadores</t>
        </is>
      </c>
      <c r="F113" s="6" t="inlineStr">
        <is>
          <t>pos_sal</t>
        </is>
      </c>
      <c r="G113" s="24" t="n">
        <v>-3552967.33</v>
      </c>
      <c r="H113" s="24">
        <f>$G113*Supuestos!D$10*(Drivers!D$45/Drivers!$C$45)</f>
        <v/>
      </c>
      <c r="I113" s="24">
        <f>$G113*Supuestos!E$10*(Drivers!E$45/Drivers!$C$45)</f>
        <v/>
      </c>
      <c r="J113" s="24">
        <f>$G113*Supuestos!F$10*(Drivers!F$45/Drivers!$C$45)</f>
        <v/>
      </c>
      <c r="K113" s="24">
        <f>$G113*Supuestos!G$10*(Drivers!G$45/Drivers!$C$45)</f>
        <v/>
      </c>
      <c r="L113" s="24">
        <f>$G113*Supuestos!H$10*(Drivers!H$45/Drivers!$C$45)</f>
        <v/>
      </c>
      <c r="M113" s="24">
        <f>$G113*Supuestos!I$10*(Drivers!I$45/Drivers!$C$45)</f>
        <v/>
      </c>
      <c r="N113" s="24">
        <f>$G113*Supuestos!J$10*(Drivers!J$45/Drivers!$C$45)</f>
        <v/>
      </c>
      <c r="O113" s="24">
        <f>$G113*Supuestos!K$10*(Drivers!K$45/Drivers!$C$45)</f>
        <v/>
      </c>
      <c r="P113" s="24">
        <f>$G113*Supuestos!L$10*(Drivers!L$45/Drivers!$C$45)</f>
        <v/>
      </c>
      <c r="Q113" s="24">
        <f>$G113*Supuestos!M$10*(Drivers!M$45/Drivers!$C$45)</f>
        <v/>
      </c>
      <c r="R113" s="24">
        <f>$G113*Supuestos!N$10*(Drivers!N$45/Drivers!$C$45)</f>
        <v/>
      </c>
      <c r="S113" s="24">
        <f>$G113*Supuestos!O$10*(Drivers!O$45/Drivers!$C$45)</f>
        <v/>
      </c>
      <c r="T113" s="24">
        <f>$G113*Supuestos!P$10*(Drivers!P$45/Drivers!$C$45)</f>
        <v/>
      </c>
      <c r="U113" s="24">
        <f>$G113*Supuestos!Q$10*(Drivers!Q$45/Drivers!$C$45)</f>
        <v/>
      </c>
      <c r="V113" s="24">
        <f>$G113*Supuestos!R$10*(Drivers!R$45/Drivers!$C$45)</f>
        <v/>
      </c>
    </row>
    <row r="114">
      <c r="A114" s="6" t="inlineStr">
        <is>
          <t>PUY</t>
        </is>
      </c>
      <c r="B114" s="6" t="inlineStr">
        <is>
          <t>USD</t>
        </is>
      </c>
      <c r="C114" s="6" t="inlineStr">
        <is>
          <t>2 Costos de Explotación</t>
        </is>
      </c>
      <c r="D114" s="6" t="inlineStr">
        <is>
          <t>2.1 Remuneraciones</t>
        </is>
      </c>
      <c r="E114" s="6" t="inlineStr">
        <is>
          <t>Supervisión</t>
        </is>
      </c>
      <c r="F114" s="6" t="inlineStr">
        <is>
          <t>pos_sal</t>
        </is>
      </c>
      <c r="G114" s="24" t="n">
        <v>-556038.89</v>
      </c>
      <c r="H114" s="24">
        <f>$G114*Supuestos!D$10*(Drivers!D$45/Drivers!$C$45)</f>
        <v/>
      </c>
      <c r="I114" s="24">
        <f>$G114*Supuestos!E$10*(Drivers!E$45/Drivers!$C$45)</f>
        <v/>
      </c>
      <c r="J114" s="24">
        <f>$G114*Supuestos!F$10*(Drivers!F$45/Drivers!$C$45)</f>
        <v/>
      </c>
      <c r="K114" s="24">
        <f>$G114*Supuestos!G$10*(Drivers!G$45/Drivers!$C$45)</f>
        <v/>
      </c>
      <c r="L114" s="24">
        <f>$G114*Supuestos!H$10*(Drivers!H$45/Drivers!$C$45)</f>
        <v/>
      </c>
      <c r="M114" s="24">
        <f>$G114*Supuestos!I$10*(Drivers!I$45/Drivers!$C$45)</f>
        <v/>
      </c>
      <c r="N114" s="24">
        <f>$G114*Supuestos!J$10*(Drivers!J$45/Drivers!$C$45)</f>
        <v/>
      </c>
      <c r="O114" s="24">
        <f>$G114*Supuestos!K$10*(Drivers!K$45/Drivers!$C$45)</f>
        <v/>
      </c>
      <c r="P114" s="24">
        <f>$G114*Supuestos!L$10*(Drivers!L$45/Drivers!$C$45)</f>
        <v/>
      </c>
      <c r="Q114" s="24">
        <f>$G114*Supuestos!M$10*(Drivers!M$45/Drivers!$C$45)</f>
        <v/>
      </c>
      <c r="R114" s="24">
        <f>$G114*Supuestos!N$10*(Drivers!N$45/Drivers!$C$45)</f>
        <v/>
      </c>
      <c r="S114" s="24">
        <f>$G114*Supuestos!O$10*(Drivers!O$45/Drivers!$C$45)</f>
        <v/>
      </c>
      <c r="T114" s="24">
        <f>$G114*Supuestos!P$10*(Drivers!P$45/Drivers!$C$45)</f>
        <v/>
      </c>
      <c r="U114" s="24">
        <f>$G114*Supuestos!Q$10*(Drivers!Q$45/Drivers!$C$45)</f>
        <v/>
      </c>
      <c r="V114" s="24">
        <f>$G114*Supuestos!R$10*(Drivers!R$45/Drivers!$C$45)</f>
        <v/>
      </c>
    </row>
    <row r="115">
      <c r="A115" s="6" t="inlineStr">
        <is>
          <t>PUY</t>
        </is>
      </c>
      <c r="B115" s="6" t="inlineStr">
        <is>
          <t>USD</t>
        </is>
      </c>
      <c r="C115" s="6" t="inlineStr">
        <is>
          <t>2 Costos de Explotación</t>
        </is>
      </c>
      <c r="D115" s="6" t="inlineStr">
        <is>
          <t>2.1 Remuneraciones</t>
        </is>
      </c>
      <c r="E115" s="6" t="inlineStr">
        <is>
          <t>Calidad</t>
        </is>
      </c>
      <c r="F115" s="6" t="inlineStr">
        <is>
          <t>pos_sal</t>
        </is>
      </c>
      <c r="G115" s="24" t="n">
        <v>-131535.97</v>
      </c>
      <c r="H115" s="24">
        <f>$G115*Supuestos!D$10*(Drivers!D$45/Drivers!$C$45)</f>
        <v/>
      </c>
      <c r="I115" s="24">
        <f>$G115*Supuestos!E$10*(Drivers!E$45/Drivers!$C$45)</f>
        <v/>
      </c>
      <c r="J115" s="24">
        <f>$G115*Supuestos!F$10*(Drivers!F$45/Drivers!$C$45)</f>
        <v/>
      </c>
      <c r="K115" s="24">
        <f>$G115*Supuestos!G$10*(Drivers!G$45/Drivers!$C$45)</f>
        <v/>
      </c>
      <c r="L115" s="24">
        <f>$G115*Supuestos!H$10*(Drivers!H$45/Drivers!$C$45)</f>
        <v/>
      </c>
      <c r="M115" s="24">
        <f>$G115*Supuestos!I$10*(Drivers!I$45/Drivers!$C$45)</f>
        <v/>
      </c>
      <c r="N115" s="24">
        <f>$G115*Supuestos!J$10*(Drivers!J$45/Drivers!$C$45)</f>
        <v/>
      </c>
      <c r="O115" s="24">
        <f>$G115*Supuestos!K$10*(Drivers!K$45/Drivers!$C$45)</f>
        <v/>
      </c>
      <c r="P115" s="24">
        <f>$G115*Supuestos!L$10*(Drivers!L$45/Drivers!$C$45)</f>
        <v/>
      </c>
      <c r="Q115" s="24">
        <f>$G115*Supuestos!M$10*(Drivers!M$45/Drivers!$C$45)</f>
        <v/>
      </c>
      <c r="R115" s="24">
        <f>$G115*Supuestos!N$10*(Drivers!N$45/Drivers!$C$45)</f>
        <v/>
      </c>
      <c r="S115" s="24">
        <f>$G115*Supuestos!O$10*(Drivers!O$45/Drivers!$C$45)</f>
        <v/>
      </c>
      <c r="T115" s="24">
        <f>$G115*Supuestos!P$10*(Drivers!P$45/Drivers!$C$45)</f>
        <v/>
      </c>
      <c r="U115" s="24">
        <f>$G115*Supuestos!Q$10*(Drivers!Q$45/Drivers!$C$45)</f>
        <v/>
      </c>
      <c r="V115" s="24">
        <f>$G115*Supuestos!R$10*(Drivers!R$45/Drivers!$C$45)</f>
        <v/>
      </c>
    </row>
    <row r="116">
      <c r="A116" s="6" t="inlineStr">
        <is>
          <t>PUY</t>
        </is>
      </c>
      <c r="B116" s="6" t="inlineStr">
        <is>
          <t>USD</t>
        </is>
      </c>
      <c r="C116" s="6" t="inlineStr">
        <is>
          <t>2 Costos de Explotación</t>
        </is>
      </c>
      <c r="D116" s="6" t="inlineStr">
        <is>
          <t>2.1 Remuneraciones</t>
        </is>
      </c>
      <c r="E116" s="6" t="inlineStr">
        <is>
          <t>Back Office</t>
        </is>
      </c>
      <c r="F116" s="6" t="inlineStr">
        <is>
          <t>pos_sal</t>
        </is>
      </c>
      <c r="G116" s="24" t="n">
        <v>-89683.69</v>
      </c>
      <c r="H116" s="24">
        <f>$G116*Supuestos!D$10*(Drivers!D$45/Drivers!$C$45)</f>
        <v/>
      </c>
      <c r="I116" s="24">
        <f>$G116*Supuestos!E$10*(Drivers!E$45/Drivers!$C$45)</f>
        <v/>
      </c>
      <c r="J116" s="24">
        <f>$G116*Supuestos!F$10*(Drivers!F$45/Drivers!$C$45)</f>
        <v/>
      </c>
      <c r="K116" s="24">
        <f>$G116*Supuestos!G$10*(Drivers!G$45/Drivers!$C$45)</f>
        <v/>
      </c>
      <c r="L116" s="24">
        <f>$G116*Supuestos!H$10*(Drivers!H$45/Drivers!$C$45)</f>
        <v/>
      </c>
      <c r="M116" s="24">
        <f>$G116*Supuestos!I$10*(Drivers!I$45/Drivers!$C$45)</f>
        <v/>
      </c>
      <c r="N116" s="24">
        <f>$G116*Supuestos!J$10*(Drivers!J$45/Drivers!$C$45)</f>
        <v/>
      </c>
      <c r="O116" s="24">
        <f>$G116*Supuestos!K$10*(Drivers!K$45/Drivers!$C$45)</f>
        <v/>
      </c>
      <c r="P116" s="24">
        <f>$G116*Supuestos!L$10*(Drivers!L$45/Drivers!$C$45)</f>
        <v/>
      </c>
      <c r="Q116" s="24">
        <f>$G116*Supuestos!M$10*(Drivers!M$45/Drivers!$C$45)</f>
        <v/>
      </c>
      <c r="R116" s="24">
        <f>$G116*Supuestos!N$10*(Drivers!N$45/Drivers!$C$45)</f>
        <v/>
      </c>
      <c r="S116" s="24">
        <f>$G116*Supuestos!O$10*(Drivers!O$45/Drivers!$C$45)</f>
        <v/>
      </c>
      <c r="T116" s="24">
        <f>$G116*Supuestos!P$10*(Drivers!P$45/Drivers!$C$45)</f>
        <v/>
      </c>
      <c r="U116" s="24">
        <f>$G116*Supuestos!Q$10*(Drivers!Q$45/Drivers!$C$45)</f>
        <v/>
      </c>
      <c r="V116" s="24">
        <f>$G116*Supuestos!R$10*(Drivers!R$45/Drivers!$C$45)</f>
        <v/>
      </c>
    </row>
    <row r="117">
      <c r="A117" s="6" t="inlineStr">
        <is>
          <t>PUY</t>
        </is>
      </c>
      <c r="B117" s="6" t="inlineStr">
        <is>
          <t>USD</t>
        </is>
      </c>
      <c r="C117" s="6" t="inlineStr">
        <is>
          <t>2 Costos de Explotación</t>
        </is>
      </c>
      <c r="D117" s="6" t="inlineStr">
        <is>
          <t>2.1 Remuneraciones</t>
        </is>
      </c>
      <c r="E117" s="6" t="inlineStr">
        <is>
          <t>Ejecutivos de cuenta</t>
        </is>
      </c>
      <c r="F117" s="6" t="inlineStr">
        <is>
          <t>pos_sal</t>
        </is>
      </c>
      <c r="G117" s="24" t="n">
        <v>-170399.01</v>
      </c>
      <c r="H117" s="24">
        <f>$G117*Supuestos!D$10*(Drivers!D$45/Drivers!$C$45)</f>
        <v/>
      </c>
      <c r="I117" s="24">
        <f>$G117*Supuestos!E$10*(Drivers!E$45/Drivers!$C$45)</f>
        <v/>
      </c>
      <c r="J117" s="24">
        <f>$G117*Supuestos!F$10*(Drivers!F$45/Drivers!$C$45)</f>
        <v/>
      </c>
      <c r="K117" s="24">
        <f>$G117*Supuestos!G$10*(Drivers!G$45/Drivers!$C$45)</f>
        <v/>
      </c>
      <c r="L117" s="24">
        <f>$G117*Supuestos!H$10*(Drivers!H$45/Drivers!$C$45)</f>
        <v/>
      </c>
      <c r="M117" s="24">
        <f>$G117*Supuestos!I$10*(Drivers!I$45/Drivers!$C$45)</f>
        <v/>
      </c>
      <c r="N117" s="24">
        <f>$G117*Supuestos!J$10*(Drivers!J$45/Drivers!$C$45)</f>
        <v/>
      </c>
      <c r="O117" s="24">
        <f>$G117*Supuestos!K$10*(Drivers!K$45/Drivers!$C$45)</f>
        <v/>
      </c>
      <c r="P117" s="24">
        <f>$G117*Supuestos!L$10*(Drivers!L$45/Drivers!$C$45)</f>
        <v/>
      </c>
      <c r="Q117" s="24">
        <f>$G117*Supuestos!M$10*(Drivers!M$45/Drivers!$C$45)</f>
        <v/>
      </c>
      <c r="R117" s="24">
        <f>$G117*Supuestos!N$10*(Drivers!N$45/Drivers!$C$45)</f>
        <v/>
      </c>
      <c r="S117" s="24">
        <f>$G117*Supuestos!O$10*(Drivers!O$45/Drivers!$C$45)</f>
        <v/>
      </c>
      <c r="T117" s="24">
        <f>$G117*Supuestos!P$10*(Drivers!P$45/Drivers!$C$45)</f>
        <v/>
      </c>
      <c r="U117" s="24">
        <f>$G117*Supuestos!Q$10*(Drivers!Q$45/Drivers!$C$45)</f>
        <v/>
      </c>
      <c r="V117" s="24">
        <f>$G117*Supuestos!R$10*(Drivers!R$45/Drivers!$C$45)</f>
        <v/>
      </c>
    </row>
    <row r="118">
      <c r="A118" s="6" t="inlineStr">
        <is>
          <t>PUY</t>
        </is>
      </c>
      <c r="B118" s="6" t="inlineStr">
        <is>
          <t>USD</t>
        </is>
      </c>
      <c r="C118" s="6" t="inlineStr">
        <is>
          <t>2 Costos de Explotación</t>
        </is>
      </c>
      <c r="D118" s="6" t="inlineStr">
        <is>
          <t>2.1 Remuneraciones</t>
        </is>
      </c>
      <c r="E118" s="6" t="inlineStr">
        <is>
          <t>Gerencia de Operaciones</t>
        </is>
      </c>
      <c r="F118" s="6" t="inlineStr">
        <is>
          <t>pos_sal</t>
        </is>
      </c>
      <c r="G118" s="24" t="n">
        <v>-191325.33</v>
      </c>
      <c r="H118" s="24">
        <f>$G118*Supuestos!D$10*(Drivers!D$45/Drivers!$C$45)</f>
        <v/>
      </c>
      <c r="I118" s="24">
        <f>$G118*Supuestos!E$10*(Drivers!E$45/Drivers!$C$45)</f>
        <v/>
      </c>
      <c r="J118" s="24">
        <f>$G118*Supuestos!F$10*(Drivers!F$45/Drivers!$C$45)</f>
        <v/>
      </c>
      <c r="K118" s="24">
        <f>$G118*Supuestos!G$10*(Drivers!G$45/Drivers!$C$45)</f>
        <v/>
      </c>
      <c r="L118" s="24">
        <f>$G118*Supuestos!H$10*(Drivers!H$45/Drivers!$C$45)</f>
        <v/>
      </c>
      <c r="M118" s="24">
        <f>$G118*Supuestos!I$10*(Drivers!I$45/Drivers!$C$45)</f>
        <v/>
      </c>
      <c r="N118" s="24">
        <f>$G118*Supuestos!J$10*(Drivers!J$45/Drivers!$C$45)</f>
        <v/>
      </c>
      <c r="O118" s="24">
        <f>$G118*Supuestos!K$10*(Drivers!K$45/Drivers!$C$45)</f>
        <v/>
      </c>
      <c r="P118" s="24">
        <f>$G118*Supuestos!L$10*(Drivers!L$45/Drivers!$C$45)</f>
        <v/>
      </c>
      <c r="Q118" s="24">
        <f>$G118*Supuestos!M$10*(Drivers!M$45/Drivers!$C$45)</f>
        <v/>
      </c>
      <c r="R118" s="24">
        <f>$G118*Supuestos!N$10*(Drivers!N$45/Drivers!$C$45)</f>
        <v/>
      </c>
      <c r="S118" s="24">
        <f>$G118*Supuestos!O$10*(Drivers!O$45/Drivers!$C$45)</f>
        <v/>
      </c>
      <c r="T118" s="24">
        <f>$G118*Supuestos!P$10*(Drivers!P$45/Drivers!$C$45)</f>
        <v/>
      </c>
      <c r="U118" s="24">
        <f>$G118*Supuestos!Q$10*(Drivers!Q$45/Drivers!$C$45)</f>
        <v/>
      </c>
      <c r="V118" s="24">
        <f>$G118*Supuestos!R$10*(Drivers!R$45/Drivers!$C$45)</f>
        <v/>
      </c>
    </row>
    <row r="119">
      <c r="A119" s="6" t="inlineStr">
        <is>
          <t>PUY</t>
        </is>
      </c>
      <c r="B119" s="6" t="inlineStr">
        <is>
          <t>USD</t>
        </is>
      </c>
      <c r="C119" s="6" t="inlineStr">
        <is>
          <t>2 Costos de Explotación</t>
        </is>
      </c>
      <c r="D119" s="6" t="inlineStr">
        <is>
          <t>2.1 Remuneraciones</t>
        </is>
      </c>
      <c r="E119" s="6" t="inlineStr">
        <is>
          <t>Indemnizaciones</t>
        </is>
      </c>
      <c r="F119" s="6" t="inlineStr">
        <is>
          <t>zero</t>
        </is>
      </c>
      <c r="G119" s="24" t="n">
        <v>-30035.48</v>
      </c>
      <c r="H119" s="24">
        <f>0</f>
        <v/>
      </c>
      <c r="I119" s="24">
        <f>0</f>
        <v/>
      </c>
      <c r="J119" s="24">
        <f>0</f>
        <v/>
      </c>
      <c r="K119" s="24">
        <f>0</f>
        <v/>
      </c>
      <c r="L119" s="24">
        <f>0</f>
        <v/>
      </c>
      <c r="M119" s="24">
        <f>0</f>
        <v/>
      </c>
      <c r="N119" s="24">
        <f>0</f>
        <v/>
      </c>
      <c r="O119" s="24">
        <f>0</f>
        <v/>
      </c>
      <c r="P119" s="24">
        <f>0</f>
        <v/>
      </c>
      <c r="Q119" s="24">
        <f>0</f>
        <v/>
      </c>
      <c r="R119" s="24">
        <f>0</f>
        <v/>
      </c>
      <c r="S119" s="24">
        <f>0</f>
        <v/>
      </c>
      <c r="T119" s="24">
        <f>0</f>
        <v/>
      </c>
      <c r="U119" s="24">
        <f>0</f>
        <v/>
      </c>
      <c r="V119" s="24">
        <f>0</f>
        <v/>
      </c>
    </row>
    <row r="120">
      <c r="A120" s="6" t="inlineStr">
        <is>
          <t>PUY</t>
        </is>
      </c>
      <c r="B120" s="6" t="inlineStr">
        <is>
          <t>USD</t>
        </is>
      </c>
      <c r="C120" s="6" t="inlineStr">
        <is>
          <t>2 Costos de Explotación</t>
        </is>
      </c>
      <c r="D120" s="6" t="inlineStr">
        <is>
          <t>2.3 Licencias</t>
        </is>
      </c>
      <c r="E120" s="6" t="inlineStr">
        <is>
          <t>Licencias discador/CRM</t>
        </is>
      </c>
      <c r="F120" s="6" t="inlineStr">
        <is>
          <t>pos_usd</t>
        </is>
      </c>
      <c r="G120" s="24" t="n">
        <v>-245700</v>
      </c>
      <c r="H120" s="24">
        <f>$G120*Supuestos!D$8*(Drivers!D$45/Drivers!$C$45)</f>
        <v/>
      </c>
      <c r="I120" s="24">
        <f>$G120*Supuestos!E$8*(Drivers!E$45/Drivers!$C$45)</f>
        <v/>
      </c>
      <c r="J120" s="24">
        <f>$G120*Supuestos!F$8*(Drivers!F$45/Drivers!$C$45)</f>
        <v/>
      </c>
      <c r="K120" s="24">
        <f>$G120*Supuestos!G$8*(Drivers!G$45/Drivers!$C$45)</f>
        <v/>
      </c>
      <c r="L120" s="24">
        <f>$G120*Supuestos!H$8*(Drivers!H$45/Drivers!$C$45)</f>
        <v/>
      </c>
      <c r="M120" s="24">
        <f>$G120*Supuestos!I$8*(Drivers!I$45/Drivers!$C$45)</f>
        <v/>
      </c>
      <c r="N120" s="24">
        <f>$G120*Supuestos!J$8*(Drivers!J$45/Drivers!$C$45)</f>
        <v/>
      </c>
      <c r="O120" s="24">
        <f>$G120*Supuestos!K$8*(Drivers!K$45/Drivers!$C$45)</f>
        <v/>
      </c>
      <c r="P120" s="24">
        <f>$G120*Supuestos!L$8*(Drivers!L$45/Drivers!$C$45)</f>
        <v/>
      </c>
      <c r="Q120" s="24">
        <f>$G120*Supuestos!M$8*(Drivers!M$45/Drivers!$C$45)</f>
        <v/>
      </c>
      <c r="R120" s="24">
        <f>$G120*Supuestos!N$8*(Drivers!N$45/Drivers!$C$45)</f>
        <v/>
      </c>
      <c r="S120" s="24">
        <f>$G120*Supuestos!O$8*(Drivers!O$45/Drivers!$C$45)</f>
        <v/>
      </c>
      <c r="T120" s="24">
        <f>$G120*Supuestos!P$8*(Drivers!P$45/Drivers!$C$45)</f>
        <v/>
      </c>
      <c r="U120" s="24">
        <f>$G120*Supuestos!Q$8*(Drivers!Q$45/Drivers!$C$45)</f>
        <v/>
      </c>
      <c r="V120" s="24">
        <f>$G120*Supuestos!R$8*(Drivers!R$45/Drivers!$C$45)</f>
        <v/>
      </c>
    </row>
    <row r="121">
      <c r="A121" s="6" t="inlineStr">
        <is>
          <t>PUY</t>
        </is>
      </c>
      <c r="B121" s="6" t="inlineStr">
        <is>
          <t>USD</t>
        </is>
      </c>
      <c r="C121" s="6" t="inlineStr">
        <is>
          <t>2 Costos de Explotación</t>
        </is>
      </c>
      <c r="D121" s="6" t="inlineStr">
        <is>
          <t>2.5 Telefonía</t>
        </is>
      </c>
      <c r="E121" s="6" t="inlineStr">
        <is>
          <t>Telefonía celular</t>
        </is>
      </c>
      <c r="F121" s="6" t="inlineStr">
        <is>
          <t>pos_inf</t>
        </is>
      </c>
      <c r="G121" s="24" t="n">
        <v>-103509.05</v>
      </c>
      <c r="H121" s="24">
        <f>$G121*Supuestos!D$6*(Drivers!D$45/Drivers!$C$45)</f>
        <v/>
      </c>
      <c r="I121" s="24">
        <f>$G121*Supuestos!E$6*(Drivers!E$45/Drivers!$C$45)</f>
        <v/>
      </c>
      <c r="J121" s="24">
        <f>$G121*Supuestos!F$6*(Drivers!F$45/Drivers!$C$45)</f>
        <v/>
      </c>
      <c r="K121" s="24">
        <f>$G121*Supuestos!G$6*(Drivers!G$45/Drivers!$C$45)</f>
        <v/>
      </c>
      <c r="L121" s="24">
        <f>$G121*Supuestos!H$6*(Drivers!H$45/Drivers!$C$45)</f>
        <v/>
      </c>
      <c r="M121" s="24">
        <f>$G121*Supuestos!I$6*(Drivers!I$45/Drivers!$C$45)</f>
        <v/>
      </c>
      <c r="N121" s="24">
        <f>$G121*Supuestos!J$6*(Drivers!J$45/Drivers!$C$45)</f>
        <v/>
      </c>
      <c r="O121" s="24">
        <f>$G121*Supuestos!K$6*(Drivers!K$45/Drivers!$C$45)</f>
        <v/>
      </c>
      <c r="P121" s="24">
        <f>$G121*Supuestos!L$6*(Drivers!L$45/Drivers!$C$45)</f>
        <v/>
      </c>
      <c r="Q121" s="24">
        <f>$G121*Supuestos!M$6*(Drivers!M$45/Drivers!$C$45)</f>
        <v/>
      </c>
      <c r="R121" s="24">
        <f>$G121*Supuestos!N$6*(Drivers!N$45/Drivers!$C$45)</f>
        <v/>
      </c>
      <c r="S121" s="24">
        <f>$G121*Supuestos!O$6*(Drivers!O$45/Drivers!$C$45)</f>
        <v/>
      </c>
      <c r="T121" s="24">
        <f>$G121*Supuestos!P$6*(Drivers!P$45/Drivers!$C$45)</f>
        <v/>
      </c>
      <c r="U121" s="24">
        <f>$G121*Supuestos!Q$6*(Drivers!Q$45/Drivers!$C$45)</f>
        <v/>
      </c>
      <c r="V121" s="24">
        <f>$G121*Supuestos!R$6*(Drivers!R$45/Drivers!$C$45)</f>
        <v/>
      </c>
    </row>
    <row r="122">
      <c r="A122" s="6" t="inlineStr">
        <is>
          <t>PUY</t>
        </is>
      </c>
      <c r="B122" s="6" t="inlineStr">
        <is>
          <t>USD</t>
        </is>
      </c>
      <c r="C122" s="6" t="inlineStr">
        <is>
          <t>2 Costos de Explotación</t>
        </is>
      </c>
      <c r="D122" s="6" t="inlineStr">
        <is>
          <t>2.5 Telefonía</t>
        </is>
      </c>
      <c r="E122" s="6" t="inlineStr">
        <is>
          <t>Telefonía LDN</t>
        </is>
      </c>
      <c r="F122" s="6" t="inlineStr">
        <is>
          <t>pos_inf</t>
        </is>
      </c>
      <c r="G122" s="24" t="n">
        <v>-26616.72</v>
      </c>
      <c r="H122" s="24">
        <f>$G122*Supuestos!D$6*(Drivers!D$45/Drivers!$C$45)</f>
        <v/>
      </c>
      <c r="I122" s="24">
        <f>$G122*Supuestos!E$6*(Drivers!E$45/Drivers!$C$45)</f>
        <v/>
      </c>
      <c r="J122" s="24">
        <f>$G122*Supuestos!F$6*(Drivers!F$45/Drivers!$C$45)</f>
        <v/>
      </c>
      <c r="K122" s="24">
        <f>$G122*Supuestos!G$6*(Drivers!G$45/Drivers!$C$45)</f>
        <v/>
      </c>
      <c r="L122" s="24">
        <f>$G122*Supuestos!H$6*(Drivers!H$45/Drivers!$C$45)</f>
        <v/>
      </c>
      <c r="M122" s="24">
        <f>$G122*Supuestos!I$6*(Drivers!I$45/Drivers!$C$45)</f>
        <v/>
      </c>
      <c r="N122" s="24">
        <f>$G122*Supuestos!J$6*(Drivers!J$45/Drivers!$C$45)</f>
        <v/>
      </c>
      <c r="O122" s="24">
        <f>$G122*Supuestos!K$6*(Drivers!K$45/Drivers!$C$45)</f>
        <v/>
      </c>
      <c r="P122" s="24">
        <f>$G122*Supuestos!L$6*(Drivers!L$45/Drivers!$C$45)</f>
        <v/>
      </c>
      <c r="Q122" s="24">
        <f>$G122*Supuestos!M$6*(Drivers!M$45/Drivers!$C$45)</f>
        <v/>
      </c>
      <c r="R122" s="24">
        <f>$G122*Supuestos!N$6*(Drivers!N$45/Drivers!$C$45)</f>
        <v/>
      </c>
      <c r="S122" s="24">
        <f>$G122*Supuestos!O$6*(Drivers!O$45/Drivers!$C$45)</f>
        <v/>
      </c>
      <c r="T122" s="24">
        <f>$G122*Supuestos!P$6*(Drivers!P$45/Drivers!$C$45)</f>
        <v/>
      </c>
      <c r="U122" s="24">
        <f>$G122*Supuestos!Q$6*(Drivers!Q$45/Drivers!$C$45)</f>
        <v/>
      </c>
      <c r="V122" s="24">
        <f>$G122*Supuestos!R$6*(Drivers!R$45/Drivers!$C$45)</f>
        <v/>
      </c>
    </row>
    <row r="123">
      <c r="A123" s="6" t="inlineStr">
        <is>
          <t>PUY</t>
        </is>
      </c>
      <c r="B123" s="6" t="inlineStr">
        <is>
          <t>USD</t>
        </is>
      </c>
      <c r="C123" s="6" t="inlineStr">
        <is>
          <t>2 Costos de Explotación</t>
        </is>
      </c>
      <c r="D123" s="6" t="inlineStr">
        <is>
          <t>2.5 Telefonía</t>
        </is>
      </c>
      <c r="E123" s="6" t="inlineStr">
        <is>
          <t>Telefonía local y 0800</t>
        </is>
      </c>
      <c r="F123" s="6" t="inlineStr">
        <is>
          <t>pos_inf</t>
        </is>
      </c>
      <c r="G123" s="24" t="n">
        <v>-17744.6</v>
      </c>
      <c r="H123" s="24">
        <f>$G123*Supuestos!D$6*(Drivers!D$45/Drivers!$C$45)</f>
        <v/>
      </c>
      <c r="I123" s="24">
        <f>$G123*Supuestos!E$6*(Drivers!E$45/Drivers!$C$45)</f>
        <v/>
      </c>
      <c r="J123" s="24">
        <f>$G123*Supuestos!F$6*(Drivers!F$45/Drivers!$C$45)</f>
        <v/>
      </c>
      <c r="K123" s="24">
        <f>$G123*Supuestos!G$6*(Drivers!G$45/Drivers!$C$45)</f>
        <v/>
      </c>
      <c r="L123" s="24">
        <f>$G123*Supuestos!H$6*(Drivers!H$45/Drivers!$C$45)</f>
        <v/>
      </c>
      <c r="M123" s="24">
        <f>$G123*Supuestos!I$6*(Drivers!I$45/Drivers!$C$45)</f>
        <v/>
      </c>
      <c r="N123" s="24">
        <f>$G123*Supuestos!J$6*(Drivers!J$45/Drivers!$C$45)</f>
        <v/>
      </c>
      <c r="O123" s="24">
        <f>$G123*Supuestos!K$6*(Drivers!K$45/Drivers!$C$45)</f>
        <v/>
      </c>
      <c r="P123" s="24">
        <f>$G123*Supuestos!L$6*(Drivers!L$45/Drivers!$C$45)</f>
        <v/>
      </c>
      <c r="Q123" s="24">
        <f>$G123*Supuestos!M$6*(Drivers!M$45/Drivers!$C$45)</f>
        <v/>
      </c>
      <c r="R123" s="24">
        <f>$G123*Supuestos!N$6*(Drivers!N$45/Drivers!$C$45)</f>
        <v/>
      </c>
      <c r="S123" s="24">
        <f>$G123*Supuestos!O$6*(Drivers!O$45/Drivers!$C$45)</f>
        <v/>
      </c>
      <c r="T123" s="24">
        <f>$G123*Supuestos!P$6*(Drivers!P$45/Drivers!$C$45)</f>
        <v/>
      </c>
      <c r="U123" s="24">
        <f>$G123*Supuestos!Q$6*(Drivers!Q$45/Drivers!$C$45)</f>
        <v/>
      </c>
      <c r="V123" s="24">
        <f>$G123*Supuestos!R$6*(Drivers!R$45/Drivers!$C$45)</f>
        <v/>
      </c>
    </row>
    <row r="124">
      <c r="A124" s="6" t="inlineStr">
        <is>
          <t>PUY</t>
        </is>
      </c>
      <c r="B124" s="6" t="inlineStr">
        <is>
          <t>USD</t>
        </is>
      </c>
      <c r="C124" s="6" t="inlineStr">
        <is>
          <t>2 Costos de Explotación</t>
        </is>
      </c>
      <c r="D124" s="6" t="inlineStr">
        <is>
          <t>2.8 Mailing</t>
        </is>
      </c>
      <c r="E124" s="6" t="inlineStr">
        <is>
          <t>Mailing</t>
        </is>
      </c>
      <c r="F124" s="6" t="inlineStr">
        <is>
          <t>vol_usd</t>
        </is>
      </c>
      <c r="G124" s="24" t="n">
        <v>-98424.97</v>
      </c>
      <c r="H124" s="24">
        <f>$G124*Supuestos!D$8*(Drivers!D$42/100)</f>
        <v/>
      </c>
      <c r="I124" s="24">
        <f>$G124*Supuestos!E$8*(Drivers!E$42/100)</f>
        <v/>
      </c>
      <c r="J124" s="24">
        <f>$G124*Supuestos!F$8*(Drivers!F$42/100)</f>
        <v/>
      </c>
      <c r="K124" s="24">
        <f>$G124*Supuestos!G$8*(Drivers!G$42/100)</f>
        <v/>
      </c>
      <c r="L124" s="24">
        <f>$G124*Supuestos!H$8*(Drivers!H$42/100)</f>
        <v/>
      </c>
      <c r="M124" s="24">
        <f>$G124*Supuestos!I$8*(Drivers!I$42/100)</f>
        <v/>
      </c>
      <c r="N124" s="24">
        <f>$G124*Supuestos!J$8*(Drivers!J$42/100)</f>
        <v/>
      </c>
      <c r="O124" s="24">
        <f>$G124*Supuestos!K$8*(Drivers!K$42/100)</f>
        <v/>
      </c>
      <c r="P124" s="24">
        <f>$G124*Supuestos!L$8*(Drivers!L$42/100)</f>
        <v/>
      </c>
      <c r="Q124" s="24">
        <f>$G124*Supuestos!M$8*(Drivers!M$42/100)</f>
        <v/>
      </c>
      <c r="R124" s="24">
        <f>$G124*Supuestos!N$8*(Drivers!N$42/100)</f>
        <v/>
      </c>
      <c r="S124" s="24">
        <f>$G124*Supuestos!O$8*(Drivers!O$42/100)</f>
        <v/>
      </c>
      <c r="T124" s="24">
        <f>$G124*Supuestos!P$8*(Drivers!P$42/100)</f>
        <v/>
      </c>
      <c r="U124" s="24">
        <f>$G124*Supuestos!Q$8*(Drivers!Q$42/100)</f>
        <v/>
      </c>
      <c r="V124" s="24">
        <f>$G124*Supuestos!R$8*(Drivers!R$42/100)</f>
        <v/>
      </c>
    </row>
    <row r="125">
      <c r="A125" s="6" t="inlineStr">
        <is>
          <t>PUY</t>
        </is>
      </c>
      <c r="B125" s="6" t="inlineStr">
        <is>
          <t>USD</t>
        </is>
      </c>
      <c r="C125" s="6" t="inlineStr">
        <is>
          <t>2 Costos de Explotación</t>
        </is>
      </c>
      <c r="D125" s="6" t="inlineStr">
        <is>
          <t>2.9 Informes Comerciales</t>
        </is>
      </c>
      <c r="E125" s="6" t="inlineStr">
        <is>
          <t>Informes comerciales</t>
        </is>
      </c>
      <c r="F125" s="6" t="inlineStr">
        <is>
          <t>vol_inf</t>
        </is>
      </c>
      <c r="G125" s="24" t="n">
        <v>-77084.52</v>
      </c>
      <c r="H125" s="24">
        <f>$G125*Supuestos!D$6*(Drivers!D$42/100)</f>
        <v/>
      </c>
      <c r="I125" s="24">
        <f>$G125*Supuestos!E$6*(Drivers!E$42/100)</f>
        <v/>
      </c>
      <c r="J125" s="24">
        <f>$G125*Supuestos!F$6*(Drivers!F$42/100)</f>
        <v/>
      </c>
      <c r="K125" s="24">
        <f>$G125*Supuestos!G$6*(Drivers!G$42/100)</f>
        <v/>
      </c>
      <c r="L125" s="24">
        <f>$G125*Supuestos!H$6*(Drivers!H$42/100)</f>
        <v/>
      </c>
      <c r="M125" s="24">
        <f>$G125*Supuestos!I$6*(Drivers!I$42/100)</f>
        <v/>
      </c>
      <c r="N125" s="24">
        <f>$G125*Supuestos!J$6*(Drivers!J$42/100)</f>
        <v/>
      </c>
      <c r="O125" s="24">
        <f>$G125*Supuestos!K$6*(Drivers!K$42/100)</f>
        <v/>
      </c>
      <c r="P125" s="24">
        <f>$G125*Supuestos!L$6*(Drivers!L$42/100)</f>
        <v/>
      </c>
      <c r="Q125" s="24">
        <f>$G125*Supuestos!M$6*(Drivers!M$42/100)</f>
        <v/>
      </c>
      <c r="R125" s="24">
        <f>$G125*Supuestos!N$6*(Drivers!N$42/100)</f>
        <v/>
      </c>
      <c r="S125" s="24">
        <f>$G125*Supuestos!O$6*(Drivers!O$42/100)</f>
        <v/>
      </c>
      <c r="T125" s="24">
        <f>$G125*Supuestos!P$6*(Drivers!P$42/100)</f>
        <v/>
      </c>
      <c r="U125" s="24">
        <f>$G125*Supuestos!Q$6*(Drivers!Q$42/100)</f>
        <v/>
      </c>
      <c r="V125" s="24">
        <f>$G125*Supuestos!R$6*(Drivers!R$42/100)</f>
        <v/>
      </c>
    </row>
    <row r="126">
      <c r="A126" s="6" t="inlineStr">
        <is>
          <t>PUY</t>
        </is>
      </c>
      <c r="B126" s="6" t="inlineStr">
        <is>
          <t>USD</t>
        </is>
      </c>
      <c r="C126" s="6" t="inlineStr">
        <is>
          <t>2 Costos de Explotación</t>
        </is>
      </c>
      <c r="D126" s="6" t="inlineStr">
        <is>
          <t>2.12 WhatsApp</t>
        </is>
      </c>
      <c r="E126" s="6" t="inlineStr">
        <is>
          <t>WhatsApp</t>
        </is>
      </c>
      <c r="F126" s="6" t="inlineStr">
        <is>
          <t>vol_usd</t>
        </is>
      </c>
      <c r="G126" s="24" t="n">
        <v>-208845</v>
      </c>
      <c r="H126" s="24">
        <f>$G126*Supuestos!D$8*(Drivers!D$42/100)</f>
        <v/>
      </c>
      <c r="I126" s="24">
        <f>$G126*Supuestos!E$8*(Drivers!E$42/100)</f>
        <v/>
      </c>
      <c r="J126" s="24">
        <f>$G126*Supuestos!F$8*(Drivers!F$42/100)</f>
        <v/>
      </c>
      <c r="K126" s="24">
        <f>$G126*Supuestos!G$8*(Drivers!G$42/100)</f>
        <v/>
      </c>
      <c r="L126" s="24">
        <f>$G126*Supuestos!H$8*(Drivers!H$42/100)</f>
        <v/>
      </c>
      <c r="M126" s="24">
        <f>$G126*Supuestos!I$8*(Drivers!I$42/100)</f>
        <v/>
      </c>
      <c r="N126" s="24">
        <f>$G126*Supuestos!J$8*(Drivers!J$42/100)</f>
        <v/>
      </c>
      <c r="O126" s="24">
        <f>$G126*Supuestos!K$8*(Drivers!K$42/100)</f>
        <v/>
      </c>
      <c r="P126" s="24">
        <f>$G126*Supuestos!L$8*(Drivers!L$42/100)</f>
        <v/>
      </c>
      <c r="Q126" s="24">
        <f>$G126*Supuestos!M$8*(Drivers!M$42/100)</f>
        <v/>
      </c>
      <c r="R126" s="24">
        <f>$G126*Supuestos!N$8*(Drivers!N$42/100)</f>
        <v/>
      </c>
      <c r="S126" s="24">
        <f>$G126*Supuestos!O$8*(Drivers!O$42/100)</f>
        <v/>
      </c>
      <c r="T126" s="24">
        <f>$G126*Supuestos!P$8*(Drivers!P$42/100)</f>
        <v/>
      </c>
      <c r="U126" s="24">
        <f>$G126*Supuestos!Q$8*(Drivers!Q$42/100)</f>
        <v/>
      </c>
      <c r="V126" s="24">
        <f>$G126*Supuestos!R$8*(Drivers!R$42/100)</f>
        <v/>
      </c>
    </row>
    <row r="127">
      <c r="A127" s="6" t="inlineStr">
        <is>
          <t>TUY</t>
        </is>
      </c>
      <c r="B127" s="6" t="inlineStr">
        <is>
          <t>USD</t>
        </is>
      </c>
      <c r="C127" s="6" t="inlineStr">
        <is>
          <t>1 Ingreso Operacional</t>
        </is>
      </c>
      <c r="D127" s="6" t="inlineStr">
        <is>
          <t>1.1 Ingreso Cobranzas</t>
        </is>
      </c>
      <c r="E127" s="6" t="inlineStr">
        <is>
          <t>Ingreso por recupero</t>
        </is>
      </c>
      <c r="F127" s="6" t="inlineStr">
        <is>
          <t>rev</t>
        </is>
      </c>
      <c r="G127" s="24" t="n">
        <v>7564864.27</v>
      </c>
      <c r="H127" s="24">
        <f>$G127*Supuestos!D$8*(Drivers!D$48/100)*(Drivers!D$49/Drivers!$C$49)*(Drivers!D$50/Drivers!$C$50)*Supuestos!D$13</f>
        <v/>
      </c>
      <c r="I127" s="24">
        <f>$G127*Supuestos!E$8*(Drivers!E$48/100)*(Drivers!E$49/Drivers!$C$49)*(Drivers!E$50/Drivers!$C$50)*Supuestos!E$13</f>
        <v/>
      </c>
      <c r="J127" s="24">
        <f>$G127*Supuestos!F$8*(Drivers!F$48/100)*(Drivers!F$49/Drivers!$C$49)*(Drivers!F$50/Drivers!$C$50)*Supuestos!F$13</f>
        <v/>
      </c>
      <c r="K127" s="24">
        <f>$G127*Supuestos!G$8*(Drivers!G$48/100)*(Drivers!G$49/Drivers!$C$49)*(Drivers!G$50/Drivers!$C$50)*Supuestos!G$13</f>
        <v/>
      </c>
      <c r="L127" s="24">
        <f>$G127*Supuestos!H$8*(Drivers!H$48/100)*(Drivers!H$49/Drivers!$C$49)*(Drivers!H$50/Drivers!$C$50)*Supuestos!H$13</f>
        <v/>
      </c>
      <c r="M127" s="24">
        <f>$G127*Supuestos!I$8*(Drivers!I$48/100)*(Drivers!I$49/Drivers!$C$49)*(Drivers!I$50/Drivers!$C$50)*Supuestos!I$13</f>
        <v/>
      </c>
      <c r="N127" s="24">
        <f>$G127*Supuestos!J$8*(Drivers!J$48/100)*(Drivers!J$49/Drivers!$C$49)*(Drivers!J$50/Drivers!$C$50)*Supuestos!J$13</f>
        <v/>
      </c>
      <c r="O127" s="24">
        <f>$G127*Supuestos!K$8*(Drivers!K$48/100)*(Drivers!K$49/Drivers!$C$49)*(Drivers!K$50/Drivers!$C$50)*Supuestos!K$13</f>
        <v/>
      </c>
      <c r="P127" s="24">
        <f>$G127*Supuestos!L$8*(Drivers!L$48/100)*(Drivers!L$49/Drivers!$C$49)*(Drivers!L$50/Drivers!$C$50)*Supuestos!L$13</f>
        <v/>
      </c>
      <c r="Q127" s="24">
        <f>$G127*Supuestos!M$8*(Drivers!M$48/100)*(Drivers!M$49/Drivers!$C$49)*(Drivers!M$50/Drivers!$C$50)*Supuestos!M$13</f>
        <v/>
      </c>
      <c r="R127" s="24">
        <f>$G127*Supuestos!N$8*(Drivers!N$48/100)*(Drivers!N$49/Drivers!$C$49)*(Drivers!N$50/Drivers!$C$50)*Supuestos!N$13</f>
        <v/>
      </c>
      <c r="S127" s="24">
        <f>$G127*Supuestos!O$8*(Drivers!O$48/100)*(Drivers!O$49/Drivers!$C$49)*(Drivers!O$50/Drivers!$C$50)*Supuestos!O$13</f>
        <v/>
      </c>
      <c r="T127" s="24">
        <f>$G127*Supuestos!P$8*(Drivers!P$48/100)*(Drivers!P$49/Drivers!$C$49)*(Drivers!P$50/Drivers!$C$50)*Supuestos!P$13</f>
        <v/>
      </c>
      <c r="U127" s="24">
        <f>$G127*Supuestos!Q$8*(Drivers!Q$48/100)*(Drivers!Q$49/Drivers!$C$49)*(Drivers!Q$50/Drivers!$C$50)*Supuestos!Q$13</f>
        <v/>
      </c>
      <c r="V127" s="24">
        <f>$G127*Supuestos!R$8*(Drivers!R$48/100)*(Drivers!R$49/Drivers!$C$49)*(Drivers!R$50/Drivers!$C$50)*Supuestos!R$13</f>
        <v/>
      </c>
    </row>
    <row r="128">
      <c r="A128" s="6" t="inlineStr">
        <is>
          <t>TUY</t>
        </is>
      </c>
      <c r="B128" s="6" t="inlineStr">
        <is>
          <t>USD</t>
        </is>
      </c>
      <c r="C128" s="6" t="inlineStr">
        <is>
          <t>2 Costos de Explotación</t>
        </is>
      </c>
      <c r="D128" s="6" t="inlineStr">
        <is>
          <t>2.1 Remuneraciones</t>
        </is>
      </c>
      <c r="E128" s="6" t="inlineStr">
        <is>
          <t>Operadores</t>
        </is>
      </c>
      <c r="F128" s="6" t="inlineStr">
        <is>
          <t>pos_sal</t>
        </is>
      </c>
      <c r="G128" s="24" t="n">
        <v>-1776568.05</v>
      </c>
      <c r="H128" s="24">
        <f>$G128*Supuestos!D$10*(Drivers!D$51/Drivers!$C$51)</f>
        <v/>
      </c>
      <c r="I128" s="24">
        <f>$G128*Supuestos!E$10*(Drivers!E$51/Drivers!$C$51)</f>
        <v/>
      </c>
      <c r="J128" s="24">
        <f>$G128*Supuestos!F$10*(Drivers!F$51/Drivers!$C$51)</f>
        <v/>
      </c>
      <c r="K128" s="24">
        <f>$G128*Supuestos!G$10*(Drivers!G$51/Drivers!$C$51)</f>
        <v/>
      </c>
      <c r="L128" s="24">
        <f>$G128*Supuestos!H$10*(Drivers!H$51/Drivers!$C$51)</f>
        <v/>
      </c>
      <c r="M128" s="24">
        <f>$G128*Supuestos!I$10*(Drivers!I$51/Drivers!$C$51)</f>
        <v/>
      </c>
      <c r="N128" s="24">
        <f>$G128*Supuestos!J$10*(Drivers!J$51/Drivers!$C$51)</f>
        <v/>
      </c>
      <c r="O128" s="24">
        <f>$G128*Supuestos!K$10*(Drivers!K$51/Drivers!$C$51)</f>
        <v/>
      </c>
      <c r="P128" s="24">
        <f>$G128*Supuestos!L$10*(Drivers!L$51/Drivers!$C$51)</f>
        <v/>
      </c>
      <c r="Q128" s="24">
        <f>$G128*Supuestos!M$10*(Drivers!M$51/Drivers!$C$51)</f>
        <v/>
      </c>
      <c r="R128" s="24">
        <f>$G128*Supuestos!N$10*(Drivers!N$51/Drivers!$C$51)</f>
        <v/>
      </c>
      <c r="S128" s="24">
        <f>$G128*Supuestos!O$10*(Drivers!O$51/Drivers!$C$51)</f>
        <v/>
      </c>
      <c r="T128" s="24">
        <f>$G128*Supuestos!P$10*(Drivers!P$51/Drivers!$C$51)</f>
        <v/>
      </c>
      <c r="U128" s="24">
        <f>$G128*Supuestos!Q$10*(Drivers!Q$51/Drivers!$C$51)</f>
        <v/>
      </c>
      <c r="V128" s="24">
        <f>$G128*Supuestos!R$10*(Drivers!R$51/Drivers!$C$51)</f>
        <v/>
      </c>
    </row>
    <row r="129">
      <c r="A129" s="6" t="inlineStr">
        <is>
          <t>TUY</t>
        </is>
      </c>
      <c r="B129" s="6" t="inlineStr">
        <is>
          <t>USD</t>
        </is>
      </c>
      <c r="C129" s="6" t="inlineStr">
        <is>
          <t>2 Costos de Explotación</t>
        </is>
      </c>
      <c r="D129" s="6" t="inlineStr">
        <is>
          <t>2.1 Remuneraciones</t>
        </is>
      </c>
      <c r="E129" s="6" t="inlineStr">
        <is>
          <t>Supervisión</t>
        </is>
      </c>
      <c r="F129" s="6" t="inlineStr">
        <is>
          <t>pos_sal</t>
        </is>
      </c>
      <c r="G129" s="24" t="n">
        <v>-278019.45</v>
      </c>
      <c r="H129" s="24">
        <f>$G129*Supuestos!D$10*(Drivers!D$51/Drivers!$C$51)</f>
        <v/>
      </c>
      <c r="I129" s="24">
        <f>$G129*Supuestos!E$10*(Drivers!E$51/Drivers!$C$51)</f>
        <v/>
      </c>
      <c r="J129" s="24">
        <f>$G129*Supuestos!F$10*(Drivers!F$51/Drivers!$C$51)</f>
        <v/>
      </c>
      <c r="K129" s="24">
        <f>$G129*Supuestos!G$10*(Drivers!G$51/Drivers!$C$51)</f>
        <v/>
      </c>
      <c r="L129" s="24">
        <f>$G129*Supuestos!H$10*(Drivers!H$51/Drivers!$C$51)</f>
        <v/>
      </c>
      <c r="M129" s="24">
        <f>$G129*Supuestos!I$10*(Drivers!I$51/Drivers!$C$51)</f>
        <v/>
      </c>
      <c r="N129" s="24">
        <f>$G129*Supuestos!J$10*(Drivers!J$51/Drivers!$C$51)</f>
        <v/>
      </c>
      <c r="O129" s="24">
        <f>$G129*Supuestos!K$10*(Drivers!K$51/Drivers!$C$51)</f>
        <v/>
      </c>
      <c r="P129" s="24">
        <f>$G129*Supuestos!L$10*(Drivers!L$51/Drivers!$C$51)</f>
        <v/>
      </c>
      <c r="Q129" s="24">
        <f>$G129*Supuestos!M$10*(Drivers!M$51/Drivers!$C$51)</f>
        <v/>
      </c>
      <c r="R129" s="24">
        <f>$G129*Supuestos!N$10*(Drivers!N$51/Drivers!$C$51)</f>
        <v/>
      </c>
      <c r="S129" s="24">
        <f>$G129*Supuestos!O$10*(Drivers!O$51/Drivers!$C$51)</f>
        <v/>
      </c>
      <c r="T129" s="24">
        <f>$G129*Supuestos!P$10*(Drivers!P$51/Drivers!$C$51)</f>
        <v/>
      </c>
      <c r="U129" s="24">
        <f>$G129*Supuestos!Q$10*(Drivers!Q$51/Drivers!$C$51)</f>
        <v/>
      </c>
      <c r="V129" s="24">
        <f>$G129*Supuestos!R$10*(Drivers!R$51/Drivers!$C$51)</f>
        <v/>
      </c>
    </row>
    <row r="130">
      <c r="A130" s="6" t="inlineStr">
        <is>
          <t>TUY</t>
        </is>
      </c>
      <c r="B130" s="6" t="inlineStr">
        <is>
          <t>USD</t>
        </is>
      </c>
      <c r="C130" s="6" t="inlineStr">
        <is>
          <t>2 Costos de Explotación</t>
        </is>
      </c>
      <c r="D130" s="6" t="inlineStr">
        <is>
          <t>2.1 Remuneraciones</t>
        </is>
      </c>
      <c r="E130" s="6" t="inlineStr">
        <is>
          <t>Calidad</t>
        </is>
      </c>
      <c r="F130" s="6" t="inlineStr">
        <is>
          <t>pos_sal</t>
        </is>
      </c>
      <c r="G130" s="24" t="n">
        <v>-65767.81</v>
      </c>
      <c r="H130" s="24">
        <f>$G130*Supuestos!D$10*(Drivers!D$51/Drivers!$C$51)</f>
        <v/>
      </c>
      <c r="I130" s="24">
        <f>$G130*Supuestos!E$10*(Drivers!E$51/Drivers!$C$51)</f>
        <v/>
      </c>
      <c r="J130" s="24">
        <f>$G130*Supuestos!F$10*(Drivers!F$51/Drivers!$C$51)</f>
        <v/>
      </c>
      <c r="K130" s="24">
        <f>$G130*Supuestos!G$10*(Drivers!G$51/Drivers!$C$51)</f>
        <v/>
      </c>
      <c r="L130" s="24">
        <f>$G130*Supuestos!H$10*(Drivers!H$51/Drivers!$C$51)</f>
        <v/>
      </c>
      <c r="M130" s="24">
        <f>$G130*Supuestos!I$10*(Drivers!I$51/Drivers!$C$51)</f>
        <v/>
      </c>
      <c r="N130" s="24">
        <f>$G130*Supuestos!J$10*(Drivers!J$51/Drivers!$C$51)</f>
        <v/>
      </c>
      <c r="O130" s="24">
        <f>$G130*Supuestos!K$10*(Drivers!K$51/Drivers!$C$51)</f>
        <v/>
      </c>
      <c r="P130" s="24">
        <f>$G130*Supuestos!L$10*(Drivers!L$51/Drivers!$C$51)</f>
        <v/>
      </c>
      <c r="Q130" s="24">
        <f>$G130*Supuestos!M$10*(Drivers!M$51/Drivers!$C$51)</f>
        <v/>
      </c>
      <c r="R130" s="24">
        <f>$G130*Supuestos!N$10*(Drivers!N$51/Drivers!$C$51)</f>
        <v/>
      </c>
      <c r="S130" s="24">
        <f>$G130*Supuestos!O$10*(Drivers!O$51/Drivers!$C$51)</f>
        <v/>
      </c>
      <c r="T130" s="24">
        <f>$G130*Supuestos!P$10*(Drivers!P$51/Drivers!$C$51)</f>
        <v/>
      </c>
      <c r="U130" s="24">
        <f>$G130*Supuestos!Q$10*(Drivers!Q$51/Drivers!$C$51)</f>
        <v/>
      </c>
      <c r="V130" s="24">
        <f>$G130*Supuestos!R$10*(Drivers!R$51/Drivers!$C$51)</f>
        <v/>
      </c>
    </row>
    <row r="131">
      <c r="A131" s="6" t="inlineStr">
        <is>
          <t>TUY</t>
        </is>
      </c>
      <c r="B131" s="6" t="inlineStr">
        <is>
          <t>USD</t>
        </is>
      </c>
      <c r="C131" s="6" t="inlineStr">
        <is>
          <t>2 Costos de Explotación</t>
        </is>
      </c>
      <c r="D131" s="6" t="inlineStr">
        <is>
          <t>2.1 Remuneraciones</t>
        </is>
      </c>
      <c r="E131" s="6" t="inlineStr">
        <is>
          <t>Back Office</t>
        </is>
      </c>
      <c r="F131" s="6" t="inlineStr">
        <is>
          <t>pos_sal</t>
        </is>
      </c>
      <c r="G131" s="24" t="n">
        <v>-44842.19</v>
      </c>
      <c r="H131" s="24">
        <f>$G131*Supuestos!D$10*(Drivers!D$51/Drivers!$C$51)</f>
        <v/>
      </c>
      <c r="I131" s="24">
        <f>$G131*Supuestos!E$10*(Drivers!E$51/Drivers!$C$51)</f>
        <v/>
      </c>
      <c r="J131" s="24">
        <f>$G131*Supuestos!F$10*(Drivers!F$51/Drivers!$C$51)</f>
        <v/>
      </c>
      <c r="K131" s="24">
        <f>$G131*Supuestos!G$10*(Drivers!G$51/Drivers!$C$51)</f>
        <v/>
      </c>
      <c r="L131" s="24">
        <f>$G131*Supuestos!H$10*(Drivers!H$51/Drivers!$C$51)</f>
        <v/>
      </c>
      <c r="M131" s="24">
        <f>$G131*Supuestos!I$10*(Drivers!I$51/Drivers!$C$51)</f>
        <v/>
      </c>
      <c r="N131" s="24">
        <f>$G131*Supuestos!J$10*(Drivers!J$51/Drivers!$C$51)</f>
        <v/>
      </c>
      <c r="O131" s="24">
        <f>$G131*Supuestos!K$10*(Drivers!K$51/Drivers!$C$51)</f>
        <v/>
      </c>
      <c r="P131" s="24">
        <f>$G131*Supuestos!L$10*(Drivers!L$51/Drivers!$C$51)</f>
        <v/>
      </c>
      <c r="Q131" s="24">
        <f>$G131*Supuestos!M$10*(Drivers!M$51/Drivers!$C$51)</f>
        <v/>
      </c>
      <c r="R131" s="24">
        <f>$G131*Supuestos!N$10*(Drivers!N$51/Drivers!$C$51)</f>
        <v/>
      </c>
      <c r="S131" s="24">
        <f>$G131*Supuestos!O$10*(Drivers!O$51/Drivers!$C$51)</f>
        <v/>
      </c>
      <c r="T131" s="24">
        <f>$G131*Supuestos!P$10*(Drivers!P$51/Drivers!$C$51)</f>
        <v/>
      </c>
      <c r="U131" s="24">
        <f>$G131*Supuestos!Q$10*(Drivers!Q$51/Drivers!$C$51)</f>
        <v/>
      </c>
      <c r="V131" s="24">
        <f>$G131*Supuestos!R$10*(Drivers!R$51/Drivers!$C$51)</f>
        <v/>
      </c>
    </row>
    <row r="132">
      <c r="A132" s="6" t="inlineStr">
        <is>
          <t>TUY</t>
        </is>
      </c>
      <c r="B132" s="6" t="inlineStr">
        <is>
          <t>USD</t>
        </is>
      </c>
      <c r="C132" s="6" t="inlineStr">
        <is>
          <t>2 Costos de Explotación</t>
        </is>
      </c>
      <c r="D132" s="6" t="inlineStr">
        <is>
          <t>2.1 Remuneraciones</t>
        </is>
      </c>
      <c r="E132" s="6" t="inlineStr">
        <is>
          <t>Ejecutivos de cuenta</t>
        </is>
      </c>
      <c r="F132" s="6" t="inlineStr">
        <is>
          <t>pos_sal</t>
        </is>
      </c>
      <c r="G132" s="24" t="n">
        <v>-85199.67</v>
      </c>
      <c r="H132" s="24">
        <f>$G132*Supuestos!D$10*(Drivers!D$51/Drivers!$C$51)</f>
        <v/>
      </c>
      <c r="I132" s="24">
        <f>$G132*Supuestos!E$10*(Drivers!E$51/Drivers!$C$51)</f>
        <v/>
      </c>
      <c r="J132" s="24">
        <f>$G132*Supuestos!F$10*(Drivers!F$51/Drivers!$C$51)</f>
        <v/>
      </c>
      <c r="K132" s="24">
        <f>$G132*Supuestos!G$10*(Drivers!G$51/Drivers!$C$51)</f>
        <v/>
      </c>
      <c r="L132" s="24">
        <f>$G132*Supuestos!H$10*(Drivers!H$51/Drivers!$C$51)</f>
        <v/>
      </c>
      <c r="M132" s="24">
        <f>$G132*Supuestos!I$10*(Drivers!I$51/Drivers!$C$51)</f>
        <v/>
      </c>
      <c r="N132" s="24">
        <f>$G132*Supuestos!J$10*(Drivers!J$51/Drivers!$C$51)</f>
        <v/>
      </c>
      <c r="O132" s="24">
        <f>$G132*Supuestos!K$10*(Drivers!K$51/Drivers!$C$51)</f>
        <v/>
      </c>
      <c r="P132" s="24">
        <f>$G132*Supuestos!L$10*(Drivers!L$51/Drivers!$C$51)</f>
        <v/>
      </c>
      <c r="Q132" s="24">
        <f>$G132*Supuestos!M$10*(Drivers!M$51/Drivers!$C$51)</f>
        <v/>
      </c>
      <c r="R132" s="24">
        <f>$G132*Supuestos!N$10*(Drivers!N$51/Drivers!$C$51)</f>
        <v/>
      </c>
      <c r="S132" s="24">
        <f>$G132*Supuestos!O$10*(Drivers!O$51/Drivers!$C$51)</f>
        <v/>
      </c>
      <c r="T132" s="24">
        <f>$G132*Supuestos!P$10*(Drivers!P$51/Drivers!$C$51)</f>
        <v/>
      </c>
      <c r="U132" s="24">
        <f>$G132*Supuestos!Q$10*(Drivers!Q$51/Drivers!$C$51)</f>
        <v/>
      </c>
      <c r="V132" s="24">
        <f>$G132*Supuestos!R$10*(Drivers!R$51/Drivers!$C$51)</f>
        <v/>
      </c>
    </row>
    <row r="133">
      <c r="A133" s="6" t="inlineStr">
        <is>
          <t>TUY</t>
        </is>
      </c>
      <c r="B133" s="6" t="inlineStr">
        <is>
          <t>USD</t>
        </is>
      </c>
      <c r="C133" s="6" t="inlineStr">
        <is>
          <t>2 Costos de Explotación</t>
        </is>
      </c>
      <c r="D133" s="6" t="inlineStr">
        <is>
          <t>2.1 Remuneraciones</t>
        </is>
      </c>
      <c r="E133" s="6" t="inlineStr">
        <is>
          <t>Gerencia de Operaciones</t>
        </is>
      </c>
      <c r="F133" s="6" t="inlineStr">
        <is>
          <t>pos_sal</t>
        </is>
      </c>
      <c r="G133" s="24" t="n">
        <v>-95662.83</v>
      </c>
      <c r="H133" s="24">
        <f>$G133*Supuestos!D$10*(Drivers!D$51/Drivers!$C$51)</f>
        <v/>
      </c>
      <c r="I133" s="24">
        <f>$G133*Supuestos!E$10*(Drivers!E$51/Drivers!$C$51)</f>
        <v/>
      </c>
      <c r="J133" s="24">
        <f>$G133*Supuestos!F$10*(Drivers!F$51/Drivers!$C$51)</f>
        <v/>
      </c>
      <c r="K133" s="24">
        <f>$G133*Supuestos!G$10*(Drivers!G$51/Drivers!$C$51)</f>
        <v/>
      </c>
      <c r="L133" s="24">
        <f>$G133*Supuestos!H$10*(Drivers!H$51/Drivers!$C$51)</f>
        <v/>
      </c>
      <c r="M133" s="24">
        <f>$G133*Supuestos!I$10*(Drivers!I$51/Drivers!$C$51)</f>
        <v/>
      </c>
      <c r="N133" s="24">
        <f>$G133*Supuestos!J$10*(Drivers!J$51/Drivers!$C$51)</f>
        <v/>
      </c>
      <c r="O133" s="24">
        <f>$G133*Supuestos!K$10*(Drivers!K$51/Drivers!$C$51)</f>
        <v/>
      </c>
      <c r="P133" s="24">
        <f>$G133*Supuestos!L$10*(Drivers!L$51/Drivers!$C$51)</f>
        <v/>
      </c>
      <c r="Q133" s="24">
        <f>$G133*Supuestos!M$10*(Drivers!M$51/Drivers!$C$51)</f>
        <v/>
      </c>
      <c r="R133" s="24">
        <f>$G133*Supuestos!N$10*(Drivers!N$51/Drivers!$C$51)</f>
        <v/>
      </c>
      <c r="S133" s="24">
        <f>$G133*Supuestos!O$10*(Drivers!O$51/Drivers!$C$51)</f>
        <v/>
      </c>
      <c r="T133" s="24">
        <f>$G133*Supuestos!P$10*(Drivers!P$51/Drivers!$C$51)</f>
        <v/>
      </c>
      <c r="U133" s="24">
        <f>$G133*Supuestos!Q$10*(Drivers!Q$51/Drivers!$C$51)</f>
        <v/>
      </c>
      <c r="V133" s="24">
        <f>$G133*Supuestos!R$10*(Drivers!R$51/Drivers!$C$51)</f>
        <v/>
      </c>
    </row>
    <row r="134">
      <c r="A134" s="6" t="inlineStr">
        <is>
          <t>TUY</t>
        </is>
      </c>
      <c r="B134" s="6" t="inlineStr">
        <is>
          <t>USD</t>
        </is>
      </c>
      <c r="C134" s="6" t="inlineStr">
        <is>
          <t>2 Costos de Explotación</t>
        </is>
      </c>
      <c r="D134" s="6" t="inlineStr">
        <is>
          <t>2.1 Remuneraciones</t>
        </is>
      </c>
      <c r="E134" s="6" t="inlineStr">
        <is>
          <t>Indemnizaciones</t>
        </is>
      </c>
      <c r="F134" s="6" t="inlineStr">
        <is>
          <t>zero</t>
        </is>
      </c>
      <c r="G134" s="24" t="n">
        <v>-15017.75</v>
      </c>
      <c r="H134" s="24">
        <f>0</f>
        <v/>
      </c>
      <c r="I134" s="24">
        <f>0</f>
        <v/>
      </c>
      <c r="J134" s="24">
        <f>0</f>
        <v/>
      </c>
      <c r="K134" s="24">
        <f>0</f>
        <v/>
      </c>
      <c r="L134" s="24">
        <f>0</f>
        <v/>
      </c>
      <c r="M134" s="24">
        <f>0</f>
        <v/>
      </c>
      <c r="N134" s="24">
        <f>0</f>
        <v/>
      </c>
      <c r="O134" s="24">
        <f>0</f>
        <v/>
      </c>
      <c r="P134" s="24">
        <f>0</f>
        <v/>
      </c>
      <c r="Q134" s="24">
        <f>0</f>
        <v/>
      </c>
      <c r="R134" s="24">
        <f>0</f>
        <v/>
      </c>
      <c r="S134" s="24">
        <f>0</f>
        <v/>
      </c>
      <c r="T134" s="24">
        <f>0</f>
        <v/>
      </c>
      <c r="U134" s="24">
        <f>0</f>
        <v/>
      </c>
      <c r="V134" s="24">
        <f>0</f>
        <v/>
      </c>
    </row>
    <row r="135">
      <c r="A135" s="6" t="inlineStr">
        <is>
          <t>TUY</t>
        </is>
      </c>
      <c r="B135" s="6" t="inlineStr">
        <is>
          <t>USD</t>
        </is>
      </c>
      <c r="C135" s="6" t="inlineStr">
        <is>
          <t>2 Costos de Explotación</t>
        </is>
      </c>
      <c r="D135" s="6" t="inlineStr">
        <is>
          <t>2.3 Licencias</t>
        </is>
      </c>
      <c r="E135" s="6" t="inlineStr">
        <is>
          <t>Licencias discador/CRM</t>
        </is>
      </c>
      <c r="F135" s="6" t="inlineStr">
        <is>
          <t>pos_usd</t>
        </is>
      </c>
      <c r="G135" s="24" t="n">
        <v>-122850</v>
      </c>
      <c r="H135" s="24">
        <f>$G135*Supuestos!D$8*(Drivers!D$51/Drivers!$C$51)</f>
        <v/>
      </c>
      <c r="I135" s="24">
        <f>$G135*Supuestos!E$8*(Drivers!E$51/Drivers!$C$51)</f>
        <v/>
      </c>
      <c r="J135" s="24">
        <f>$G135*Supuestos!F$8*(Drivers!F$51/Drivers!$C$51)</f>
        <v/>
      </c>
      <c r="K135" s="24">
        <f>$G135*Supuestos!G$8*(Drivers!G$51/Drivers!$C$51)</f>
        <v/>
      </c>
      <c r="L135" s="24">
        <f>$G135*Supuestos!H$8*(Drivers!H$51/Drivers!$C$51)</f>
        <v/>
      </c>
      <c r="M135" s="24">
        <f>$G135*Supuestos!I$8*(Drivers!I$51/Drivers!$C$51)</f>
        <v/>
      </c>
      <c r="N135" s="24">
        <f>$G135*Supuestos!J$8*(Drivers!J$51/Drivers!$C$51)</f>
        <v/>
      </c>
      <c r="O135" s="24">
        <f>$G135*Supuestos!K$8*(Drivers!K$51/Drivers!$C$51)</f>
        <v/>
      </c>
      <c r="P135" s="24">
        <f>$G135*Supuestos!L$8*(Drivers!L$51/Drivers!$C$51)</f>
        <v/>
      </c>
      <c r="Q135" s="24">
        <f>$G135*Supuestos!M$8*(Drivers!M$51/Drivers!$C$51)</f>
        <v/>
      </c>
      <c r="R135" s="24">
        <f>$G135*Supuestos!N$8*(Drivers!N$51/Drivers!$C$51)</f>
        <v/>
      </c>
      <c r="S135" s="24">
        <f>$G135*Supuestos!O$8*(Drivers!O$51/Drivers!$C$51)</f>
        <v/>
      </c>
      <c r="T135" s="24">
        <f>$G135*Supuestos!P$8*(Drivers!P$51/Drivers!$C$51)</f>
        <v/>
      </c>
      <c r="U135" s="24">
        <f>$G135*Supuestos!Q$8*(Drivers!Q$51/Drivers!$C$51)</f>
        <v/>
      </c>
      <c r="V135" s="24">
        <f>$G135*Supuestos!R$8*(Drivers!R$51/Drivers!$C$51)</f>
        <v/>
      </c>
    </row>
    <row r="136">
      <c r="A136" s="6" t="inlineStr">
        <is>
          <t>TUY</t>
        </is>
      </c>
      <c r="B136" s="6" t="inlineStr">
        <is>
          <t>USD</t>
        </is>
      </c>
      <c r="C136" s="6" t="inlineStr">
        <is>
          <t>2 Costos de Explotación</t>
        </is>
      </c>
      <c r="D136" s="6" t="inlineStr">
        <is>
          <t>2.5 Telefonía</t>
        </is>
      </c>
      <c r="E136" s="6" t="inlineStr">
        <is>
          <t>Telefonía celular</t>
        </is>
      </c>
      <c r="F136" s="6" t="inlineStr">
        <is>
          <t>pos_inf</t>
        </is>
      </c>
      <c r="G136" s="24" t="n">
        <v>-52566.24</v>
      </c>
      <c r="H136" s="24">
        <f>$G136*Supuestos!D$6*(Drivers!D$51/Drivers!$C$51)</f>
        <v/>
      </c>
      <c r="I136" s="24">
        <f>$G136*Supuestos!E$6*(Drivers!E$51/Drivers!$C$51)</f>
        <v/>
      </c>
      <c r="J136" s="24">
        <f>$G136*Supuestos!F$6*(Drivers!F$51/Drivers!$C$51)</f>
        <v/>
      </c>
      <c r="K136" s="24">
        <f>$G136*Supuestos!G$6*(Drivers!G$51/Drivers!$C$51)</f>
        <v/>
      </c>
      <c r="L136" s="24">
        <f>$G136*Supuestos!H$6*(Drivers!H$51/Drivers!$C$51)</f>
        <v/>
      </c>
      <c r="M136" s="24">
        <f>$G136*Supuestos!I$6*(Drivers!I$51/Drivers!$C$51)</f>
        <v/>
      </c>
      <c r="N136" s="24">
        <f>$G136*Supuestos!J$6*(Drivers!J$51/Drivers!$C$51)</f>
        <v/>
      </c>
      <c r="O136" s="24">
        <f>$G136*Supuestos!K$6*(Drivers!K$51/Drivers!$C$51)</f>
        <v/>
      </c>
      <c r="P136" s="24">
        <f>$G136*Supuestos!L$6*(Drivers!L$51/Drivers!$C$51)</f>
        <v/>
      </c>
      <c r="Q136" s="24">
        <f>$G136*Supuestos!M$6*(Drivers!M$51/Drivers!$C$51)</f>
        <v/>
      </c>
      <c r="R136" s="24">
        <f>$G136*Supuestos!N$6*(Drivers!N$51/Drivers!$C$51)</f>
        <v/>
      </c>
      <c r="S136" s="24">
        <f>$G136*Supuestos!O$6*(Drivers!O$51/Drivers!$C$51)</f>
        <v/>
      </c>
      <c r="T136" s="24">
        <f>$G136*Supuestos!P$6*(Drivers!P$51/Drivers!$C$51)</f>
        <v/>
      </c>
      <c r="U136" s="24">
        <f>$G136*Supuestos!Q$6*(Drivers!Q$51/Drivers!$C$51)</f>
        <v/>
      </c>
      <c r="V136" s="24">
        <f>$G136*Supuestos!R$6*(Drivers!R$51/Drivers!$C$51)</f>
        <v/>
      </c>
    </row>
    <row r="137">
      <c r="A137" s="6" t="inlineStr">
        <is>
          <t>TUY</t>
        </is>
      </c>
      <c r="B137" s="6" t="inlineStr">
        <is>
          <t>USD</t>
        </is>
      </c>
      <c r="C137" s="6" t="inlineStr">
        <is>
          <t>2 Costos de Explotación</t>
        </is>
      </c>
      <c r="D137" s="6" t="inlineStr">
        <is>
          <t>2.5 Telefonía</t>
        </is>
      </c>
      <c r="E137" s="6" t="inlineStr">
        <is>
          <t>Telefonía LDN</t>
        </is>
      </c>
      <c r="F137" s="6" t="inlineStr">
        <is>
          <t>pos_inf</t>
        </is>
      </c>
      <c r="G137" s="24" t="n">
        <v>-13517.12</v>
      </c>
      <c r="H137" s="24">
        <f>$G137*Supuestos!D$6*(Drivers!D$51/Drivers!$C$51)</f>
        <v/>
      </c>
      <c r="I137" s="24">
        <f>$G137*Supuestos!E$6*(Drivers!E$51/Drivers!$C$51)</f>
        <v/>
      </c>
      <c r="J137" s="24">
        <f>$G137*Supuestos!F$6*(Drivers!F$51/Drivers!$C$51)</f>
        <v/>
      </c>
      <c r="K137" s="24">
        <f>$G137*Supuestos!G$6*(Drivers!G$51/Drivers!$C$51)</f>
        <v/>
      </c>
      <c r="L137" s="24">
        <f>$G137*Supuestos!H$6*(Drivers!H$51/Drivers!$C$51)</f>
        <v/>
      </c>
      <c r="M137" s="24">
        <f>$G137*Supuestos!I$6*(Drivers!I$51/Drivers!$C$51)</f>
        <v/>
      </c>
      <c r="N137" s="24">
        <f>$G137*Supuestos!J$6*(Drivers!J$51/Drivers!$C$51)</f>
        <v/>
      </c>
      <c r="O137" s="24">
        <f>$G137*Supuestos!K$6*(Drivers!K$51/Drivers!$C$51)</f>
        <v/>
      </c>
      <c r="P137" s="24">
        <f>$G137*Supuestos!L$6*(Drivers!L$51/Drivers!$C$51)</f>
        <v/>
      </c>
      <c r="Q137" s="24">
        <f>$G137*Supuestos!M$6*(Drivers!M$51/Drivers!$C$51)</f>
        <v/>
      </c>
      <c r="R137" s="24">
        <f>$G137*Supuestos!N$6*(Drivers!N$51/Drivers!$C$51)</f>
        <v/>
      </c>
      <c r="S137" s="24">
        <f>$G137*Supuestos!O$6*(Drivers!O$51/Drivers!$C$51)</f>
        <v/>
      </c>
      <c r="T137" s="24">
        <f>$G137*Supuestos!P$6*(Drivers!P$51/Drivers!$C$51)</f>
        <v/>
      </c>
      <c r="U137" s="24">
        <f>$G137*Supuestos!Q$6*(Drivers!Q$51/Drivers!$C$51)</f>
        <v/>
      </c>
      <c r="V137" s="24">
        <f>$G137*Supuestos!R$6*(Drivers!R$51/Drivers!$C$51)</f>
        <v/>
      </c>
    </row>
    <row r="138">
      <c r="A138" s="6" t="inlineStr">
        <is>
          <t>TUY</t>
        </is>
      </c>
      <c r="B138" s="6" t="inlineStr">
        <is>
          <t>USD</t>
        </is>
      </c>
      <c r="C138" s="6" t="inlineStr">
        <is>
          <t>2 Costos de Explotación</t>
        </is>
      </c>
      <c r="D138" s="6" t="inlineStr">
        <is>
          <t>2.5 Telefonía</t>
        </is>
      </c>
      <c r="E138" s="6" t="inlineStr">
        <is>
          <t>Telefonía local y 0800</t>
        </is>
      </c>
      <c r="F138" s="6" t="inlineStr">
        <is>
          <t>pos_inf</t>
        </is>
      </c>
      <c r="G138" s="24" t="n">
        <v>-9011.41</v>
      </c>
      <c r="H138" s="24">
        <f>$G138*Supuestos!D$6*(Drivers!D$51/Drivers!$C$51)</f>
        <v/>
      </c>
      <c r="I138" s="24">
        <f>$G138*Supuestos!E$6*(Drivers!E$51/Drivers!$C$51)</f>
        <v/>
      </c>
      <c r="J138" s="24">
        <f>$G138*Supuestos!F$6*(Drivers!F$51/Drivers!$C$51)</f>
        <v/>
      </c>
      <c r="K138" s="24">
        <f>$G138*Supuestos!G$6*(Drivers!G$51/Drivers!$C$51)</f>
        <v/>
      </c>
      <c r="L138" s="24">
        <f>$G138*Supuestos!H$6*(Drivers!H$51/Drivers!$C$51)</f>
        <v/>
      </c>
      <c r="M138" s="24">
        <f>$G138*Supuestos!I$6*(Drivers!I$51/Drivers!$C$51)</f>
        <v/>
      </c>
      <c r="N138" s="24">
        <f>$G138*Supuestos!J$6*(Drivers!J$51/Drivers!$C$51)</f>
        <v/>
      </c>
      <c r="O138" s="24">
        <f>$G138*Supuestos!K$6*(Drivers!K$51/Drivers!$C$51)</f>
        <v/>
      </c>
      <c r="P138" s="24">
        <f>$G138*Supuestos!L$6*(Drivers!L$51/Drivers!$C$51)</f>
        <v/>
      </c>
      <c r="Q138" s="24">
        <f>$G138*Supuestos!M$6*(Drivers!M$51/Drivers!$C$51)</f>
        <v/>
      </c>
      <c r="R138" s="24">
        <f>$G138*Supuestos!N$6*(Drivers!N$51/Drivers!$C$51)</f>
        <v/>
      </c>
      <c r="S138" s="24">
        <f>$G138*Supuestos!O$6*(Drivers!O$51/Drivers!$C$51)</f>
        <v/>
      </c>
      <c r="T138" s="24">
        <f>$G138*Supuestos!P$6*(Drivers!P$51/Drivers!$C$51)</f>
        <v/>
      </c>
      <c r="U138" s="24">
        <f>$G138*Supuestos!Q$6*(Drivers!Q$51/Drivers!$C$51)</f>
        <v/>
      </c>
      <c r="V138" s="24">
        <f>$G138*Supuestos!R$6*(Drivers!R$51/Drivers!$C$51)</f>
        <v/>
      </c>
    </row>
    <row r="139">
      <c r="A139" s="6" t="inlineStr">
        <is>
          <t>TUY</t>
        </is>
      </c>
      <c r="B139" s="6" t="inlineStr">
        <is>
          <t>USD</t>
        </is>
      </c>
      <c r="C139" s="6" t="inlineStr">
        <is>
          <t>2 Costos de Explotación</t>
        </is>
      </c>
      <c r="D139" s="6" t="inlineStr">
        <is>
          <t>2.8 Mailing</t>
        </is>
      </c>
      <c r="E139" s="6" t="inlineStr">
        <is>
          <t>Mailing</t>
        </is>
      </c>
      <c r="F139" s="6" t="inlineStr">
        <is>
          <t>vol_usd</t>
        </is>
      </c>
      <c r="G139" s="24" t="n">
        <v>-57455.59</v>
      </c>
      <c r="H139" s="24">
        <f>$G139*Supuestos!D$8*(Drivers!D$48/100)</f>
        <v/>
      </c>
      <c r="I139" s="24">
        <f>$G139*Supuestos!E$8*(Drivers!E$48/100)</f>
        <v/>
      </c>
      <c r="J139" s="24">
        <f>$G139*Supuestos!F$8*(Drivers!F$48/100)</f>
        <v/>
      </c>
      <c r="K139" s="24">
        <f>$G139*Supuestos!G$8*(Drivers!G$48/100)</f>
        <v/>
      </c>
      <c r="L139" s="24">
        <f>$G139*Supuestos!H$8*(Drivers!H$48/100)</f>
        <v/>
      </c>
      <c r="M139" s="24">
        <f>$G139*Supuestos!I$8*(Drivers!I$48/100)</f>
        <v/>
      </c>
      <c r="N139" s="24">
        <f>$G139*Supuestos!J$8*(Drivers!J$48/100)</f>
        <v/>
      </c>
      <c r="O139" s="24">
        <f>$G139*Supuestos!K$8*(Drivers!K$48/100)</f>
        <v/>
      </c>
      <c r="P139" s="24">
        <f>$G139*Supuestos!L$8*(Drivers!L$48/100)</f>
        <v/>
      </c>
      <c r="Q139" s="24">
        <f>$G139*Supuestos!M$8*(Drivers!M$48/100)</f>
        <v/>
      </c>
      <c r="R139" s="24">
        <f>$G139*Supuestos!N$8*(Drivers!N$48/100)</f>
        <v/>
      </c>
      <c r="S139" s="24">
        <f>$G139*Supuestos!O$8*(Drivers!O$48/100)</f>
        <v/>
      </c>
      <c r="T139" s="24">
        <f>$G139*Supuestos!P$8*(Drivers!P$48/100)</f>
        <v/>
      </c>
      <c r="U139" s="24">
        <f>$G139*Supuestos!Q$8*(Drivers!Q$48/100)</f>
        <v/>
      </c>
      <c r="V139" s="24">
        <f>$G139*Supuestos!R$8*(Drivers!R$48/100)</f>
        <v/>
      </c>
    </row>
    <row r="140">
      <c r="A140" s="6" t="inlineStr">
        <is>
          <t>BNP</t>
        </is>
      </c>
      <c r="B140" s="6" t="inlineStr">
        <is>
          <t>ARS</t>
        </is>
      </c>
      <c r="C140" s="6" t="inlineStr">
        <is>
          <t>1 Ingreso Operacional</t>
        </is>
      </c>
      <c r="D140" s="6" t="inlineStr">
        <is>
          <t>1.1 Ingreso Cobranzas</t>
        </is>
      </c>
      <c r="E140" s="6" t="inlineStr">
        <is>
          <t>Ingreso por recupero</t>
        </is>
      </c>
      <c r="F140" s="6" t="inlineStr">
        <is>
          <t>rev</t>
        </is>
      </c>
      <c r="G140" s="24" t="n">
        <v>22400577.86</v>
      </c>
      <c r="H140" s="24">
        <f>$G140*Supuestos!D$6*(Drivers!D$54/100)*(Drivers!D$55/Drivers!$C$55)*(Drivers!D$56/Drivers!$C$56)*Supuestos!D$13</f>
        <v/>
      </c>
      <c r="I140" s="24">
        <f>$G140*Supuestos!E$6*(Drivers!E$54/100)*(Drivers!E$55/Drivers!$C$55)*(Drivers!E$56/Drivers!$C$56)*Supuestos!E$13</f>
        <v/>
      </c>
      <c r="J140" s="24">
        <f>$G140*Supuestos!F$6*(Drivers!F$54/100)*(Drivers!F$55/Drivers!$C$55)*(Drivers!F$56/Drivers!$C$56)*Supuestos!F$13</f>
        <v/>
      </c>
      <c r="K140" s="24">
        <f>$G140*Supuestos!G$6*(Drivers!G$54/100)*(Drivers!G$55/Drivers!$C$55)*(Drivers!G$56/Drivers!$C$56)*Supuestos!G$13</f>
        <v/>
      </c>
      <c r="L140" s="24">
        <f>$G140*Supuestos!H$6*(Drivers!H$54/100)*(Drivers!H$55/Drivers!$C$55)*(Drivers!H$56/Drivers!$C$56)*Supuestos!H$13</f>
        <v/>
      </c>
      <c r="M140" s="24">
        <f>$G140*Supuestos!I$6*(Drivers!I$54/100)*(Drivers!I$55/Drivers!$C$55)*(Drivers!I$56/Drivers!$C$56)*Supuestos!I$13</f>
        <v/>
      </c>
      <c r="N140" s="24">
        <f>$G140*Supuestos!J$6*(Drivers!J$54/100)*(Drivers!J$55/Drivers!$C$55)*(Drivers!J$56/Drivers!$C$56)*Supuestos!J$13</f>
        <v/>
      </c>
      <c r="O140" s="24">
        <f>$G140*Supuestos!K$6*(Drivers!K$54/100)*(Drivers!K$55/Drivers!$C$55)*(Drivers!K$56/Drivers!$C$56)*Supuestos!K$13</f>
        <v/>
      </c>
      <c r="P140" s="24">
        <f>$G140*Supuestos!L$6*(Drivers!L$54/100)*(Drivers!L$55/Drivers!$C$55)*(Drivers!L$56/Drivers!$C$56)*Supuestos!L$13</f>
        <v/>
      </c>
      <c r="Q140" s="24">
        <f>$G140*Supuestos!M$6*(Drivers!M$54/100)*(Drivers!M$55/Drivers!$C$55)*(Drivers!M$56/Drivers!$C$56)*Supuestos!M$13</f>
        <v/>
      </c>
      <c r="R140" s="24">
        <f>$G140*Supuestos!N$6*(Drivers!N$54/100)*(Drivers!N$55/Drivers!$C$55)*(Drivers!N$56/Drivers!$C$56)*Supuestos!N$13</f>
        <v/>
      </c>
      <c r="S140" s="24">
        <f>$G140*Supuestos!O$6*(Drivers!O$54/100)*(Drivers!O$55/Drivers!$C$55)*(Drivers!O$56/Drivers!$C$56)*Supuestos!O$13</f>
        <v/>
      </c>
      <c r="T140" s="24">
        <f>$G140*Supuestos!P$6*(Drivers!P$54/100)*(Drivers!P$55/Drivers!$C$55)*(Drivers!P$56/Drivers!$C$56)*Supuestos!P$13</f>
        <v/>
      </c>
      <c r="U140" s="24">
        <f>$G140*Supuestos!Q$6*(Drivers!Q$54/100)*(Drivers!Q$55/Drivers!$C$55)*(Drivers!Q$56/Drivers!$C$56)*Supuestos!Q$13</f>
        <v/>
      </c>
      <c r="V140" s="24">
        <f>$G140*Supuestos!R$6*(Drivers!R$54/100)*(Drivers!R$55/Drivers!$C$55)*(Drivers!R$56/Drivers!$C$56)*Supuestos!R$13</f>
        <v/>
      </c>
    </row>
    <row r="141">
      <c r="A141" s="6" t="inlineStr">
        <is>
          <t>BNP</t>
        </is>
      </c>
      <c r="B141" s="6" t="inlineStr">
        <is>
          <t>ARS</t>
        </is>
      </c>
      <c r="C141" s="6" t="inlineStr">
        <is>
          <t>2 Costos de Explotación</t>
        </is>
      </c>
      <c r="D141" s="6" t="inlineStr">
        <is>
          <t>2.1 Remuneraciones</t>
        </is>
      </c>
      <c r="E141" s="6" t="inlineStr">
        <is>
          <t>Operadores</t>
        </is>
      </c>
      <c r="F141" s="6" t="inlineStr">
        <is>
          <t>pos_sal</t>
        </is>
      </c>
      <c r="G141" s="24" t="n">
        <v>-6203475.77</v>
      </c>
      <c r="H141" s="24">
        <f>$G141*Supuestos!D$10*(Drivers!D$57/Drivers!$C$57)</f>
        <v/>
      </c>
      <c r="I141" s="24">
        <f>$G141*Supuestos!E$10*(Drivers!E$57/Drivers!$C$57)</f>
        <v/>
      </c>
      <c r="J141" s="24">
        <f>$G141*Supuestos!F$10*(Drivers!F$57/Drivers!$C$57)</f>
        <v/>
      </c>
      <c r="K141" s="24">
        <f>$G141*Supuestos!G$10*(Drivers!G$57/Drivers!$C$57)</f>
        <v/>
      </c>
      <c r="L141" s="24">
        <f>$G141*Supuestos!H$10*(Drivers!H$57/Drivers!$C$57)</f>
        <v/>
      </c>
      <c r="M141" s="24">
        <f>$G141*Supuestos!I$10*(Drivers!I$57/Drivers!$C$57)</f>
        <v/>
      </c>
      <c r="N141" s="24">
        <f>$G141*Supuestos!J$10*(Drivers!J$57/Drivers!$C$57)</f>
        <v/>
      </c>
      <c r="O141" s="24">
        <f>$G141*Supuestos!K$10*(Drivers!K$57/Drivers!$C$57)</f>
        <v/>
      </c>
      <c r="P141" s="24">
        <f>$G141*Supuestos!L$10*(Drivers!L$57/Drivers!$C$57)</f>
        <v/>
      </c>
      <c r="Q141" s="24">
        <f>$G141*Supuestos!M$10*(Drivers!M$57/Drivers!$C$57)</f>
        <v/>
      </c>
      <c r="R141" s="24">
        <f>$G141*Supuestos!N$10*(Drivers!N$57/Drivers!$C$57)</f>
        <v/>
      </c>
      <c r="S141" s="24">
        <f>$G141*Supuestos!O$10*(Drivers!O$57/Drivers!$C$57)</f>
        <v/>
      </c>
      <c r="T141" s="24">
        <f>$G141*Supuestos!P$10*(Drivers!P$57/Drivers!$C$57)</f>
        <v/>
      </c>
      <c r="U141" s="24">
        <f>$G141*Supuestos!Q$10*(Drivers!Q$57/Drivers!$C$57)</f>
        <v/>
      </c>
      <c r="V141" s="24">
        <f>$G141*Supuestos!R$10*(Drivers!R$57/Drivers!$C$57)</f>
        <v/>
      </c>
    </row>
    <row r="142">
      <c r="A142" s="6" t="inlineStr">
        <is>
          <t>BNP</t>
        </is>
      </c>
      <c r="B142" s="6" t="inlineStr">
        <is>
          <t>ARS</t>
        </is>
      </c>
      <c r="C142" s="6" t="inlineStr">
        <is>
          <t>2 Costos de Explotación</t>
        </is>
      </c>
      <c r="D142" s="6" t="inlineStr">
        <is>
          <t>2.1 Remuneraciones</t>
        </is>
      </c>
      <c r="E142" s="6" t="inlineStr">
        <is>
          <t>Supervisión</t>
        </is>
      </c>
      <c r="F142" s="6" t="inlineStr">
        <is>
          <t>pos_sal</t>
        </is>
      </c>
      <c r="G142" s="24" t="n">
        <v>-1390097.23</v>
      </c>
      <c r="H142" s="24">
        <f>$G142*Supuestos!D$10*(Drivers!D$57/Drivers!$C$57)</f>
        <v/>
      </c>
      <c r="I142" s="24">
        <f>$G142*Supuestos!E$10*(Drivers!E$57/Drivers!$C$57)</f>
        <v/>
      </c>
      <c r="J142" s="24">
        <f>$G142*Supuestos!F$10*(Drivers!F$57/Drivers!$C$57)</f>
        <v/>
      </c>
      <c r="K142" s="24">
        <f>$G142*Supuestos!G$10*(Drivers!G$57/Drivers!$C$57)</f>
        <v/>
      </c>
      <c r="L142" s="24">
        <f>$G142*Supuestos!H$10*(Drivers!H$57/Drivers!$C$57)</f>
        <v/>
      </c>
      <c r="M142" s="24">
        <f>$G142*Supuestos!I$10*(Drivers!I$57/Drivers!$C$57)</f>
        <v/>
      </c>
      <c r="N142" s="24">
        <f>$G142*Supuestos!J$10*(Drivers!J$57/Drivers!$C$57)</f>
        <v/>
      </c>
      <c r="O142" s="24">
        <f>$G142*Supuestos!K$10*(Drivers!K$57/Drivers!$C$57)</f>
        <v/>
      </c>
      <c r="P142" s="24">
        <f>$G142*Supuestos!L$10*(Drivers!L$57/Drivers!$C$57)</f>
        <v/>
      </c>
      <c r="Q142" s="24">
        <f>$G142*Supuestos!M$10*(Drivers!M$57/Drivers!$C$57)</f>
        <v/>
      </c>
      <c r="R142" s="24">
        <f>$G142*Supuestos!N$10*(Drivers!N$57/Drivers!$C$57)</f>
        <v/>
      </c>
      <c r="S142" s="24">
        <f>$G142*Supuestos!O$10*(Drivers!O$57/Drivers!$C$57)</f>
        <v/>
      </c>
      <c r="T142" s="24">
        <f>$G142*Supuestos!P$10*(Drivers!P$57/Drivers!$C$57)</f>
        <v/>
      </c>
      <c r="U142" s="24">
        <f>$G142*Supuestos!Q$10*(Drivers!Q$57/Drivers!$C$57)</f>
        <v/>
      </c>
      <c r="V142" s="24">
        <f>$G142*Supuestos!R$10*(Drivers!R$57/Drivers!$C$57)</f>
        <v/>
      </c>
    </row>
    <row r="143">
      <c r="A143" s="6" t="inlineStr">
        <is>
          <t>BNP</t>
        </is>
      </c>
      <c r="B143" s="6" t="inlineStr">
        <is>
          <t>ARS</t>
        </is>
      </c>
      <c r="C143" s="6" t="inlineStr">
        <is>
          <t>2 Costos de Explotación</t>
        </is>
      </c>
      <c r="D143" s="6" t="inlineStr">
        <is>
          <t>2.1 Remuneraciones</t>
        </is>
      </c>
      <c r="E143" s="6" t="inlineStr">
        <is>
          <t>Calidad</t>
        </is>
      </c>
      <c r="F143" s="6" t="inlineStr">
        <is>
          <t>pos_sal</t>
        </is>
      </c>
      <c r="G143" s="24" t="n">
        <v>-328840.09</v>
      </c>
      <c r="H143" s="24">
        <f>$G143*Supuestos!D$10*(Drivers!D$57/Drivers!$C$57)</f>
        <v/>
      </c>
      <c r="I143" s="24">
        <f>$G143*Supuestos!E$10*(Drivers!E$57/Drivers!$C$57)</f>
        <v/>
      </c>
      <c r="J143" s="24">
        <f>$G143*Supuestos!F$10*(Drivers!F$57/Drivers!$C$57)</f>
        <v/>
      </c>
      <c r="K143" s="24">
        <f>$G143*Supuestos!G$10*(Drivers!G$57/Drivers!$C$57)</f>
        <v/>
      </c>
      <c r="L143" s="24">
        <f>$G143*Supuestos!H$10*(Drivers!H$57/Drivers!$C$57)</f>
        <v/>
      </c>
      <c r="M143" s="24">
        <f>$G143*Supuestos!I$10*(Drivers!I$57/Drivers!$C$57)</f>
        <v/>
      </c>
      <c r="N143" s="24">
        <f>$G143*Supuestos!J$10*(Drivers!J$57/Drivers!$C$57)</f>
        <v/>
      </c>
      <c r="O143" s="24">
        <f>$G143*Supuestos!K$10*(Drivers!K$57/Drivers!$C$57)</f>
        <v/>
      </c>
      <c r="P143" s="24">
        <f>$G143*Supuestos!L$10*(Drivers!L$57/Drivers!$C$57)</f>
        <v/>
      </c>
      <c r="Q143" s="24">
        <f>$G143*Supuestos!M$10*(Drivers!M$57/Drivers!$C$57)</f>
        <v/>
      </c>
      <c r="R143" s="24">
        <f>$G143*Supuestos!N$10*(Drivers!N$57/Drivers!$C$57)</f>
        <v/>
      </c>
      <c r="S143" s="24">
        <f>$G143*Supuestos!O$10*(Drivers!O$57/Drivers!$C$57)</f>
        <v/>
      </c>
      <c r="T143" s="24">
        <f>$G143*Supuestos!P$10*(Drivers!P$57/Drivers!$C$57)</f>
        <v/>
      </c>
      <c r="U143" s="24">
        <f>$G143*Supuestos!Q$10*(Drivers!Q$57/Drivers!$C$57)</f>
        <v/>
      </c>
      <c r="V143" s="24">
        <f>$G143*Supuestos!R$10*(Drivers!R$57/Drivers!$C$57)</f>
        <v/>
      </c>
    </row>
    <row r="144">
      <c r="A144" s="6" t="inlineStr">
        <is>
          <t>BNP</t>
        </is>
      </c>
      <c r="B144" s="6" t="inlineStr">
        <is>
          <t>ARS</t>
        </is>
      </c>
      <c r="C144" s="6" t="inlineStr">
        <is>
          <t>2 Costos de Explotación</t>
        </is>
      </c>
      <c r="D144" s="6" t="inlineStr">
        <is>
          <t>2.1 Remuneraciones</t>
        </is>
      </c>
      <c r="E144" s="6" t="inlineStr">
        <is>
          <t>Back Office</t>
        </is>
      </c>
      <c r="F144" s="6" t="inlineStr">
        <is>
          <t>pos_sal</t>
        </is>
      </c>
      <c r="G144" s="24" t="n">
        <v>-224209.23</v>
      </c>
      <c r="H144" s="24">
        <f>$G144*Supuestos!D$10*(Drivers!D$57/Drivers!$C$57)</f>
        <v/>
      </c>
      <c r="I144" s="24">
        <f>$G144*Supuestos!E$10*(Drivers!E$57/Drivers!$C$57)</f>
        <v/>
      </c>
      <c r="J144" s="24">
        <f>$G144*Supuestos!F$10*(Drivers!F$57/Drivers!$C$57)</f>
        <v/>
      </c>
      <c r="K144" s="24">
        <f>$G144*Supuestos!G$10*(Drivers!G$57/Drivers!$C$57)</f>
        <v/>
      </c>
      <c r="L144" s="24">
        <f>$G144*Supuestos!H$10*(Drivers!H$57/Drivers!$C$57)</f>
        <v/>
      </c>
      <c r="M144" s="24">
        <f>$G144*Supuestos!I$10*(Drivers!I$57/Drivers!$C$57)</f>
        <v/>
      </c>
      <c r="N144" s="24">
        <f>$G144*Supuestos!J$10*(Drivers!J$57/Drivers!$C$57)</f>
        <v/>
      </c>
      <c r="O144" s="24">
        <f>$G144*Supuestos!K$10*(Drivers!K$57/Drivers!$C$57)</f>
        <v/>
      </c>
      <c r="P144" s="24">
        <f>$G144*Supuestos!L$10*(Drivers!L$57/Drivers!$C$57)</f>
        <v/>
      </c>
      <c r="Q144" s="24">
        <f>$G144*Supuestos!M$10*(Drivers!M$57/Drivers!$C$57)</f>
        <v/>
      </c>
      <c r="R144" s="24">
        <f>$G144*Supuestos!N$10*(Drivers!N$57/Drivers!$C$57)</f>
        <v/>
      </c>
      <c r="S144" s="24">
        <f>$G144*Supuestos!O$10*(Drivers!O$57/Drivers!$C$57)</f>
        <v/>
      </c>
      <c r="T144" s="24">
        <f>$G144*Supuestos!P$10*(Drivers!P$57/Drivers!$C$57)</f>
        <v/>
      </c>
      <c r="U144" s="24">
        <f>$G144*Supuestos!Q$10*(Drivers!Q$57/Drivers!$C$57)</f>
        <v/>
      </c>
      <c r="V144" s="24">
        <f>$G144*Supuestos!R$10*(Drivers!R$57/Drivers!$C$57)</f>
        <v/>
      </c>
    </row>
    <row r="145">
      <c r="A145" s="6" t="inlineStr">
        <is>
          <t>BNP</t>
        </is>
      </c>
      <c r="B145" s="6" t="inlineStr">
        <is>
          <t>ARS</t>
        </is>
      </c>
      <c r="C145" s="6" t="inlineStr">
        <is>
          <t>2 Costos de Explotación</t>
        </is>
      </c>
      <c r="D145" s="6" t="inlineStr">
        <is>
          <t>2.1 Remuneraciones</t>
        </is>
      </c>
      <c r="E145" s="6" t="inlineStr">
        <is>
          <t>Ejecutivos de cuenta</t>
        </is>
      </c>
      <c r="F145" s="6" t="inlineStr">
        <is>
          <t>pos_sal</t>
        </is>
      </c>
      <c r="G145" s="24" t="n">
        <v>-425998.05</v>
      </c>
      <c r="H145" s="24">
        <f>$G145*Supuestos!D$10*(Drivers!D$57/Drivers!$C$57)</f>
        <v/>
      </c>
      <c r="I145" s="24">
        <f>$G145*Supuestos!E$10*(Drivers!E$57/Drivers!$C$57)</f>
        <v/>
      </c>
      <c r="J145" s="24">
        <f>$G145*Supuestos!F$10*(Drivers!F$57/Drivers!$C$57)</f>
        <v/>
      </c>
      <c r="K145" s="24">
        <f>$G145*Supuestos!G$10*(Drivers!G$57/Drivers!$C$57)</f>
        <v/>
      </c>
      <c r="L145" s="24">
        <f>$G145*Supuestos!H$10*(Drivers!H$57/Drivers!$C$57)</f>
        <v/>
      </c>
      <c r="M145" s="24">
        <f>$G145*Supuestos!I$10*(Drivers!I$57/Drivers!$C$57)</f>
        <v/>
      </c>
      <c r="N145" s="24">
        <f>$G145*Supuestos!J$10*(Drivers!J$57/Drivers!$C$57)</f>
        <v/>
      </c>
      <c r="O145" s="24">
        <f>$G145*Supuestos!K$10*(Drivers!K$57/Drivers!$C$57)</f>
        <v/>
      </c>
      <c r="P145" s="24">
        <f>$G145*Supuestos!L$10*(Drivers!L$57/Drivers!$C$57)</f>
        <v/>
      </c>
      <c r="Q145" s="24">
        <f>$G145*Supuestos!M$10*(Drivers!M$57/Drivers!$C$57)</f>
        <v/>
      </c>
      <c r="R145" s="24">
        <f>$G145*Supuestos!N$10*(Drivers!N$57/Drivers!$C$57)</f>
        <v/>
      </c>
      <c r="S145" s="24">
        <f>$G145*Supuestos!O$10*(Drivers!O$57/Drivers!$C$57)</f>
        <v/>
      </c>
      <c r="T145" s="24">
        <f>$G145*Supuestos!P$10*(Drivers!P$57/Drivers!$C$57)</f>
        <v/>
      </c>
      <c r="U145" s="24">
        <f>$G145*Supuestos!Q$10*(Drivers!Q$57/Drivers!$C$57)</f>
        <v/>
      </c>
      <c r="V145" s="24">
        <f>$G145*Supuestos!R$10*(Drivers!R$57/Drivers!$C$57)</f>
        <v/>
      </c>
    </row>
    <row r="146">
      <c r="A146" s="6" t="inlineStr">
        <is>
          <t>BNP</t>
        </is>
      </c>
      <c r="B146" s="6" t="inlineStr">
        <is>
          <t>ARS</t>
        </is>
      </c>
      <c r="C146" s="6" t="inlineStr">
        <is>
          <t>2 Costos de Explotación</t>
        </is>
      </c>
      <c r="D146" s="6" t="inlineStr">
        <is>
          <t>2.1 Remuneraciones</t>
        </is>
      </c>
      <c r="E146" s="6" t="inlineStr">
        <is>
          <t>Gerencia de Operaciones</t>
        </is>
      </c>
      <c r="F146" s="6" t="inlineStr">
        <is>
          <t>pos_sal</t>
        </is>
      </c>
      <c r="G146" s="24" t="n">
        <v>-478313.14</v>
      </c>
      <c r="H146" s="24">
        <f>$G146*Supuestos!D$10*(Drivers!D$57/Drivers!$C$57)</f>
        <v/>
      </c>
      <c r="I146" s="24">
        <f>$G146*Supuestos!E$10*(Drivers!E$57/Drivers!$C$57)</f>
        <v/>
      </c>
      <c r="J146" s="24">
        <f>$G146*Supuestos!F$10*(Drivers!F$57/Drivers!$C$57)</f>
        <v/>
      </c>
      <c r="K146" s="24">
        <f>$G146*Supuestos!G$10*(Drivers!G$57/Drivers!$C$57)</f>
        <v/>
      </c>
      <c r="L146" s="24">
        <f>$G146*Supuestos!H$10*(Drivers!H$57/Drivers!$C$57)</f>
        <v/>
      </c>
      <c r="M146" s="24">
        <f>$G146*Supuestos!I$10*(Drivers!I$57/Drivers!$C$57)</f>
        <v/>
      </c>
      <c r="N146" s="24">
        <f>$G146*Supuestos!J$10*(Drivers!J$57/Drivers!$C$57)</f>
        <v/>
      </c>
      <c r="O146" s="24">
        <f>$G146*Supuestos!K$10*(Drivers!K$57/Drivers!$C$57)</f>
        <v/>
      </c>
      <c r="P146" s="24">
        <f>$G146*Supuestos!L$10*(Drivers!L$57/Drivers!$C$57)</f>
        <v/>
      </c>
      <c r="Q146" s="24">
        <f>$G146*Supuestos!M$10*(Drivers!M$57/Drivers!$C$57)</f>
        <v/>
      </c>
      <c r="R146" s="24">
        <f>$G146*Supuestos!N$10*(Drivers!N$57/Drivers!$C$57)</f>
        <v/>
      </c>
      <c r="S146" s="24">
        <f>$G146*Supuestos!O$10*(Drivers!O$57/Drivers!$C$57)</f>
        <v/>
      </c>
      <c r="T146" s="24">
        <f>$G146*Supuestos!P$10*(Drivers!P$57/Drivers!$C$57)</f>
        <v/>
      </c>
      <c r="U146" s="24">
        <f>$G146*Supuestos!Q$10*(Drivers!Q$57/Drivers!$C$57)</f>
        <v/>
      </c>
      <c r="V146" s="24">
        <f>$G146*Supuestos!R$10*(Drivers!R$57/Drivers!$C$57)</f>
        <v/>
      </c>
    </row>
    <row r="147">
      <c r="A147" s="6" t="inlineStr">
        <is>
          <t>BNP</t>
        </is>
      </c>
      <c r="B147" s="6" t="inlineStr">
        <is>
          <t>ARS</t>
        </is>
      </c>
      <c r="C147" s="6" t="inlineStr">
        <is>
          <t>2 Costos de Explotación</t>
        </is>
      </c>
      <c r="D147" s="6" t="inlineStr">
        <is>
          <t>2.1 Remuneraciones</t>
        </is>
      </c>
      <c r="E147" s="6" t="inlineStr">
        <is>
          <t>Indemnizaciones</t>
        </is>
      </c>
      <c r="F147" s="6" t="inlineStr">
        <is>
          <t>zero</t>
        </is>
      </c>
      <c r="G147" s="24" t="n">
        <v>-75088.38</v>
      </c>
      <c r="H147" s="24">
        <f>0</f>
        <v/>
      </c>
      <c r="I147" s="24">
        <f>0</f>
        <v/>
      </c>
      <c r="J147" s="24">
        <f>0</f>
        <v/>
      </c>
      <c r="K147" s="24">
        <f>0</f>
        <v/>
      </c>
      <c r="L147" s="24">
        <f>0</f>
        <v/>
      </c>
      <c r="M147" s="24">
        <f>0</f>
        <v/>
      </c>
      <c r="N147" s="24">
        <f>0</f>
        <v/>
      </c>
      <c r="O147" s="24">
        <f>0</f>
        <v/>
      </c>
      <c r="P147" s="24">
        <f>0</f>
        <v/>
      </c>
      <c r="Q147" s="24">
        <f>0</f>
        <v/>
      </c>
      <c r="R147" s="24">
        <f>0</f>
        <v/>
      </c>
      <c r="S147" s="24">
        <f>0</f>
        <v/>
      </c>
      <c r="T147" s="24">
        <f>0</f>
        <v/>
      </c>
      <c r="U147" s="24">
        <f>0</f>
        <v/>
      </c>
      <c r="V147" s="24">
        <f>0</f>
        <v/>
      </c>
    </row>
    <row r="148">
      <c r="A148" s="6" t="inlineStr">
        <is>
          <t>BNP</t>
        </is>
      </c>
      <c r="B148" s="6" t="inlineStr">
        <is>
          <t>ARS</t>
        </is>
      </c>
      <c r="C148" s="6" t="inlineStr">
        <is>
          <t>2 Costos de Explotación</t>
        </is>
      </c>
      <c r="D148" s="6" t="inlineStr">
        <is>
          <t>2.2 Servicios de Terceros</t>
        </is>
      </c>
      <c r="E148" s="6" t="inlineStr">
        <is>
          <t>Posiciones Paraguay</t>
        </is>
      </c>
      <c r="F148" s="6" t="inlineStr">
        <is>
          <t>pos_usd</t>
        </is>
      </c>
      <c r="G148" s="24" t="n">
        <v>-2661750</v>
      </c>
      <c r="H148" s="24">
        <f>$G148*Supuestos!D$8*(Drivers!D$57/Drivers!$C$57)</f>
        <v/>
      </c>
      <c r="I148" s="24">
        <f>$G148*Supuestos!E$8*(Drivers!E$57/Drivers!$C$57)</f>
        <v/>
      </c>
      <c r="J148" s="24">
        <f>$G148*Supuestos!F$8*(Drivers!F$57/Drivers!$C$57)</f>
        <v/>
      </c>
      <c r="K148" s="24">
        <f>$G148*Supuestos!G$8*(Drivers!G$57/Drivers!$C$57)</f>
        <v/>
      </c>
      <c r="L148" s="24">
        <f>$G148*Supuestos!H$8*(Drivers!H$57/Drivers!$C$57)</f>
        <v/>
      </c>
      <c r="M148" s="24">
        <f>$G148*Supuestos!I$8*(Drivers!I$57/Drivers!$C$57)</f>
        <v/>
      </c>
      <c r="N148" s="24">
        <f>$G148*Supuestos!J$8*(Drivers!J$57/Drivers!$C$57)</f>
        <v/>
      </c>
      <c r="O148" s="24">
        <f>$G148*Supuestos!K$8*(Drivers!K$57/Drivers!$C$57)</f>
        <v/>
      </c>
      <c r="P148" s="24">
        <f>$G148*Supuestos!L$8*(Drivers!L$57/Drivers!$C$57)</f>
        <v/>
      </c>
      <c r="Q148" s="24">
        <f>$G148*Supuestos!M$8*(Drivers!M$57/Drivers!$C$57)</f>
        <v/>
      </c>
      <c r="R148" s="24">
        <f>$G148*Supuestos!N$8*(Drivers!N$57/Drivers!$C$57)</f>
        <v/>
      </c>
      <c r="S148" s="24">
        <f>$G148*Supuestos!O$8*(Drivers!O$57/Drivers!$C$57)</f>
        <v/>
      </c>
      <c r="T148" s="24">
        <f>$G148*Supuestos!P$8*(Drivers!P$57/Drivers!$C$57)</f>
        <v/>
      </c>
      <c r="U148" s="24">
        <f>$G148*Supuestos!Q$8*(Drivers!Q$57/Drivers!$C$57)</f>
        <v/>
      </c>
      <c r="V148" s="24">
        <f>$G148*Supuestos!R$8*(Drivers!R$57/Drivers!$C$57)</f>
        <v/>
      </c>
    </row>
    <row r="149">
      <c r="A149" s="6" t="inlineStr">
        <is>
          <t>BNP</t>
        </is>
      </c>
      <c r="B149" s="6" t="inlineStr">
        <is>
          <t>ARS</t>
        </is>
      </c>
      <c r="C149" s="6" t="inlineStr">
        <is>
          <t>2 Costos de Explotación</t>
        </is>
      </c>
      <c r="D149" s="6" t="inlineStr">
        <is>
          <t>2.3 Licencias</t>
        </is>
      </c>
      <c r="E149" s="6" t="inlineStr">
        <is>
          <t>Licencias discador/CRM</t>
        </is>
      </c>
      <c r="F149" s="6" t="inlineStr">
        <is>
          <t>pos_usd</t>
        </is>
      </c>
      <c r="G149" s="24" t="n">
        <v>-614250</v>
      </c>
      <c r="H149" s="24">
        <f>$G149*Supuestos!D$8*(Drivers!D$57/Drivers!$C$57)</f>
        <v/>
      </c>
      <c r="I149" s="24">
        <f>$G149*Supuestos!E$8*(Drivers!E$57/Drivers!$C$57)</f>
        <v/>
      </c>
      <c r="J149" s="24">
        <f>$G149*Supuestos!F$8*(Drivers!F$57/Drivers!$C$57)</f>
        <v/>
      </c>
      <c r="K149" s="24">
        <f>$G149*Supuestos!G$8*(Drivers!G$57/Drivers!$C$57)</f>
        <v/>
      </c>
      <c r="L149" s="24">
        <f>$G149*Supuestos!H$8*(Drivers!H$57/Drivers!$C$57)</f>
        <v/>
      </c>
      <c r="M149" s="24">
        <f>$G149*Supuestos!I$8*(Drivers!I$57/Drivers!$C$57)</f>
        <v/>
      </c>
      <c r="N149" s="24">
        <f>$G149*Supuestos!J$8*(Drivers!J$57/Drivers!$C$57)</f>
        <v/>
      </c>
      <c r="O149" s="24">
        <f>$G149*Supuestos!K$8*(Drivers!K$57/Drivers!$C$57)</f>
        <v/>
      </c>
      <c r="P149" s="24">
        <f>$G149*Supuestos!L$8*(Drivers!L$57/Drivers!$C$57)</f>
        <v/>
      </c>
      <c r="Q149" s="24">
        <f>$G149*Supuestos!M$8*(Drivers!M$57/Drivers!$C$57)</f>
        <v/>
      </c>
      <c r="R149" s="24">
        <f>$G149*Supuestos!N$8*(Drivers!N$57/Drivers!$C$57)</f>
        <v/>
      </c>
      <c r="S149" s="24">
        <f>$G149*Supuestos!O$8*(Drivers!O$57/Drivers!$C$57)</f>
        <v/>
      </c>
      <c r="T149" s="24">
        <f>$G149*Supuestos!P$8*(Drivers!P$57/Drivers!$C$57)</f>
        <v/>
      </c>
      <c r="U149" s="24">
        <f>$G149*Supuestos!Q$8*(Drivers!Q$57/Drivers!$C$57)</f>
        <v/>
      </c>
      <c r="V149" s="24">
        <f>$G149*Supuestos!R$8*(Drivers!R$57/Drivers!$C$57)</f>
        <v/>
      </c>
    </row>
    <row r="150">
      <c r="A150" s="6" t="inlineStr">
        <is>
          <t>BNP</t>
        </is>
      </c>
      <c r="B150" s="6" t="inlineStr">
        <is>
          <t>ARS</t>
        </is>
      </c>
      <c r="C150" s="6" t="inlineStr">
        <is>
          <t>2 Costos de Explotación</t>
        </is>
      </c>
      <c r="D150" s="6" t="inlineStr">
        <is>
          <t>2.5 Telefonía</t>
        </is>
      </c>
      <c r="E150" s="6" t="inlineStr">
        <is>
          <t>Telefonía celular</t>
        </is>
      </c>
      <c r="F150" s="6" t="inlineStr">
        <is>
          <t>pos_inf</t>
        </is>
      </c>
      <c r="G150" s="24" t="n">
        <v>-390381.48</v>
      </c>
      <c r="H150" s="24">
        <f>$G150*Supuestos!D$6*(Drivers!D$57/Drivers!$C$57)</f>
        <v/>
      </c>
      <c r="I150" s="24">
        <f>$G150*Supuestos!E$6*(Drivers!E$57/Drivers!$C$57)</f>
        <v/>
      </c>
      <c r="J150" s="24">
        <f>$G150*Supuestos!F$6*(Drivers!F$57/Drivers!$C$57)</f>
        <v/>
      </c>
      <c r="K150" s="24">
        <f>$G150*Supuestos!G$6*(Drivers!G$57/Drivers!$C$57)</f>
        <v/>
      </c>
      <c r="L150" s="24">
        <f>$G150*Supuestos!H$6*(Drivers!H$57/Drivers!$C$57)</f>
        <v/>
      </c>
      <c r="M150" s="24">
        <f>$G150*Supuestos!I$6*(Drivers!I$57/Drivers!$C$57)</f>
        <v/>
      </c>
      <c r="N150" s="24">
        <f>$G150*Supuestos!J$6*(Drivers!J$57/Drivers!$C$57)</f>
        <v/>
      </c>
      <c r="O150" s="24">
        <f>$G150*Supuestos!K$6*(Drivers!K$57/Drivers!$C$57)</f>
        <v/>
      </c>
      <c r="P150" s="24">
        <f>$G150*Supuestos!L$6*(Drivers!L$57/Drivers!$C$57)</f>
        <v/>
      </c>
      <c r="Q150" s="24">
        <f>$G150*Supuestos!M$6*(Drivers!M$57/Drivers!$C$57)</f>
        <v/>
      </c>
      <c r="R150" s="24">
        <f>$G150*Supuestos!N$6*(Drivers!N$57/Drivers!$C$57)</f>
        <v/>
      </c>
      <c r="S150" s="24">
        <f>$G150*Supuestos!O$6*(Drivers!O$57/Drivers!$C$57)</f>
        <v/>
      </c>
      <c r="T150" s="24">
        <f>$G150*Supuestos!P$6*(Drivers!P$57/Drivers!$C$57)</f>
        <v/>
      </c>
      <c r="U150" s="24">
        <f>$G150*Supuestos!Q$6*(Drivers!Q$57/Drivers!$C$57)</f>
        <v/>
      </c>
      <c r="V150" s="24">
        <f>$G150*Supuestos!R$6*(Drivers!R$57/Drivers!$C$57)</f>
        <v/>
      </c>
    </row>
    <row r="151">
      <c r="A151" s="6" t="inlineStr">
        <is>
          <t>BNP</t>
        </is>
      </c>
      <c r="B151" s="6" t="inlineStr">
        <is>
          <t>ARS</t>
        </is>
      </c>
      <c r="C151" s="6" t="inlineStr">
        <is>
          <t>2 Costos de Explotación</t>
        </is>
      </c>
      <c r="D151" s="6" t="inlineStr">
        <is>
          <t>2.5 Telefonía</t>
        </is>
      </c>
      <c r="E151" s="6" t="inlineStr">
        <is>
          <t>Telefonía LDN</t>
        </is>
      </c>
      <c r="F151" s="6" t="inlineStr">
        <is>
          <t>pos_inf</t>
        </is>
      </c>
      <c r="G151" s="24" t="n">
        <v>-100383.86</v>
      </c>
      <c r="H151" s="24">
        <f>$G151*Supuestos!D$6*(Drivers!D$57/Drivers!$C$57)</f>
        <v/>
      </c>
      <c r="I151" s="24">
        <f>$G151*Supuestos!E$6*(Drivers!E$57/Drivers!$C$57)</f>
        <v/>
      </c>
      <c r="J151" s="24">
        <f>$G151*Supuestos!F$6*(Drivers!F$57/Drivers!$C$57)</f>
        <v/>
      </c>
      <c r="K151" s="24">
        <f>$G151*Supuestos!G$6*(Drivers!G$57/Drivers!$C$57)</f>
        <v/>
      </c>
      <c r="L151" s="24">
        <f>$G151*Supuestos!H$6*(Drivers!H$57/Drivers!$C$57)</f>
        <v/>
      </c>
      <c r="M151" s="24">
        <f>$G151*Supuestos!I$6*(Drivers!I$57/Drivers!$C$57)</f>
        <v/>
      </c>
      <c r="N151" s="24">
        <f>$G151*Supuestos!J$6*(Drivers!J$57/Drivers!$C$57)</f>
        <v/>
      </c>
      <c r="O151" s="24">
        <f>$G151*Supuestos!K$6*(Drivers!K$57/Drivers!$C$57)</f>
        <v/>
      </c>
      <c r="P151" s="24">
        <f>$G151*Supuestos!L$6*(Drivers!L$57/Drivers!$C$57)</f>
        <v/>
      </c>
      <c r="Q151" s="24">
        <f>$G151*Supuestos!M$6*(Drivers!M$57/Drivers!$C$57)</f>
        <v/>
      </c>
      <c r="R151" s="24">
        <f>$G151*Supuestos!N$6*(Drivers!N$57/Drivers!$C$57)</f>
        <v/>
      </c>
      <c r="S151" s="24">
        <f>$G151*Supuestos!O$6*(Drivers!O$57/Drivers!$C$57)</f>
        <v/>
      </c>
      <c r="T151" s="24">
        <f>$G151*Supuestos!P$6*(Drivers!P$57/Drivers!$C$57)</f>
        <v/>
      </c>
      <c r="U151" s="24">
        <f>$G151*Supuestos!Q$6*(Drivers!Q$57/Drivers!$C$57)</f>
        <v/>
      </c>
      <c r="V151" s="24">
        <f>$G151*Supuestos!R$6*(Drivers!R$57/Drivers!$C$57)</f>
        <v/>
      </c>
    </row>
    <row r="152">
      <c r="A152" s="6" t="inlineStr">
        <is>
          <t>BNP</t>
        </is>
      </c>
      <c r="B152" s="6" t="inlineStr">
        <is>
          <t>ARS</t>
        </is>
      </c>
      <c r="C152" s="6" t="inlineStr">
        <is>
          <t>2 Costos de Explotación</t>
        </is>
      </c>
      <c r="D152" s="6" t="inlineStr">
        <is>
          <t>2.5 Telefonía</t>
        </is>
      </c>
      <c r="E152" s="6" t="inlineStr">
        <is>
          <t>Telefonía local y 0800</t>
        </is>
      </c>
      <c r="F152" s="6" t="inlineStr">
        <is>
          <t>pos_inf</t>
        </is>
      </c>
      <c r="G152" s="24" t="n">
        <v>-66922.34</v>
      </c>
      <c r="H152" s="24">
        <f>$G152*Supuestos!D$6*(Drivers!D$57/Drivers!$C$57)</f>
        <v/>
      </c>
      <c r="I152" s="24">
        <f>$G152*Supuestos!E$6*(Drivers!E$57/Drivers!$C$57)</f>
        <v/>
      </c>
      <c r="J152" s="24">
        <f>$G152*Supuestos!F$6*(Drivers!F$57/Drivers!$C$57)</f>
        <v/>
      </c>
      <c r="K152" s="24">
        <f>$G152*Supuestos!G$6*(Drivers!G$57/Drivers!$C$57)</f>
        <v/>
      </c>
      <c r="L152" s="24">
        <f>$G152*Supuestos!H$6*(Drivers!H$57/Drivers!$C$57)</f>
        <v/>
      </c>
      <c r="M152" s="24">
        <f>$G152*Supuestos!I$6*(Drivers!I$57/Drivers!$C$57)</f>
        <v/>
      </c>
      <c r="N152" s="24">
        <f>$G152*Supuestos!J$6*(Drivers!J$57/Drivers!$C$57)</f>
        <v/>
      </c>
      <c r="O152" s="24">
        <f>$G152*Supuestos!K$6*(Drivers!K$57/Drivers!$C$57)</f>
        <v/>
      </c>
      <c r="P152" s="24">
        <f>$G152*Supuestos!L$6*(Drivers!L$57/Drivers!$C$57)</f>
        <v/>
      </c>
      <c r="Q152" s="24">
        <f>$G152*Supuestos!M$6*(Drivers!M$57/Drivers!$C$57)</f>
        <v/>
      </c>
      <c r="R152" s="24">
        <f>$G152*Supuestos!N$6*(Drivers!N$57/Drivers!$C$57)</f>
        <v/>
      </c>
      <c r="S152" s="24">
        <f>$G152*Supuestos!O$6*(Drivers!O$57/Drivers!$C$57)</f>
        <v/>
      </c>
      <c r="T152" s="24">
        <f>$G152*Supuestos!P$6*(Drivers!P$57/Drivers!$C$57)</f>
        <v/>
      </c>
      <c r="U152" s="24">
        <f>$G152*Supuestos!Q$6*(Drivers!Q$57/Drivers!$C$57)</f>
        <v/>
      </c>
      <c r="V152" s="24">
        <f>$G152*Supuestos!R$6*(Drivers!R$57/Drivers!$C$57)</f>
        <v/>
      </c>
    </row>
    <row r="153">
      <c r="A153" s="6" t="inlineStr">
        <is>
          <t>BNP</t>
        </is>
      </c>
      <c r="B153" s="6" t="inlineStr">
        <is>
          <t>ARS</t>
        </is>
      </c>
      <c r="C153" s="6" t="inlineStr">
        <is>
          <t>2 Costos de Explotación</t>
        </is>
      </c>
      <c r="D153" s="6" t="inlineStr">
        <is>
          <t>2.6 SMS</t>
        </is>
      </c>
      <c r="E153" s="6" t="inlineStr">
        <is>
          <t>SMS</t>
        </is>
      </c>
      <c r="F153" s="6" t="inlineStr">
        <is>
          <t>sms</t>
        </is>
      </c>
      <c r="G153" s="24" t="n">
        <v>-588093.3</v>
      </c>
      <c r="H153" s="24">
        <f>$G153*Supuestos!D$12*(Drivers!D$54/100)</f>
        <v/>
      </c>
      <c r="I153" s="24">
        <f>$G153*Supuestos!E$12*(Drivers!E$54/100)</f>
        <v/>
      </c>
      <c r="J153" s="24">
        <f>$G153*Supuestos!F$12*(Drivers!F$54/100)</f>
        <v/>
      </c>
      <c r="K153" s="24">
        <f>$G153*Supuestos!G$12*(Drivers!G$54/100)</f>
        <v/>
      </c>
      <c r="L153" s="24">
        <f>$G153*Supuestos!H$12*(Drivers!H$54/100)</f>
        <v/>
      </c>
      <c r="M153" s="24">
        <f>$G153*Supuestos!I$12*(Drivers!I$54/100)</f>
        <v/>
      </c>
      <c r="N153" s="24">
        <f>$G153*Supuestos!J$12*(Drivers!J$54/100)</f>
        <v/>
      </c>
      <c r="O153" s="24">
        <f>$G153*Supuestos!K$12*(Drivers!K$54/100)</f>
        <v/>
      </c>
      <c r="P153" s="24">
        <f>$G153*Supuestos!L$12*(Drivers!L$54/100)</f>
        <v/>
      </c>
      <c r="Q153" s="24">
        <f>$G153*Supuestos!M$12*(Drivers!M$54/100)</f>
        <v/>
      </c>
      <c r="R153" s="24">
        <f>$G153*Supuestos!N$12*(Drivers!N$54/100)</f>
        <v/>
      </c>
      <c r="S153" s="24">
        <f>$G153*Supuestos!O$12*(Drivers!O$54/100)</f>
        <v/>
      </c>
      <c r="T153" s="24">
        <f>$G153*Supuestos!P$12*(Drivers!P$54/100)</f>
        <v/>
      </c>
      <c r="U153" s="24">
        <f>$G153*Supuestos!Q$12*(Drivers!Q$54/100)</f>
        <v/>
      </c>
      <c r="V153" s="24">
        <f>$G153*Supuestos!R$12*(Drivers!R$54/100)</f>
        <v/>
      </c>
    </row>
    <row r="154">
      <c r="A154" s="6" t="inlineStr">
        <is>
          <t>BNP</t>
        </is>
      </c>
      <c r="B154" s="6" t="inlineStr">
        <is>
          <t>ARS</t>
        </is>
      </c>
      <c r="C154" s="6" t="inlineStr">
        <is>
          <t>2 Costos de Explotación</t>
        </is>
      </c>
      <c r="D154" s="6" t="inlineStr">
        <is>
          <t>2.7 Bocas de Cobranza</t>
        </is>
      </c>
      <c r="E154" s="6" t="inlineStr">
        <is>
          <t>Bocas de cobranza</t>
        </is>
      </c>
      <c r="F154" s="6" t="inlineStr">
        <is>
          <t>vol_inf</t>
        </is>
      </c>
      <c r="G154" s="24" t="n">
        <v>-261029.28</v>
      </c>
      <c r="H154" s="24">
        <f>$G154*Supuestos!D$6*(Drivers!D$54/100)</f>
        <v/>
      </c>
      <c r="I154" s="24">
        <f>$G154*Supuestos!E$6*(Drivers!E$54/100)</f>
        <v/>
      </c>
      <c r="J154" s="24">
        <f>$G154*Supuestos!F$6*(Drivers!F$54/100)</f>
        <v/>
      </c>
      <c r="K154" s="24">
        <f>$G154*Supuestos!G$6*(Drivers!G$54/100)</f>
        <v/>
      </c>
      <c r="L154" s="24">
        <f>$G154*Supuestos!H$6*(Drivers!H$54/100)</f>
        <v/>
      </c>
      <c r="M154" s="24">
        <f>$G154*Supuestos!I$6*(Drivers!I$54/100)</f>
        <v/>
      </c>
      <c r="N154" s="24">
        <f>$G154*Supuestos!J$6*(Drivers!J$54/100)</f>
        <v/>
      </c>
      <c r="O154" s="24">
        <f>$G154*Supuestos!K$6*(Drivers!K$54/100)</f>
        <v/>
      </c>
      <c r="P154" s="24">
        <f>$G154*Supuestos!L$6*(Drivers!L$54/100)</f>
        <v/>
      </c>
      <c r="Q154" s="24">
        <f>$G154*Supuestos!M$6*(Drivers!M$54/100)</f>
        <v/>
      </c>
      <c r="R154" s="24">
        <f>$G154*Supuestos!N$6*(Drivers!N$54/100)</f>
        <v/>
      </c>
      <c r="S154" s="24">
        <f>$G154*Supuestos!O$6*(Drivers!O$54/100)</f>
        <v/>
      </c>
      <c r="T154" s="24">
        <f>$G154*Supuestos!P$6*(Drivers!P$54/100)</f>
        <v/>
      </c>
      <c r="U154" s="24">
        <f>$G154*Supuestos!Q$6*(Drivers!Q$54/100)</f>
        <v/>
      </c>
      <c r="V154" s="24">
        <f>$G154*Supuestos!R$6*(Drivers!R$54/100)</f>
        <v/>
      </c>
    </row>
    <row r="155">
      <c r="A155" s="6" t="inlineStr">
        <is>
          <t>BNP</t>
        </is>
      </c>
      <c r="B155" s="6" t="inlineStr">
        <is>
          <t>ARS</t>
        </is>
      </c>
      <c r="C155" s="6" t="inlineStr">
        <is>
          <t>2 Costos de Explotación</t>
        </is>
      </c>
      <c r="D155" s="6" t="inlineStr">
        <is>
          <t>2.8 Mailing</t>
        </is>
      </c>
      <c r="E155" s="6" t="inlineStr">
        <is>
          <t>Mailing</t>
        </is>
      </c>
      <c r="F155" s="6" t="inlineStr">
        <is>
          <t>vol_usd</t>
        </is>
      </c>
      <c r="G155" s="24" t="n">
        <v>-178130.23</v>
      </c>
      <c r="H155" s="24">
        <f>$G155*Supuestos!D$8*(Drivers!D$54/100)</f>
        <v/>
      </c>
      <c r="I155" s="24">
        <f>$G155*Supuestos!E$8*(Drivers!E$54/100)</f>
        <v/>
      </c>
      <c r="J155" s="24">
        <f>$G155*Supuestos!F$8*(Drivers!F$54/100)</f>
        <v/>
      </c>
      <c r="K155" s="24">
        <f>$G155*Supuestos!G$8*(Drivers!G$54/100)</f>
        <v/>
      </c>
      <c r="L155" s="24">
        <f>$G155*Supuestos!H$8*(Drivers!H$54/100)</f>
        <v/>
      </c>
      <c r="M155" s="24">
        <f>$G155*Supuestos!I$8*(Drivers!I$54/100)</f>
        <v/>
      </c>
      <c r="N155" s="24">
        <f>$G155*Supuestos!J$8*(Drivers!J$54/100)</f>
        <v/>
      </c>
      <c r="O155" s="24">
        <f>$G155*Supuestos!K$8*(Drivers!K$54/100)</f>
        <v/>
      </c>
      <c r="P155" s="24">
        <f>$G155*Supuestos!L$8*(Drivers!L$54/100)</f>
        <v/>
      </c>
      <c r="Q155" s="24">
        <f>$G155*Supuestos!M$8*(Drivers!M$54/100)</f>
        <v/>
      </c>
      <c r="R155" s="24">
        <f>$G155*Supuestos!N$8*(Drivers!N$54/100)</f>
        <v/>
      </c>
      <c r="S155" s="24">
        <f>$G155*Supuestos!O$8*(Drivers!O$54/100)</f>
        <v/>
      </c>
      <c r="T155" s="24">
        <f>$G155*Supuestos!P$8*(Drivers!P$54/100)</f>
        <v/>
      </c>
      <c r="U155" s="24">
        <f>$G155*Supuestos!Q$8*(Drivers!Q$54/100)</f>
        <v/>
      </c>
      <c r="V155" s="24">
        <f>$G155*Supuestos!R$8*(Drivers!R$54/100)</f>
        <v/>
      </c>
    </row>
    <row r="156">
      <c r="A156" s="6" t="inlineStr">
        <is>
          <t>BNP</t>
        </is>
      </c>
      <c r="B156" s="6" t="inlineStr">
        <is>
          <t>ARS</t>
        </is>
      </c>
      <c r="C156" s="6" t="inlineStr">
        <is>
          <t>2 Costos de Explotación</t>
        </is>
      </c>
      <c r="D156" s="6" t="inlineStr">
        <is>
          <t>2.9 Informes Comerciales</t>
        </is>
      </c>
      <c r="E156" s="6" t="inlineStr">
        <is>
          <t>Informes comerciales</t>
        </is>
      </c>
      <c r="F156" s="6" t="inlineStr">
        <is>
          <t>vol_inf</t>
        </is>
      </c>
      <c r="G156" s="24" t="n">
        <v>-385739.74</v>
      </c>
      <c r="H156" s="24">
        <f>$G156*Supuestos!D$6*(Drivers!D$54/100)</f>
        <v/>
      </c>
      <c r="I156" s="24">
        <f>$G156*Supuestos!E$6*(Drivers!E$54/100)</f>
        <v/>
      </c>
      <c r="J156" s="24">
        <f>$G156*Supuestos!F$6*(Drivers!F$54/100)</f>
        <v/>
      </c>
      <c r="K156" s="24">
        <f>$G156*Supuestos!G$6*(Drivers!G$54/100)</f>
        <v/>
      </c>
      <c r="L156" s="24">
        <f>$G156*Supuestos!H$6*(Drivers!H$54/100)</f>
        <v/>
      </c>
      <c r="M156" s="24">
        <f>$G156*Supuestos!I$6*(Drivers!I$54/100)</f>
        <v/>
      </c>
      <c r="N156" s="24">
        <f>$G156*Supuestos!J$6*(Drivers!J$54/100)</f>
        <v/>
      </c>
      <c r="O156" s="24">
        <f>$G156*Supuestos!K$6*(Drivers!K$54/100)</f>
        <v/>
      </c>
      <c r="P156" s="24">
        <f>$G156*Supuestos!L$6*(Drivers!L$54/100)</f>
        <v/>
      </c>
      <c r="Q156" s="24">
        <f>$G156*Supuestos!M$6*(Drivers!M$54/100)</f>
        <v/>
      </c>
      <c r="R156" s="24">
        <f>$G156*Supuestos!N$6*(Drivers!N$54/100)</f>
        <v/>
      </c>
      <c r="S156" s="24">
        <f>$G156*Supuestos!O$6*(Drivers!O$54/100)</f>
        <v/>
      </c>
      <c r="T156" s="24">
        <f>$G156*Supuestos!P$6*(Drivers!P$54/100)</f>
        <v/>
      </c>
      <c r="U156" s="24">
        <f>$G156*Supuestos!Q$6*(Drivers!Q$54/100)</f>
        <v/>
      </c>
      <c r="V156" s="24">
        <f>$G156*Supuestos!R$6*(Drivers!R$54/100)</f>
        <v/>
      </c>
    </row>
    <row r="157">
      <c r="A157" s="6" t="inlineStr">
        <is>
          <t>BNP</t>
        </is>
      </c>
      <c r="B157" s="6" t="inlineStr">
        <is>
          <t>ARS</t>
        </is>
      </c>
      <c r="C157" s="6" t="inlineStr">
        <is>
          <t>3 Impuestos Directos</t>
        </is>
      </c>
      <c r="D157" s="6" t="inlineStr">
        <is>
          <t>3.1 Ingresos Brutos</t>
        </is>
      </c>
      <c r="E157" s="6" t="inlineStr">
        <is>
          <t>Ingresos Brutos</t>
        </is>
      </c>
      <c r="F157" s="6" t="inlineStr">
        <is>
          <t>iibb</t>
        </is>
      </c>
      <c r="G157" s="24" t="n">
        <v>-672017.23</v>
      </c>
      <c r="H157" s="24">
        <f>$G157*Supuestos!D$6*(Drivers!D$54/100)*(Drivers!D$55/Drivers!$C$55)*(Drivers!D$56/Drivers!$C$56)*Supuestos!D$13</f>
        <v/>
      </c>
      <c r="I157" s="24">
        <f>$G157*Supuestos!E$6*(Drivers!E$54/100)*(Drivers!E$55/Drivers!$C$55)*(Drivers!E$56/Drivers!$C$56)*Supuestos!E$13</f>
        <v/>
      </c>
      <c r="J157" s="24">
        <f>$G157*Supuestos!F$6*(Drivers!F$54/100)*(Drivers!F$55/Drivers!$C$55)*(Drivers!F$56/Drivers!$C$56)*Supuestos!F$13</f>
        <v/>
      </c>
      <c r="K157" s="24">
        <f>$G157*Supuestos!G$6*(Drivers!G$54/100)*(Drivers!G$55/Drivers!$C$55)*(Drivers!G$56/Drivers!$C$56)*Supuestos!G$13</f>
        <v/>
      </c>
      <c r="L157" s="24">
        <f>$G157*Supuestos!H$6*(Drivers!H$54/100)*(Drivers!H$55/Drivers!$C$55)*(Drivers!H$56/Drivers!$C$56)*Supuestos!H$13</f>
        <v/>
      </c>
      <c r="M157" s="24">
        <f>$G157*Supuestos!I$6*(Drivers!I$54/100)*(Drivers!I$55/Drivers!$C$55)*(Drivers!I$56/Drivers!$C$56)*Supuestos!I$13</f>
        <v/>
      </c>
      <c r="N157" s="24">
        <f>$G157*Supuestos!J$6*(Drivers!J$54/100)*(Drivers!J$55/Drivers!$C$55)*(Drivers!J$56/Drivers!$C$56)*Supuestos!J$13</f>
        <v/>
      </c>
      <c r="O157" s="24">
        <f>$G157*Supuestos!K$6*(Drivers!K$54/100)*(Drivers!K$55/Drivers!$C$55)*(Drivers!K$56/Drivers!$C$56)*Supuestos!K$13</f>
        <v/>
      </c>
      <c r="P157" s="24">
        <f>$G157*Supuestos!L$6*(Drivers!L$54/100)*(Drivers!L$55/Drivers!$C$55)*(Drivers!L$56/Drivers!$C$56)*Supuestos!L$13</f>
        <v/>
      </c>
      <c r="Q157" s="24">
        <f>$G157*Supuestos!M$6*(Drivers!M$54/100)*(Drivers!M$55/Drivers!$C$55)*(Drivers!M$56/Drivers!$C$56)*Supuestos!M$13</f>
        <v/>
      </c>
      <c r="R157" s="24">
        <f>$G157*Supuestos!N$6*(Drivers!N$54/100)*(Drivers!N$55/Drivers!$C$55)*(Drivers!N$56/Drivers!$C$56)*Supuestos!N$13</f>
        <v/>
      </c>
      <c r="S157" s="24">
        <f>$G157*Supuestos!O$6*(Drivers!O$54/100)*(Drivers!O$55/Drivers!$C$55)*(Drivers!O$56/Drivers!$C$56)*Supuestos!O$13</f>
        <v/>
      </c>
      <c r="T157" s="24">
        <f>$G157*Supuestos!P$6*(Drivers!P$54/100)*(Drivers!P$55/Drivers!$C$55)*(Drivers!P$56/Drivers!$C$56)*Supuestos!P$13</f>
        <v/>
      </c>
      <c r="U157" s="24">
        <f>$G157*Supuestos!Q$6*(Drivers!Q$54/100)*(Drivers!Q$55/Drivers!$C$55)*(Drivers!Q$56/Drivers!$C$56)*Supuestos!Q$13</f>
        <v/>
      </c>
      <c r="V157" s="24">
        <f>$G157*Supuestos!R$6*(Drivers!R$54/100)*(Drivers!R$55/Drivers!$C$55)*(Drivers!R$56/Drivers!$C$56)*Supuestos!R$13</f>
        <v/>
      </c>
    </row>
    <row r="158">
      <c r="A158" s="6" t="inlineStr">
        <is>
          <t>POA</t>
        </is>
      </c>
      <c r="B158" s="6" t="inlineStr">
        <is>
          <t>ARS</t>
        </is>
      </c>
      <c r="C158" s="6" t="inlineStr">
        <is>
          <t>1 Ingreso Operacional</t>
        </is>
      </c>
      <c r="D158" s="6" t="inlineStr">
        <is>
          <t>1.1 Ingreso Cobranzas</t>
        </is>
      </c>
      <c r="E158" s="6" t="inlineStr">
        <is>
          <t>Ingreso por recupero</t>
        </is>
      </c>
      <c r="F158" s="6" t="inlineStr">
        <is>
          <t>rev</t>
        </is>
      </c>
      <c r="G158" s="24" t="n">
        <v>13845255.36</v>
      </c>
      <c r="H158" s="24">
        <f>$G158*Supuestos!D$6*(Drivers!D$60/100)*(Drivers!D$61/Drivers!$C$61)*(Drivers!D$62/Drivers!$C$62)*Supuestos!D$13</f>
        <v/>
      </c>
      <c r="I158" s="24">
        <f>$G158*Supuestos!E$6*(Drivers!E$60/100)*(Drivers!E$61/Drivers!$C$61)*(Drivers!E$62/Drivers!$C$62)*Supuestos!E$13</f>
        <v/>
      </c>
      <c r="J158" s="24">
        <f>$G158*Supuestos!F$6*(Drivers!F$60/100)*(Drivers!F$61/Drivers!$C$61)*(Drivers!F$62/Drivers!$C$62)*Supuestos!F$13</f>
        <v/>
      </c>
      <c r="K158" s="24">
        <f>$G158*Supuestos!G$6*(Drivers!G$60/100)*(Drivers!G$61/Drivers!$C$61)*(Drivers!G$62/Drivers!$C$62)*Supuestos!G$13</f>
        <v/>
      </c>
      <c r="L158" s="24">
        <f>$G158*Supuestos!H$6*(Drivers!H$60/100)*(Drivers!H$61/Drivers!$C$61)*(Drivers!H$62/Drivers!$C$62)*Supuestos!H$13</f>
        <v/>
      </c>
      <c r="M158" s="24">
        <f>$G158*Supuestos!I$6*(Drivers!I$60/100)*(Drivers!I$61/Drivers!$C$61)*(Drivers!I$62/Drivers!$C$62)*Supuestos!I$13</f>
        <v/>
      </c>
      <c r="N158" s="24">
        <f>$G158*Supuestos!J$6*(Drivers!J$60/100)*(Drivers!J$61/Drivers!$C$61)*(Drivers!J$62/Drivers!$C$62)*Supuestos!J$13</f>
        <v/>
      </c>
      <c r="O158" s="24">
        <f>$G158*Supuestos!K$6*(Drivers!K$60/100)*(Drivers!K$61/Drivers!$C$61)*(Drivers!K$62/Drivers!$C$62)*Supuestos!K$13</f>
        <v/>
      </c>
      <c r="P158" s="24">
        <f>$G158*Supuestos!L$6*(Drivers!L$60/100)*(Drivers!L$61/Drivers!$C$61)*(Drivers!L$62/Drivers!$C$62)*Supuestos!L$13</f>
        <v/>
      </c>
      <c r="Q158" s="24">
        <f>$G158*Supuestos!M$6*(Drivers!M$60/100)*(Drivers!M$61/Drivers!$C$61)*(Drivers!M$62/Drivers!$C$62)*Supuestos!M$13</f>
        <v/>
      </c>
      <c r="R158" s="24">
        <f>$G158*Supuestos!N$6*(Drivers!N$60/100)*(Drivers!N$61/Drivers!$C$61)*(Drivers!N$62/Drivers!$C$62)*Supuestos!N$13</f>
        <v/>
      </c>
      <c r="S158" s="24">
        <f>$G158*Supuestos!O$6*(Drivers!O$60/100)*(Drivers!O$61/Drivers!$C$61)*(Drivers!O$62/Drivers!$C$62)*Supuestos!O$13</f>
        <v/>
      </c>
      <c r="T158" s="24">
        <f>$G158*Supuestos!P$6*(Drivers!P$60/100)*(Drivers!P$61/Drivers!$C$61)*(Drivers!P$62/Drivers!$C$62)*Supuestos!P$13</f>
        <v/>
      </c>
      <c r="U158" s="24">
        <f>$G158*Supuestos!Q$6*(Drivers!Q$60/100)*(Drivers!Q$61/Drivers!$C$61)*(Drivers!Q$62/Drivers!$C$62)*Supuestos!Q$13</f>
        <v/>
      </c>
      <c r="V158" s="24">
        <f>$G158*Supuestos!R$6*(Drivers!R$60/100)*(Drivers!R$61/Drivers!$C$61)*(Drivers!R$62/Drivers!$C$62)*Supuestos!R$13</f>
        <v/>
      </c>
    </row>
    <row r="159">
      <c r="A159" s="6" t="inlineStr">
        <is>
          <t>POA</t>
        </is>
      </c>
      <c r="B159" s="6" t="inlineStr">
        <is>
          <t>ARS</t>
        </is>
      </c>
      <c r="C159" s="6" t="inlineStr">
        <is>
          <t>2 Costos de Explotación</t>
        </is>
      </c>
      <c r="D159" s="6" t="inlineStr">
        <is>
          <t>2.1 Remuneraciones</t>
        </is>
      </c>
      <c r="E159" s="6" t="inlineStr">
        <is>
          <t>Operadores</t>
        </is>
      </c>
      <c r="F159" s="6" t="inlineStr">
        <is>
          <t>pos_sal</t>
        </is>
      </c>
      <c r="G159" s="24" t="n">
        <v>-4463253.57</v>
      </c>
      <c r="H159" s="24">
        <f>$G159*Supuestos!D$10*(Drivers!D$63/Drivers!$C$63)</f>
        <v/>
      </c>
      <c r="I159" s="24">
        <f>$G159*Supuestos!E$10*(Drivers!E$63/Drivers!$C$63)</f>
        <v/>
      </c>
      <c r="J159" s="24">
        <f>$G159*Supuestos!F$10*(Drivers!F$63/Drivers!$C$63)</f>
        <v/>
      </c>
      <c r="K159" s="24">
        <f>$G159*Supuestos!G$10*(Drivers!G$63/Drivers!$C$63)</f>
        <v/>
      </c>
      <c r="L159" s="24">
        <f>$G159*Supuestos!H$10*(Drivers!H$63/Drivers!$C$63)</f>
        <v/>
      </c>
      <c r="M159" s="24">
        <f>$G159*Supuestos!I$10*(Drivers!I$63/Drivers!$C$63)</f>
        <v/>
      </c>
      <c r="N159" s="24">
        <f>$G159*Supuestos!J$10*(Drivers!J$63/Drivers!$C$63)</f>
        <v/>
      </c>
      <c r="O159" s="24">
        <f>$G159*Supuestos!K$10*(Drivers!K$63/Drivers!$C$63)</f>
        <v/>
      </c>
      <c r="P159" s="24">
        <f>$G159*Supuestos!L$10*(Drivers!L$63/Drivers!$C$63)</f>
        <v/>
      </c>
      <c r="Q159" s="24">
        <f>$G159*Supuestos!M$10*(Drivers!M$63/Drivers!$C$63)</f>
        <v/>
      </c>
      <c r="R159" s="24">
        <f>$G159*Supuestos!N$10*(Drivers!N$63/Drivers!$C$63)</f>
        <v/>
      </c>
      <c r="S159" s="24">
        <f>$G159*Supuestos!O$10*(Drivers!O$63/Drivers!$C$63)</f>
        <v/>
      </c>
      <c r="T159" s="24">
        <f>$G159*Supuestos!P$10*(Drivers!P$63/Drivers!$C$63)</f>
        <v/>
      </c>
      <c r="U159" s="24">
        <f>$G159*Supuestos!Q$10*(Drivers!Q$63/Drivers!$C$63)</f>
        <v/>
      </c>
      <c r="V159" s="24">
        <f>$G159*Supuestos!R$10*(Drivers!R$63/Drivers!$C$63)</f>
        <v/>
      </c>
    </row>
    <row r="160">
      <c r="A160" s="6" t="inlineStr">
        <is>
          <t>POA</t>
        </is>
      </c>
      <c r="B160" s="6" t="inlineStr">
        <is>
          <t>ARS</t>
        </is>
      </c>
      <c r="C160" s="6" t="inlineStr">
        <is>
          <t>2 Costos de Explotación</t>
        </is>
      </c>
      <c r="D160" s="6" t="inlineStr">
        <is>
          <t>2.1 Remuneraciones</t>
        </is>
      </c>
      <c r="E160" s="6" t="inlineStr">
        <is>
          <t>Supervisión</t>
        </is>
      </c>
      <c r="F160" s="6" t="inlineStr">
        <is>
          <t>pos_sal</t>
        </is>
      </c>
      <c r="G160" s="24" t="n">
        <v>-1251087.34</v>
      </c>
      <c r="H160" s="24">
        <f>$G160*Supuestos!D$10*(Drivers!D$63/Drivers!$C$63)</f>
        <v/>
      </c>
      <c r="I160" s="24">
        <f>$G160*Supuestos!E$10*(Drivers!E$63/Drivers!$C$63)</f>
        <v/>
      </c>
      <c r="J160" s="24">
        <f>$G160*Supuestos!F$10*(Drivers!F$63/Drivers!$C$63)</f>
        <v/>
      </c>
      <c r="K160" s="24">
        <f>$G160*Supuestos!G$10*(Drivers!G$63/Drivers!$C$63)</f>
        <v/>
      </c>
      <c r="L160" s="24">
        <f>$G160*Supuestos!H$10*(Drivers!H$63/Drivers!$C$63)</f>
        <v/>
      </c>
      <c r="M160" s="24">
        <f>$G160*Supuestos!I$10*(Drivers!I$63/Drivers!$C$63)</f>
        <v/>
      </c>
      <c r="N160" s="24">
        <f>$G160*Supuestos!J$10*(Drivers!J$63/Drivers!$C$63)</f>
        <v/>
      </c>
      <c r="O160" s="24">
        <f>$G160*Supuestos!K$10*(Drivers!K$63/Drivers!$C$63)</f>
        <v/>
      </c>
      <c r="P160" s="24">
        <f>$G160*Supuestos!L$10*(Drivers!L$63/Drivers!$C$63)</f>
        <v/>
      </c>
      <c r="Q160" s="24">
        <f>$G160*Supuestos!M$10*(Drivers!M$63/Drivers!$C$63)</f>
        <v/>
      </c>
      <c r="R160" s="24">
        <f>$G160*Supuestos!N$10*(Drivers!N$63/Drivers!$C$63)</f>
        <v/>
      </c>
      <c r="S160" s="24">
        <f>$G160*Supuestos!O$10*(Drivers!O$63/Drivers!$C$63)</f>
        <v/>
      </c>
      <c r="T160" s="24">
        <f>$G160*Supuestos!P$10*(Drivers!P$63/Drivers!$C$63)</f>
        <v/>
      </c>
      <c r="U160" s="24">
        <f>$G160*Supuestos!Q$10*(Drivers!Q$63/Drivers!$C$63)</f>
        <v/>
      </c>
      <c r="V160" s="24">
        <f>$G160*Supuestos!R$10*(Drivers!R$63/Drivers!$C$63)</f>
        <v/>
      </c>
    </row>
    <row r="161">
      <c r="A161" s="6" t="inlineStr">
        <is>
          <t>POA</t>
        </is>
      </c>
      <c r="B161" s="6" t="inlineStr">
        <is>
          <t>ARS</t>
        </is>
      </c>
      <c r="C161" s="6" t="inlineStr">
        <is>
          <t>2 Costos de Explotación</t>
        </is>
      </c>
      <c r="D161" s="6" t="inlineStr">
        <is>
          <t>2.1 Remuneraciones</t>
        </is>
      </c>
      <c r="E161" s="6" t="inlineStr">
        <is>
          <t>Calidad</t>
        </is>
      </c>
      <c r="F161" s="6" t="inlineStr">
        <is>
          <t>pos_sal</t>
        </is>
      </c>
      <c r="G161" s="24" t="n">
        <v>-295956.19</v>
      </c>
      <c r="H161" s="24">
        <f>$G161*Supuestos!D$10*(Drivers!D$63/Drivers!$C$63)</f>
        <v/>
      </c>
      <c r="I161" s="24">
        <f>$G161*Supuestos!E$10*(Drivers!E$63/Drivers!$C$63)</f>
        <v/>
      </c>
      <c r="J161" s="24">
        <f>$G161*Supuestos!F$10*(Drivers!F$63/Drivers!$C$63)</f>
        <v/>
      </c>
      <c r="K161" s="24">
        <f>$G161*Supuestos!G$10*(Drivers!G$63/Drivers!$C$63)</f>
        <v/>
      </c>
      <c r="L161" s="24">
        <f>$G161*Supuestos!H$10*(Drivers!H$63/Drivers!$C$63)</f>
        <v/>
      </c>
      <c r="M161" s="24">
        <f>$G161*Supuestos!I$10*(Drivers!I$63/Drivers!$C$63)</f>
        <v/>
      </c>
      <c r="N161" s="24">
        <f>$G161*Supuestos!J$10*(Drivers!J$63/Drivers!$C$63)</f>
        <v/>
      </c>
      <c r="O161" s="24">
        <f>$G161*Supuestos!K$10*(Drivers!K$63/Drivers!$C$63)</f>
        <v/>
      </c>
      <c r="P161" s="24">
        <f>$G161*Supuestos!L$10*(Drivers!L$63/Drivers!$C$63)</f>
        <v/>
      </c>
      <c r="Q161" s="24">
        <f>$G161*Supuestos!M$10*(Drivers!M$63/Drivers!$C$63)</f>
        <v/>
      </c>
      <c r="R161" s="24">
        <f>$G161*Supuestos!N$10*(Drivers!N$63/Drivers!$C$63)</f>
        <v/>
      </c>
      <c r="S161" s="24">
        <f>$G161*Supuestos!O$10*(Drivers!O$63/Drivers!$C$63)</f>
        <v/>
      </c>
      <c r="T161" s="24">
        <f>$G161*Supuestos!P$10*(Drivers!P$63/Drivers!$C$63)</f>
        <v/>
      </c>
      <c r="U161" s="24">
        <f>$G161*Supuestos!Q$10*(Drivers!Q$63/Drivers!$C$63)</f>
        <v/>
      </c>
      <c r="V161" s="24">
        <f>$G161*Supuestos!R$10*(Drivers!R$63/Drivers!$C$63)</f>
        <v/>
      </c>
    </row>
    <row r="162">
      <c r="A162" s="6" t="inlineStr">
        <is>
          <t>POA</t>
        </is>
      </c>
      <c r="B162" s="6" t="inlineStr">
        <is>
          <t>ARS</t>
        </is>
      </c>
      <c r="C162" s="6" t="inlineStr">
        <is>
          <t>2 Costos de Explotación</t>
        </is>
      </c>
      <c r="D162" s="6" t="inlineStr">
        <is>
          <t>2.1 Remuneraciones</t>
        </is>
      </c>
      <c r="E162" s="6" t="inlineStr">
        <is>
          <t>Back Office</t>
        </is>
      </c>
      <c r="F162" s="6" t="inlineStr">
        <is>
          <t>pos_sal</t>
        </is>
      </c>
      <c r="G162" s="24" t="n">
        <v>-201788.48</v>
      </c>
      <c r="H162" s="24">
        <f>$G162*Supuestos!D$10*(Drivers!D$63/Drivers!$C$63)</f>
        <v/>
      </c>
      <c r="I162" s="24">
        <f>$G162*Supuestos!E$10*(Drivers!E$63/Drivers!$C$63)</f>
        <v/>
      </c>
      <c r="J162" s="24">
        <f>$G162*Supuestos!F$10*(Drivers!F$63/Drivers!$C$63)</f>
        <v/>
      </c>
      <c r="K162" s="24">
        <f>$G162*Supuestos!G$10*(Drivers!G$63/Drivers!$C$63)</f>
        <v/>
      </c>
      <c r="L162" s="24">
        <f>$G162*Supuestos!H$10*(Drivers!H$63/Drivers!$C$63)</f>
        <v/>
      </c>
      <c r="M162" s="24">
        <f>$G162*Supuestos!I$10*(Drivers!I$63/Drivers!$C$63)</f>
        <v/>
      </c>
      <c r="N162" s="24">
        <f>$G162*Supuestos!J$10*(Drivers!J$63/Drivers!$C$63)</f>
        <v/>
      </c>
      <c r="O162" s="24">
        <f>$G162*Supuestos!K$10*(Drivers!K$63/Drivers!$C$63)</f>
        <v/>
      </c>
      <c r="P162" s="24">
        <f>$G162*Supuestos!L$10*(Drivers!L$63/Drivers!$C$63)</f>
        <v/>
      </c>
      <c r="Q162" s="24">
        <f>$G162*Supuestos!M$10*(Drivers!M$63/Drivers!$C$63)</f>
        <v/>
      </c>
      <c r="R162" s="24">
        <f>$G162*Supuestos!N$10*(Drivers!N$63/Drivers!$C$63)</f>
        <v/>
      </c>
      <c r="S162" s="24">
        <f>$G162*Supuestos!O$10*(Drivers!O$63/Drivers!$C$63)</f>
        <v/>
      </c>
      <c r="T162" s="24">
        <f>$G162*Supuestos!P$10*(Drivers!P$63/Drivers!$C$63)</f>
        <v/>
      </c>
      <c r="U162" s="24">
        <f>$G162*Supuestos!Q$10*(Drivers!Q$63/Drivers!$C$63)</f>
        <v/>
      </c>
      <c r="V162" s="24">
        <f>$G162*Supuestos!R$10*(Drivers!R$63/Drivers!$C$63)</f>
        <v/>
      </c>
    </row>
    <row r="163">
      <c r="A163" s="6" t="inlineStr">
        <is>
          <t>POA</t>
        </is>
      </c>
      <c r="B163" s="6" t="inlineStr">
        <is>
          <t>ARS</t>
        </is>
      </c>
      <c r="C163" s="6" t="inlineStr">
        <is>
          <t>2 Costos de Explotación</t>
        </is>
      </c>
      <c r="D163" s="6" t="inlineStr">
        <is>
          <t>2.1 Remuneraciones</t>
        </is>
      </c>
      <c r="E163" s="6" t="inlineStr">
        <is>
          <t>Ejecutivos de cuenta</t>
        </is>
      </c>
      <c r="F163" s="6" t="inlineStr">
        <is>
          <t>pos_sal</t>
        </is>
      </c>
      <c r="G163" s="24" t="n">
        <v>-383397.87</v>
      </c>
      <c r="H163" s="24">
        <f>$G163*Supuestos!D$10*(Drivers!D$63/Drivers!$C$63)</f>
        <v/>
      </c>
      <c r="I163" s="24">
        <f>$G163*Supuestos!E$10*(Drivers!E$63/Drivers!$C$63)</f>
        <v/>
      </c>
      <c r="J163" s="24">
        <f>$G163*Supuestos!F$10*(Drivers!F$63/Drivers!$C$63)</f>
        <v/>
      </c>
      <c r="K163" s="24">
        <f>$G163*Supuestos!G$10*(Drivers!G$63/Drivers!$C$63)</f>
        <v/>
      </c>
      <c r="L163" s="24">
        <f>$G163*Supuestos!H$10*(Drivers!H$63/Drivers!$C$63)</f>
        <v/>
      </c>
      <c r="M163" s="24">
        <f>$G163*Supuestos!I$10*(Drivers!I$63/Drivers!$C$63)</f>
        <v/>
      </c>
      <c r="N163" s="24">
        <f>$G163*Supuestos!J$10*(Drivers!J$63/Drivers!$C$63)</f>
        <v/>
      </c>
      <c r="O163" s="24">
        <f>$G163*Supuestos!K$10*(Drivers!K$63/Drivers!$C$63)</f>
        <v/>
      </c>
      <c r="P163" s="24">
        <f>$G163*Supuestos!L$10*(Drivers!L$63/Drivers!$C$63)</f>
        <v/>
      </c>
      <c r="Q163" s="24">
        <f>$G163*Supuestos!M$10*(Drivers!M$63/Drivers!$C$63)</f>
        <v/>
      </c>
      <c r="R163" s="24">
        <f>$G163*Supuestos!N$10*(Drivers!N$63/Drivers!$C$63)</f>
        <v/>
      </c>
      <c r="S163" s="24">
        <f>$G163*Supuestos!O$10*(Drivers!O$63/Drivers!$C$63)</f>
        <v/>
      </c>
      <c r="T163" s="24">
        <f>$G163*Supuestos!P$10*(Drivers!P$63/Drivers!$C$63)</f>
        <v/>
      </c>
      <c r="U163" s="24">
        <f>$G163*Supuestos!Q$10*(Drivers!Q$63/Drivers!$C$63)</f>
        <v/>
      </c>
      <c r="V163" s="24">
        <f>$G163*Supuestos!R$10*(Drivers!R$63/Drivers!$C$63)</f>
        <v/>
      </c>
    </row>
    <row r="164">
      <c r="A164" s="6" t="inlineStr">
        <is>
          <t>POA</t>
        </is>
      </c>
      <c r="B164" s="6" t="inlineStr">
        <is>
          <t>ARS</t>
        </is>
      </c>
      <c r="C164" s="6" t="inlineStr">
        <is>
          <t>2 Costos de Explotación</t>
        </is>
      </c>
      <c r="D164" s="6" t="inlineStr">
        <is>
          <t>2.1 Remuneraciones</t>
        </is>
      </c>
      <c r="E164" s="6" t="inlineStr">
        <is>
          <t>Gerencia de Operaciones</t>
        </is>
      </c>
      <c r="F164" s="6" t="inlineStr">
        <is>
          <t>pos_sal</t>
        </is>
      </c>
      <c r="G164" s="24" t="n">
        <v>-430482.06</v>
      </c>
      <c r="H164" s="24">
        <f>$G164*Supuestos!D$10*(Drivers!D$63/Drivers!$C$63)</f>
        <v/>
      </c>
      <c r="I164" s="24">
        <f>$G164*Supuestos!E$10*(Drivers!E$63/Drivers!$C$63)</f>
        <v/>
      </c>
      <c r="J164" s="24">
        <f>$G164*Supuestos!F$10*(Drivers!F$63/Drivers!$C$63)</f>
        <v/>
      </c>
      <c r="K164" s="24">
        <f>$G164*Supuestos!G$10*(Drivers!G$63/Drivers!$C$63)</f>
        <v/>
      </c>
      <c r="L164" s="24">
        <f>$G164*Supuestos!H$10*(Drivers!H$63/Drivers!$C$63)</f>
        <v/>
      </c>
      <c r="M164" s="24">
        <f>$G164*Supuestos!I$10*(Drivers!I$63/Drivers!$C$63)</f>
        <v/>
      </c>
      <c r="N164" s="24">
        <f>$G164*Supuestos!J$10*(Drivers!J$63/Drivers!$C$63)</f>
        <v/>
      </c>
      <c r="O164" s="24">
        <f>$G164*Supuestos!K$10*(Drivers!K$63/Drivers!$C$63)</f>
        <v/>
      </c>
      <c r="P164" s="24">
        <f>$G164*Supuestos!L$10*(Drivers!L$63/Drivers!$C$63)</f>
        <v/>
      </c>
      <c r="Q164" s="24">
        <f>$G164*Supuestos!M$10*(Drivers!M$63/Drivers!$C$63)</f>
        <v/>
      </c>
      <c r="R164" s="24">
        <f>$G164*Supuestos!N$10*(Drivers!N$63/Drivers!$C$63)</f>
        <v/>
      </c>
      <c r="S164" s="24">
        <f>$G164*Supuestos!O$10*(Drivers!O$63/Drivers!$C$63)</f>
        <v/>
      </c>
      <c r="T164" s="24">
        <f>$G164*Supuestos!P$10*(Drivers!P$63/Drivers!$C$63)</f>
        <v/>
      </c>
      <c r="U164" s="24">
        <f>$G164*Supuestos!Q$10*(Drivers!Q$63/Drivers!$C$63)</f>
        <v/>
      </c>
      <c r="V164" s="24">
        <f>$G164*Supuestos!R$10*(Drivers!R$63/Drivers!$C$63)</f>
        <v/>
      </c>
    </row>
    <row r="165">
      <c r="A165" s="6" t="inlineStr">
        <is>
          <t>POA</t>
        </is>
      </c>
      <c r="B165" s="6" t="inlineStr">
        <is>
          <t>ARS</t>
        </is>
      </c>
      <c r="C165" s="6" t="inlineStr">
        <is>
          <t>2 Costos de Explotación</t>
        </is>
      </c>
      <c r="D165" s="6" t="inlineStr">
        <is>
          <t>2.1 Remuneraciones</t>
        </is>
      </c>
      <c r="E165" s="6" t="inlineStr">
        <is>
          <t>Indemnizaciones</t>
        </is>
      </c>
      <c r="F165" s="6" t="inlineStr">
        <is>
          <t>zero</t>
        </is>
      </c>
      <c r="G165" s="24" t="n">
        <v>-67579.50999999999</v>
      </c>
      <c r="H165" s="24">
        <f>0</f>
        <v/>
      </c>
      <c r="I165" s="24">
        <f>0</f>
        <v/>
      </c>
      <c r="J165" s="24">
        <f>0</f>
        <v/>
      </c>
      <c r="K165" s="24">
        <f>0</f>
        <v/>
      </c>
      <c r="L165" s="24">
        <f>0</f>
        <v/>
      </c>
      <c r="M165" s="24">
        <f>0</f>
        <v/>
      </c>
      <c r="N165" s="24">
        <f>0</f>
        <v/>
      </c>
      <c r="O165" s="24">
        <f>0</f>
        <v/>
      </c>
      <c r="P165" s="24">
        <f>0</f>
        <v/>
      </c>
      <c r="Q165" s="24">
        <f>0</f>
        <v/>
      </c>
      <c r="R165" s="24">
        <f>0</f>
        <v/>
      </c>
      <c r="S165" s="24">
        <f>0</f>
        <v/>
      </c>
      <c r="T165" s="24">
        <f>0</f>
        <v/>
      </c>
      <c r="U165" s="24">
        <f>0</f>
        <v/>
      </c>
      <c r="V165" s="24">
        <f>0</f>
        <v/>
      </c>
    </row>
    <row r="166">
      <c r="A166" s="6" t="inlineStr">
        <is>
          <t>POA</t>
        </is>
      </c>
      <c r="B166" s="6" t="inlineStr">
        <is>
          <t>ARS</t>
        </is>
      </c>
      <c r="C166" s="6" t="inlineStr">
        <is>
          <t>2 Costos de Explotación</t>
        </is>
      </c>
      <c r="D166" s="6" t="inlineStr">
        <is>
          <t>2.2 Servicios de Terceros</t>
        </is>
      </c>
      <c r="E166" s="6" t="inlineStr">
        <is>
          <t>Posiciones Paraguay</t>
        </is>
      </c>
      <c r="F166" s="6" t="inlineStr">
        <is>
          <t>pos_usd</t>
        </is>
      </c>
      <c r="G166" s="24" t="n">
        <v>-3549000</v>
      </c>
      <c r="H166" s="24">
        <f>$G166*Supuestos!D$8*(Drivers!D$63/Drivers!$C$63)</f>
        <v/>
      </c>
      <c r="I166" s="24">
        <f>$G166*Supuestos!E$8*(Drivers!E$63/Drivers!$C$63)</f>
        <v/>
      </c>
      <c r="J166" s="24">
        <f>$G166*Supuestos!F$8*(Drivers!F$63/Drivers!$C$63)</f>
        <v/>
      </c>
      <c r="K166" s="24">
        <f>$G166*Supuestos!G$8*(Drivers!G$63/Drivers!$C$63)</f>
        <v/>
      </c>
      <c r="L166" s="24">
        <f>$G166*Supuestos!H$8*(Drivers!H$63/Drivers!$C$63)</f>
        <v/>
      </c>
      <c r="M166" s="24">
        <f>$G166*Supuestos!I$8*(Drivers!I$63/Drivers!$C$63)</f>
        <v/>
      </c>
      <c r="N166" s="24">
        <f>$G166*Supuestos!J$8*(Drivers!J$63/Drivers!$C$63)</f>
        <v/>
      </c>
      <c r="O166" s="24">
        <f>$G166*Supuestos!K$8*(Drivers!K$63/Drivers!$C$63)</f>
        <v/>
      </c>
      <c r="P166" s="24">
        <f>$G166*Supuestos!L$8*(Drivers!L$63/Drivers!$C$63)</f>
        <v/>
      </c>
      <c r="Q166" s="24">
        <f>$G166*Supuestos!M$8*(Drivers!M$63/Drivers!$C$63)</f>
        <v/>
      </c>
      <c r="R166" s="24">
        <f>$G166*Supuestos!N$8*(Drivers!N$63/Drivers!$C$63)</f>
        <v/>
      </c>
      <c r="S166" s="24">
        <f>$G166*Supuestos!O$8*(Drivers!O$63/Drivers!$C$63)</f>
        <v/>
      </c>
      <c r="T166" s="24">
        <f>$G166*Supuestos!P$8*(Drivers!P$63/Drivers!$C$63)</f>
        <v/>
      </c>
      <c r="U166" s="24">
        <f>$G166*Supuestos!Q$8*(Drivers!Q$63/Drivers!$C$63)</f>
        <v/>
      </c>
      <c r="V166" s="24">
        <f>$G166*Supuestos!R$8*(Drivers!R$63/Drivers!$C$63)</f>
        <v/>
      </c>
    </row>
    <row r="167">
      <c r="A167" s="6" t="inlineStr">
        <is>
          <t>POA</t>
        </is>
      </c>
      <c r="B167" s="6" t="inlineStr">
        <is>
          <t>ARS</t>
        </is>
      </c>
      <c r="C167" s="6" t="inlineStr">
        <is>
          <t>2 Costos de Explotación</t>
        </is>
      </c>
      <c r="D167" s="6" t="inlineStr">
        <is>
          <t>2.3 Licencias</t>
        </is>
      </c>
      <c r="E167" s="6" t="inlineStr">
        <is>
          <t>Licencias discador/CRM</t>
        </is>
      </c>
      <c r="F167" s="6" t="inlineStr">
        <is>
          <t>pos_usd</t>
        </is>
      </c>
      <c r="G167" s="24" t="n">
        <v>-552825</v>
      </c>
      <c r="H167" s="24">
        <f>$G167*Supuestos!D$8*(Drivers!D$63/Drivers!$C$63)</f>
        <v/>
      </c>
      <c r="I167" s="24">
        <f>$G167*Supuestos!E$8*(Drivers!E$63/Drivers!$C$63)</f>
        <v/>
      </c>
      <c r="J167" s="24">
        <f>$G167*Supuestos!F$8*(Drivers!F$63/Drivers!$C$63)</f>
        <v/>
      </c>
      <c r="K167" s="24">
        <f>$G167*Supuestos!G$8*(Drivers!G$63/Drivers!$C$63)</f>
        <v/>
      </c>
      <c r="L167" s="24">
        <f>$G167*Supuestos!H$8*(Drivers!H$63/Drivers!$C$63)</f>
        <v/>
      </c>
      <c r="M167" s="24">
        <f>$G167*Supuestos!I$8*(Drivers!I$63/Drivers!$C$63)</f>
        <v/>
      </c>
      <c r="N167" s="24">
        <f>$G167*Supuestos!J$8*(Drivers!J$63/Drivers!$C$63)</f>
        <v/>
      </c>
      <c r="O167" s="24">
        <f>$G167*Supuestos!K$8*(Drivers!K$63/Drivers!$C$63)</f>
        <v/>
      </c>
      <c r="P167" s="24">
        <f>$G167*Supuestos!L$8*(Drivers!L$63/Drivers!$C$63)</f>
        <v/>
      </c>
      <c r="Q167" s="24">
        <f>$G167*Supuestos!M$8*(Drivers!M$63/Drivers!$C$63)</f>
        <v/>
      </c>
      <c r="R167" s="24">
        <f>$G167*Supuestos!N$8*(Drivers!N$63/Drivers!$C$63)</f>
        <v/>
      </c>
      <c r="S167" s="24">
        <f>$G167*Supuestos!O$8*(Drivers!O$63/Drivers!$C$63)</f>
        <v/>
      </c>
      <c r="T167" s="24">
        <f>$G167*Supuestos!P$8*(Drivers!P$63/Drivers!$C$63)</f>
        <v/>
      </c>
      <c r="U167" s="24">
        <f>$G167*Supuestos!Q$8*(Drivers!Q$63/Drivers!$C$63)</f>
        <v/>
      </c>
      <c r="V167" s="24">
        <f>$G167*Supuestos!R$8*(Drivers!R$63/Drivers!$C$63)</f>
        <v/>
      </c>
    </row>
    <row r="168">
      <c r="A168" s="6" t="inlineStr">
        <is>
          <t>POA</t>
        </is>
      </c>
      <c r="B168" s="6" t="inlineStr">
        <is>
          <t>ARS</t>
        </is>
      </c>
      <c r="C168" s="6" t="inlineStr">
        <is>
          <t>2 Costos de Explotación</t>
        </is>
      </c>
      <c r="D168" s="6" t="inlineStr">
        <is>
          <t>2.5 Telefonía</t>
        </is>
      </c>
      <c r="E168" s="6" t="inlineStr">
        <is>
          <t>Telefonía celular</t>
        </is>
      </c>
      <c r="F168" s="6" t="inlineStr">
        <is>
          <t>pos_inf</t>
        </is>
      </c>
      <c r="G168" s="24" t="n">
        <v>-339039.97</v>
      </c>
      <c r="H168" s="24">
        <f>$G168*Supuestos!D$6*(Drivers!D$63/Drivers!$C$63)</f>
        <v/>
      </c>
      <c r="I168" s="24">
        <f>$G168*Supuestos!E$6*(Drivers!E$63/Drivers!$C$63)</f>
        <v/>
      </c>
      <c r="J168" s="24">
        <f>$G168*Supuestos!F$6*(Drivers!F$63/Drivers!$C$63)</f>
        <v/>
      </c>
      <c r="K168" s="24">
        <f>$G168*Supuestos!G$6*(Drivers!G$63/Drivers!$C$63)</f>
        <v/>
      </c>
      <c r="L168" s="24">
        <f>$G168*Supuestos!H$6*(Drivers!H$63/Drivers!$C$63)</f>
        <v/>
      </c>
      <c r="M168" s="24">
        <f>$G168*Supuestos!I$6*(Drivers!I$63/Drivers!$C$63)</f>
        <v/>
      </c>
      <c r="N168" s="24">
        <f>$G168*Supuestos!J$6*(Drivers!J$63/Drivers!$C$63)</f>
        <v/>
      </c>
      <c r="O168" s="24">
        <f>$G168*Supuestos!K$6*(Drivers!K$63/Drivers!$C$63)</f>
        <v/>
      </c>
      <c r="P168" s="24">
        <f>$G168*Supuestos!L$6*(Drivers!L$63/Drivers!$C$63)</f>
        <v/>
      </c>
      <c r="Q168" s="24">
        <f>$G168*Supuestos!M$6*(Drivers!M$63/Drivers!$C$63)</f>
        <v/>
      </c>
      <c r="R168" s="24">
        <f>$G168*Supuestos!N$6*(Drivers!N$63/Drivers!$C$63)</f>
        <v/>
      </c>
      <c r="S168" s="24">
        <f>$G168*Supuestos!O$6*(Drivers!O$63/Drivers!$C$63)</f>
        <v/>
      </c>
      <c r="T168" s="24">
        <f>$G168*Supuestos!P$6*(Drivers!P$63/Drivers!$C$63)</f>
        <v/>
      </c>
      <c r="U168" s="24">
        <f>$G168*Supuestos!Q$6*(Drivers!Q$63/Drivers!$C$63)</f>
        <v/>
      </c>
      <c r="V168" s="24">
        <f>$G168*Supuestos!R$6*(Drivers!R$63/Drivers!$C$63)</f>
        <v/>
      </c>
    </row>
    <row r="169">
      <c r="A169" s="6" t="inlineStr">
        <is>
          <t>POA</t>
        </is>
      </c>
      <c r="B169" s="6" t="inlineStr">
        <is>
          <t>ARS</t>
        </is>
      </c>
      <c r="C169" s="6" t="inlineStr">
        <is>
          <t>2 Costos de Explotación</t>
        </is>
      </c>
      <c r="D169" s="6" t="inlineStr">
        <is>
          <t>2.5 Telefonía</t>
        </is>
      </c>
      <c r="E169" s="6" t="inlineStr">
        <is>
          <t>Telefonía LDN</t>
        </is>
      </c>
      <c r="F169" s="6" t="inlineStr">
        <is>
          <t>pos_inf</t>
        </is>
      </c>
      <c r="G169" s="24" t="n">
        <v>-87181.55</v>
      </c>
      <c r="H169" s="24">
        <f>$G169*Supuestos!D$6*(Drivers!D$63/Drivers!$C$63)</f>
        <v/>
      </c>
      <c r="I169" s="24">
        <f>$G169*Supuestos!E$6*(Drivers!E$63/Drivers!$C$63)</f>
        <v/>
      </c>
      <c r="J169" s="24">
        <f>$G169*Supuestos!F$6*(Drivers!F$63/Drivers!$C$63)</f>
        <v/>
      </c>
      <c r="K169" s="24">
        <f>$G169*Supuestos!G$6*(Drivers!G$63/Drivers!$C$63)</f>
        <v/>
      </c>
      <c r="L169" s="24">
        <f>$G169*Supuestos!H$6*(Drivers!H$63/Drivers!$C$63)</f>
        <v/>
      </c>
      <c r="M169" s="24">
        <f>$G169*Supuestos!I$6*(Drivers!I$63/Drivers!$C$63)</f>
        <v/>
      </c>
      <c r="N169" s="24">
        <f>$G169*Supuestos!J$6*(Drivers!J$63/Drivers!$C$63)</f>
        <v/>
      </c>
      <c r="O169" s="24">
        <f>$G169*Supuestos!K$6*(Drivers!K$63/Drivers!$C$63)</f>
        <v/>
      </c>
      <c r="P169" s="24">
        <f>$G169*Supuestos!L$6*(Drivers!L$63/Drivers!$C$63)</f>
        <v/>
      </c>
      <c r="Q169" s="24">
        <f>$G169*Supuestos!M$6*(Drivers!M$63/Drivers!$C$63)</f>
        <v/>
      </c>
      <c r="R169" s="24">
        <f>$G169*Supuestos!N$6*(Drivers!N$63/Drivers!$C$63)</f>
        <v/>
      </c>
      <c r="S169" s="24">
        <f>$G169*Supuestos!O$6*(Drivers!O$63/Drivers!$C$63)</f>
        <v/>
      </c>
      <c r="T169" s="24">
        <f>$G169*Supuestos!P$6*(Drivers!P$63/Drivers!$C$63)</f>
        <v/>
      </c>
      <c r="U169" s="24">
        <f>$G169*Supuestos!Q$6*(Drivers!Q$63/Drivers!$C$63)</f>
        <v/>
      </c>
      <c r="V169" s="24">
        <f>$G169*Supuestos!R$6*(Drivers!R$63/Drivers!$C$63)</f>
        <v/>
      </c>
    </row>
    <row r="170">
      <c r="A170" s="6" t="inlineStr">
        <is>
          <t>POA</t>
        </is>
      </c>
      <c r="B170" s="6" t="inlineStr">
        <is>
          <t>ARS</t>
        </is>
      </c>
      <c r="C170" s="6" t="inlineStr">
        <is>
          <t>2 Costos de Explotación</t>
        </is>
      </c>
      <c r="D170" s="6" t="inlineStr">
        <is>
          <t>2.5 Telefonía</t>
        </is>
      </c>
      <c r="E170" s="6" t="inlineStr">
        <is>
          <t>Telefonía local y 0800</t>
        </is>
      </c>
      <c r="F170" s="6" t="inlineStr">
        <is>
          <t>pos_inf</t>
        </is>
      </c>
      <c r="G170" s="24" t="n">
        <v>-58121.15</v>
      </c>
      <c r="H170" s="24">
        <f>$G170*Supuestos!D$6*(Drivers!D$63/Drivers!$C$63)</f>
        <v/>
      </c>
      <c r="I170" s="24">
        <f>$G170*Supuestos!E$6*(Drivers!E$63/Drivers!$C$63)</f>
        <v/>
      </c>
      <c r="J170" s="24">
        <f>$G170*Supuestos!F$6*(Drivers!F$63/Drivers!$C$63)</f>
        <v/>
      </c>
      <c r="K170" s="24">
        <f>$G170*Supuestos!G$6*(Drivers!G$63/Drivers!$C$63)</f>
        <v/>
      </c>
      <c r="L170" s="24">
        <f>$G170*Supuestos!H$6*(Drivers!H$63/Drivers!$C$63)</f>
        <v/>
      </c>
      <c r="M170" s="24">
        <f>$G170*Supuestos!I$6*(Drivers!I$63/Drivers!$C$63)</f>
        <v/>
      </c>
      <c r="N170" s="24">
        <f>$G170*Supuestos!J$6*(Drivers!J$63/Drivers!$C$63)</f>
        <v/>
      </c>
      <c r="O170" s="24">
        <f>$G170*Supuestos!K$6*(Drivers!K$63/Drivers!$C$63)</f>
        <v/>
      </c>
      <c r="P170" s="24">
        <f>$G170*Supuestos!L$6*(Drivers!L$63/Drivers!$C$63)</f>
        <v/>
      </c>
      <c r="Q170" s="24">
        <f>$G170*Supuestos!M$6*(Drivers!M$63/Drivers!$C$63)</f>
        <v/>
      </c>
      <c r="R170" s="24">
        <f>$G170*Supuestos!N$6*(Drivers!N$63/Drivers!$C$63)</f>
        <v/>
      </c>
      <c r="S170" s="24">
        <f>$G170*Supuestos!O$6*(Drivers!O$63/Drivers!$C$63)</f>
        <v/>
      </c>
      <c r="T170" s="24">
        <f>$G170*Supuestos!P$6*(Drivers!P$63/Drivers!$C$63)</f>
        <v/>
      </c>
      <c r="U170" s="24">
        <f>$G170*Supuestos!Q$6*(Drivers!Q$63/Drivers!$C$63)</f>
        <v/>
      </c>
      <c r="V170" s="24">
        <f>$G170*Supuestos!R$6*(Drivers!R$63/Drivers!$C$63)</f>
        <v/>
      </c>
    </row>
    <row r="171">
      <c r="A171" s="6" t="inlineStr">
        <is>
          <t>POA</t>
        </is>
      </c>
      <c r="B171" s="6" t="inlineStr">
        <is>
          <t>ARS</t>
        </is>
      </c>
      <c r="C171" s="6" t="inlineStr">
        <is>
          <t>2 Costos de Explotación</t>
        </is>
      </c>
      <c r="D171" s="6" t="inlineStr">
        <is>
          <t>2.6 SMS</t>
        </is>
      </c>
      <c r="E171" s="6" t="inlineStr">
        <is>
          <t>SMS</t>
        </is>
      </c>
      <c r="F171" s="6" t="inlineStr">
        <is>
          <t>sms</t>
        </is>
      </c>
      <c r="G171" s="24" t="n">
        <v>-415022.98</v>
      </c>
      <c r="H171" s="24">
        <f>$G171*Supuestos!D$12*(Drivers!D$60/100)</f>
        <v/>
      </c>
      <c r="I171" s="24">
        <f>$G171*Supuestos!E$12*(Drivers!E$60/100)</f>
        <v/>
      </c>
      <c r="J171" s="24">
        <f>$G171*Supuestos!F$12*(Drivers!F$60/100)</f>
        <v/>
      </c>
      <c r="K171" s="24">
        <f>$G171*Supuestos!G$12*(Drivers!G$60/100)</f>
        <v/>
      </c>
      <c r="L171" s="24">
        <f>$G171*Supuestos!H$12*(Drivers!H$60/100)</f>
        <v/>
      </c>
      <c r="M171" s="24">
        <f>$G171*Supuestos!I$12*(Drivers!I$60/100)</f>
        <v/>
      </c>
      <c r="N171" s="24">
        <f>$G171*Supuestos!J$12*(Drivers!J$60/100)</f>
        <v/>
      </c>
      <c r="O171" s="24">
        <f>$G171*Supuestos!K$12*(Drivers!K$60/100)</f>
        <v/>
      </c>
      <c r="P171" s="24">
        <f>$G171*Supuestos!L$12*(Drivers!L$60/100)</f>
        <v/>
      </c>
      <c r="Q171" s="24">
        <f>$G171*Supuestos!M$12*(Drivers!M$60/100)</f>
        <v/>
      </c>
      <c r="R171" s="24">
        <f>$G171*Supuestos!N$12*(Drivers!N$60/100)</f>
        <v/>
      </c>
      <c r="S171" s="24">
        <f>$G171*Supuestos!O$12*(Drivers!O$60/100)</f>
        <v/>
      </c>
      <c r="T171" s="24">
        <f>$G171*Supuestos!P$12*(Drivers!P$60/100)</f>
        <v/>
      </c>
      <c r="U171" s="24">
        <f>$G171*Supuestos!Q$12*(Drivers!Q$60/100)</f>
        <v/>
      </c>
      <c r="V171" s="24">
        <f>$G171*Supuestos!R$12*(Drivers!R$60/100)</f>
        <v/>
      </c>
    </row>
    <row r="172">
      <c r="A172" s="6" t="inlineStr">
        <is>
          <t>POA</t>
        </is>
      </c>
      <c r="B172" s="6" t="inlineStr">
        <is>
          <t>ARS</t>
        </is>
      </c>
      <c r="C172" s="6" t="inlineStr">
        <is>
          <t>2 Costos de Explotación</t>
        </is>
      </c>
      <c r="D172" s="6" t="inlineStr">
        <is>
          <t>2.7 Bocas de Cobranza</t>
        </is>
      </c>
      <c r="E172" s="6" t="inlineStr">
        <is>
          <t>Bocas de cobranza</t>
        </is>
      </c>
      <c r="F172" s="6" t="inlineStr">
        <is>
          <t>vol_inf</t>
        </is>
      </c>
      <c r="G172" s="24" t="n">
        <v>-195207.81</v>
      </c>
      <c r="H172" s="24">
        <f>$G172*Supuestos!D$6*(Drivers!D$60/100)</f>
        <v/>
      </c>
      <c r="I172" s="24">
        <f>$G172*Supuestos!E$6*(Drivers!E$60/100)</f>
        <v/>
      </c>
      <c r="J172" s="24">
        <f>$G172*Supuestos!F$6*(Drivers!F$60/100)</f>
        <v/>
      </c>
      <c r="K172" s="24">
        <f>$G172*Supuestos!G$6*(Drivers!G$60/100)</f>
        <v/>
      </c>
      <c r="L172" s="24">
        <f>$G172*Supuestos!H$6*(Drivers!H$60/100)</f>
        <v/>
      </c>
      <c r="M172" s="24">
        <f>$G172*Supuestos!I$6*(Drivers!I$60/100)</f>
        <v/>
      </c>
      <c r="N172" s="24">
        <f>$G172*Supuestos!J$6*(Drivers!J$60/100)</f>
        <v/>
      </c>
      <c r="O172" s="24">
        <f>$G172*Supuestos!K$6*(Drivers!K$60/100)</f>
        <v/>
      </c>
      <c r="P172" s="24">
        <f>$G172*Supuestos!L$6*(Drivers!L$60/100)</f>
        <v/>
      </c>
      <c r="Q172" s="24">
        <f>$G172*Supuestos!M$6*(Drivers!M$60/100)</f>
        <v/>
      </c>
      <c r="R172" s="24">
        <f>$G172*Supuestos!N$6*(Drivers!N$60/100)</f>
        <v/>
      </c>
      <c r="S172" s="24">
        <f>$G172*Supuestos!O$6*(Drivers!O$60/100)</f>
        <v/>
      </c>
      <c r="T172" s="24">
        <f>$G172*Supuestos!P$6*(Drivers!P$60/100)</f>
        <v/>
      </c>
      <c r="U172" s="24">
        <f>$G172*Supuestos!Q$6*(Drivers!Q$60/100)</f>
        <v/>
      </c>
      <c r="V172" s="24">
        <f>$G172*Supuestos!R$6*(Drivers!R$60/100)</f>
        <v/>
      </c>
    </row>
    <row r="173">
      <c r="A173" s="6" t="inlineStr">
        <is>
          <t>POA</t>
        </is>
      </c>
      <c r="B173" s="6" t="inlineStr">
        <is>
          <t>ARS</t>
        </is>
      </c>
      <c r="C173" s="6" t="inlineStr">
        <is>
          <t>2 Costos de Explotación</t>
        </is>
      </c>
      <c r="D173" s="6" t="inlineStr">
        <is>
          <t>2.8 Mailing</t>
        </is>
      </c>
      <c r="E173" s="6" t="inlineStr">
        <is>
          <t>Mailing</t>
        </is>
      </c>
      <c r="F173" s="6" t="inlineStr">
        <is>
          <t>vol_usd</t>
        </is>
      </c>
      <c r="G173" s="24" t="n">
        <v>-131419.02</v>
      </c>
      <c r="H173" s="24">
        <f>$G173*Supuestos!D$8*(Drivers!D$60/100)</f>
        <v/>
      </c>
      <c r="I173" s="24">
        <f>$G173*Supuestos!E$8*(Drivers!E$60/100)</f>
        <v/>
      </c>
      <c r="J173" s="24">
        <f>$G173*Supuestos!F$8*(Drivers!F$60/100)</f>
        <v/>
      </c>
      <c r="K173" s="24">
        <f>$G173*Supuestos!G$8*(Drivers!G$60/100)</f>
        <v/>
      </c>
      <c r="L173" s="24">
        <f>$G173*Supuestos!H$8*(Drivers!H$60/100)</f>
        <v/>
      </c>
      <c r="M173" s="24">
        <f>$G173*Supuestos!I$8*(Drivers!I$60/100)</f>
        <v/>
      </c>
      <c r="N173" s="24">
        <f>$G173*Supuestos!J$8*(Drivers!J$60/100)</f>
        <v/>
      </c>
      <c r="O173" s="24">
        <f>$G173*Supuestos!K$8*(Drivers!K$60/100)</f>
        <v/>
      </c>
      <c r="P173" s="24">
        <f>$G173*Supuestos!L$8*(Drivers!L$60/100)</f>
        <v/>
      </c>
      <c r="Q173" s="24">
        <f>$G173*Supuestos!M$8*(Drivers!M$60/100)</f>
        <v/>
      </c>
      <c r="R173" s="24">
        <f>$G173*Supuestos!N$8*(Drivers!N$60/100)</f>
        <v/>
      </c>
      <c r="S173" s="24">
        <f>$G173*Supuestos!O$8*(Drivers!O$60/100)</f>
        <v/>
      </c>
      <c r="T173" s="24">
        <f>$G173*Supuestos!P$8*(Drivers!P$60/100)</f>
        <v/>
      </c>
      <c r="U173" s="24">
        <f>$G173*Supuestos!Q$8*(Drivers!Q$60/100)</f>
        <v/>
      </c>
      <c r="V173" s="24">
        <f>$G173*Supuestos!R$8*(Drivers!R$60/100)</f>
        <v/>
      </c>
    </row>
    <row r="174">
      <c r="A174" s="6" t="inlineStr">
        <is>
          <t>POA</t>
        </is>
      </c>
      <c r="B174" s="6" t="inlineStr">
        <is>
          <t>ARS</t>
        </is>
      </c>
      <c r="C174" s="6" t="inlineStr">
        <is>
          <t>2 Costos de Explotación</t>
        </is>
      </c>
      <c r="D174" s="6" t="inlineStr">
        <is>
          <t>2.9 Informes Comerciales</t>
        </is>
      </c>
      <c r="E174" s="6" t="inlineStr">
        <is>
          <t>Informes comerciales</t>
        </is>
      </c>
      <c r="F174" s="6" t="inlineStr">
        <is>
          <t>vol_inf</t>
        </is>
      </c>
      <c r="G174" s="24" t="n">
        <v>-195771.21</v>
      </c>
      <c r="H174" s="24">
        <f>$G174*Supuestos!D$6*(Drivers!D$60/100)</f>
        <v/>
      </c>
      <c r="I174" s="24">
        <f>$G174*Supuestos!E$6*(Drivers!E$60/100)</f>
        <v/>
      </c>
      <c r="J174" s="24">
        <f>$G174*Supuestos!F$6*(Drivers!F$60/100)</f>
        <v/>
      </c>
      <c r="K174" s="24">
        <f>$G174*Supuestos!G$6*(Drivers!G$60/100)</f>
        <v/>
      </c>
      <c r="L174" s="24">
        <f>$G174*Supuestos!H$6*(Drivers!H$60/100)</f>
        <v/>
      </c>
      <c r="M174" s="24">
        <f>$G174*Supuestos!I$6*(Drivers!I$60/100)</f>
        <v/>
      </c>
      <c r="N174" s="24">
        <f>$G174*Supuestos!J$6*(Drivers!J$60/100)</f>
        <v/>
      </c>
      <c r="O174" s="24">
        <f>$G174*Supuestos!K$6*(Drivers!K$60/100)</f>
        <v/>
      </c>
      <c r="P174" s="24">
        <f>$G174*Supuestos!L$6*(Drivers!L$60/100)</f>
        <v/>
      </c>
      <c r="Q174" s="24">
        <f>$G174*Supuestos!M$6*(Drivers!M$60/100)</f>
        <v/>
      </c>
      <c r="R174" s="24">
        <f>$G174*Supuestos!N$6*(Drivers!N$60/100)</f>
        <v/>
      </c>
      <c r="S174" s="24">
        <f>$G174*Supuestos!O$6*(Drivers!O$60/100)</f>
        <v/>
      </c>
      <c r="T174" s="24">
        <f>$G174*Supuestos!P$6*(Drivers!P$60/100)</f>
        <v/>
      </c>
      <c r="U174" s="24">
        <f>$G174*Supuestos!Q$6*(Drivers!Q$60/100)</f>
        <v/>
      </c>
      <c r="V174" s="24">
        <f>$G174*Supuestos!R$6*(Drivers!R$60/100)</f>
        <v/>
      </c>
    </row>
    <row r="175">
      <c r="A175" s="6" t="inlineStr">
        <is>
          <t>POA</t>
        </is>
      </c>
      <c r="B175" s="6" t="inlineStr">
        <is>
          <t>ARS</t>
        </is>
      </c>
      <c r="C175" s="6" t="inlineStr">
        <is>
          <t>3 Impuestos Directos</t>
        </is>
      </c>
      <c r="D175" s="6" t="inlineStr">
        <is>
          <t>3.1 Ingresos Brutos</t>
        </is>
      </c>
      <c r="E175" s="6" t="inlineStr">
        <is>
          <t>Ingresos Brutos</t>
        </is>
      </c>
      <c r="F175" s="6" t="inlineStr">
        <is>
          <t>iibb</t>
        </is>
      </c>
      <c r="G175" s="24" t="n">
        <v>-415357.88</v>
      </c>
      <c r="H175" s="24">
        <f>$G175*Supuestos!D$6*(Drivers!D$60/100)*(Drivers!D$61/Drivers!$C$61)*(Drivers!D$62/Drivers!$C$62)*Supuestos!D$13</f>
        <v/>
      </c>
      <c r="I175" s="24">
        <f>$G175*Supuestos!E$6*(Drivers!E$60/100)*(Drivers!E$61/Drivers!$C$61)*(Drivers!E$62/Drivers!$C$62)*Supuestos!E$13</f>
        <v/>
      </c>
      <c r="J175" s="24">
        <f>$G175*Supuestos!F$6*(Drivers!F$60/100)*(Drivers!F$61/Drivers!$C$61)*(Drivers!F$62/Drivers!$C$62)*Supuestos!F$13</f>
        <v/>
      </c>
      <c r="K175" s="24">
        <f>$G175*Supuestos!G$6*(Drivers!G$60/100)*(Drivers!G$61/Drivers!$C$61)*(Drivers!G$62/Drivers!$C$62)*Supuestos!G$13</f>
        <v/>
      </c>
      <c r="L175" s="24">
        <f>$G175*Supuestos!H$6*(Drivers!H$60/100)*(Drivers!H$61/Drivers!$C$61)*(Drivers!H$62/Drivers!$C$62)*Supuestos!H$13</f>
        <v/>
      </c>
      <c r="M175" s="24">
        <f>$G175*Supuestos!I$6*(Drivers!I$60/100)*(Drivers!I$61/Drivers!$C$61)*(Drivers!I$62/Drivers!$C$62)*Supuestos!I$13</f>
        <v/>
      </c>
      <c r="N175" s="24">
        <f>$G175*Supuestos!J$6*(Drivers!J$60/100)*(Drivers!J$61/Drivers!$C$61)*(Drivers!J$62/Drivers!$C$62)*Supuestos!J$13</f>
        <v/>
      </c>
      <c r="O175" s="24">
        <f>$G175*Supuestos!K$6*(Drivers!K$60/100)*(Drivers!K$61/Drivers!$C$61)*(Drivers!K$62/Drivers!$C$62)*Supuestos!K$13</f>
        <v/>
      </c>
      <c r="P175" s="24">
        <f>$G175*Supuestos!L$6*(Drivers!L$60/100)*(Drivers!L$61/Drivers!$C$61)*(Drivers!L$62/Drivers!$C$62)*Supuestos!L$13</f>
        <v/>
      </c>
      <c r="Q175" s="24">
        <f>$G175*Supuestos!M$6*(Drivers!M$60/100)*(Drivers!M$61/Drivers!$C$61)*(Drivers!M$62/Drivers!$C$62)*Supuestos!M$13</f>
        <v/>
      </c>
      <c r="R175" s="24">
        <f>$G175*Supuestos!N$6*(Drivers!N$60/100)*(Drivers!N$61/Drivers!$C$61)*(Drivers!N$62/Drivers!$C$62)*Supuestos!N$13</f>
        <v/>
      </c>
      <c r="S175" s="24">
        <f>$G175*Supuestos!O$6*(Drivers!O$60/100)*(Drivers!O$61/Drivers!$C$61)*(Drivers!O$62/Drivers!$C$62)*Supuestos!O$13</f>
        <v/>
      </c>
      <c r="T175" s="24">
        <f>$G175*Supuestos!P$6*(Drivers!P$60/100)*(Drivers!P$61/Drivers!$C$61)*(Drivers!P$62/Drivers!$C$62)*Supuestos!P$13</f>
        <v/>
      </c>
      <c r="U175" s="24">
        <f>$G175*Supuestos!Q$6*(Drivers!Q$60/100)*(Drivers!Q$61/Drivers!$C$61)*(Drivers!Q$62/Drivers!$C$62)*Supuestos!Q$13</f>
        <v/>
      </c>
      <c r="V175" s="24">
        <f>$G175*Supuestos!R$6*(Drivers!R$60/100)*(Drivers!R$61/Drivers!$C$61)*(Drivers!R$62/Drivers!$C$62)*Supuestos!R$13</f>
        <v/>
      </c>
    </row>
    <row r="176">
      <c r="A176" s="6" t="inlineStr">
        <is>
          <t>POC</t>
        </is>
      </c>
      <c r="B176" s="6" t="inlineStr">
        <is>
          <t>ARS</t>
        </is>
      </c>
      <c r="C176" s="6" t="inlineStr">
        <is>
          <t>1 Ingreso Operacional</t>
        </is>
      </c>
      <c r="D176" s="6" t="inlineStr">
        <is>
          <t>1.1 Ingreso Cobranzas</t>
        </is>
      </c>
      <c r="E176" s="6" t="inlineStr">
        <is>
          <t>Ingreso por recupero</t>
        </is>
      </c>
      <c r="F176" s="6" t="inlineStr">
        <is>
          <t>rev</t>
        </is>
      </c>
      <c r="G176" s="24" t="n">
        <v>3701012.68</v>
      </c>
      <c r="H176" s="24">
        <f>$G176*Supuestos!D$6*(Drivers!D$66/100)*(Drivers!D$67/Drivers!$C$67)*(Drivers!D$68/Drivers!$C$68)*Supuestos!D$13</f>
        <v/>
      </c>
      <c r="I176" s="24">
        <f>$G176*Supuestos!E$6*(Drivers!E$66/100)*(Drivers!E$67/Drivers!$C$67)*(Drivers!E$68/Drivers!$C$68)*Supuestos!E$13</f>
        <v/>
      </c>
      <c r="J176" s="24">
        <f>$G176*Supuestos!F$6*(Drivers!F$66/100)*(Drivers!F$67/Drivers!$C$67)*(Drivers!F$68/Drivers!$C$68)*Supuestos!F$13</f>
        <v/>
      </c>
      <c r="K176" s="24">
        <f>$G176*Supuestos!G$6*(Drivers!G$66/100)*(Drivers!G$67/Drivers!$C$67)*(Drivers!G$68/Drivers!$C$68)*Supuestos!G$13</f>
        <v/>
      </c>
      <c r="L176" s="24">
        <f>$G176*Supuestos!H$6*(Drivers!H$66/100)*(Drivers!H$67/Drivers!$C$67)*(Drivers!H$68/Drivers!$C$68)*Supuestos!H$13</f>
        <v/>
      </c>
      <c r="M176" s="24">
        <f>$G176*Supuestos!I$6*(Drivers!I$66/100)*(Drivers!I$67/Drivers!$C$67)*(Drivers!I$68/Drivers!$C$68)*Supuestos!I$13</f>
        <v/>
      </c>
      <c r="N176" s="24">
        <f>$G176*Supuestos!J$6*(Drivers!J$66/100)*(Drivers!J$67/Drivers!$C$67)*(Drivers!J$68/Drivers!$C$68)*Supuestos!J$13</f>
        <v/>
      </c>
      <c r="O176" s="24">
        <f>$G176*Supuestos!K$6*(Drivers!K$66/100)*(Drivers!K$67/Drivers!$C$67)*(Drivers!K$68/Drivers!$C$68)*Supuestos!K$13</f>
        <v/>
      </c>
      <c r="P176" s="24">
        <f>$G176*Supuestos!L$6*(Drivers!L$66/100)*(Drivers!L$67/Drivers!$C$67)*(Drivers!L$68/Drivers!$C$68)*Supuestos!L$13</f>
        <v/>
      </c>
      <c r="Q176" s="24">
        <f>$G176*Supuestos!M$6*(Drivers!M$66/100)*(Drivers!M$67/Drivers!$C$67)*(Drivers!M$68/Drivers!$C$68)*Supuestos!M$13</f>
        <v/>
      </c>
      <c r="R176" s="24">
        <f>$G176*Supuestos!N$6*(Drivers!N$66/100)*(Drivers!N$67/Drivers!$C$67)*(Drivers!N$68/Drivers!$C$68)*Supuestos!N$13</f>
        <v/>
      </c>
      <c r="S176" s="24">
        <f>$G176*Supuestos!O$6*(Drivers!O$66/100)*(Drivers!O$67/Drivers!$C$67)*(Drivers!O$68/Drivers!$C$68)*Supuestos!O$13</f>
        <v/>
      </c>
      <c r="T176" s="24">
        <f>$G176*Supuestos!P$6*(Drivers!P$66/100)*(Drivers!P$67/Drivers!$C$67)*(Drivers!P$68/Drivers!$C$68)*Supuestos!P$13</f>
        <v/>
      </c>
      <c r="U176" s="24">
        <f>$G176*Supuestos!Q$6*(Drivers!Q$66/100)*(Drivers!Q$67/Drivers!$C$67)*(Drivers!Q$68/Drivers!$C$68)*Supuestos!Q$13</f>
        <v/>
      </c>
      <c r="V176" s="24">
        <f>$G176*Supuestos!R$6*(Drivers!R$66/100)*(Drivers!R$67/Drivers!$C$67)*(Drivers!R$68/Drivers!$C$68)*Supuestos!R$13</f>
        <v/>
      </c>
    </row>
    <row r="177">
      <c r="A177" s="6" t="inlineStr">
        <is>
          <t>POC</t>
        </is>
      </c>
      <c r="B177" s="6" t="inlineStr">
        <is>
          <t>ARS</t>
        </is>
      </c>
      <c r="C177" s="6" t="inlineStr">
        <is>
          <t>2 Costos de Explotación</t>
        </is>
      </c>
      <c r="D177" s="6" t="inlineStr">
        <is>
          <t>2.1 Remuneraciones</t>
        </is>
      </c>
      <c r="E177" s="6" t="inlineStr">
        <is>
          <t>Operadores</t>
        </is>
      </c>
      <c r="F177" s="6" t="inlineStr">
        <is>
          <t>pos_sal</t>
        </is>
      </c>
      <c r="G177" s="24" t="n">
        <v>-3510278.03</v>
      </c>
      <c r="H177" s="24">
        <f>$G177*Supuestos!D$10*(Drivers!D$69/Drivers!$C$69)</f>
        <v/>
      </c>
      <c r="I177" s="24">
        <f>$G177*Supuestos!E$10*(Drivers!E$69/Drivers!$C$69)</f>
        <v/>
      </c>
      <c r="J177" s="24">
        <f>$G177*Supuestos!F$10*(Drivers!F$69/Drivers!$C$69)</f>
        <v/>
      </c>
      <c r="K177" s="24">
        <f>$G177*Supuestos!G$10*(Drivers!G$69/Drivers!$C$69)</f>
        <v/>
      </c>
      <c r="L177" s="24">
        <f>$G177*Supuestos!H$10*(Drivers!H$69/Drivers!$C$69)</f>
        <v/>
      </c>
      <c r="M177" s="24">
        <f>$G177*Supuestos!I$10*(Drivers!I$69/Drivers!$C$69)</f>
        <v/>
      </c>
      <c r="N177" s="24">
        <f>$G177*Supuestos!J$10*(Drivers!J$69/Drivers!$C$69)</f>
        <v/>
      </c>
      <c r="O177" s="24">
        <f>$G177*Supuestos!K$10*(Drivers!K$69/Drivers!$C$69)</f>
        <v/>
      </c>
      <c r="P177" s="24">
        <f>$G177*Supuestos!L$10*(Drivers!L$69/Drivers!$C$69)</f>
        <v/>
      </c>
      <c r="Q177" s="24">
        <f>$G177*Supuestos!M$10*(Drivers!M$69/Drivers!$C$69)</f>
        <v/>
      </c>
      <c r="R177" s="24">
        <f>$G177*Supuestos!N$10*(Drivers!N$69/Drivers!$C$69)</f>
        <v/>
      </c>
      <c r="S177" s="24">
        <f>$G177*Supuestos!O$10*(Drivers!O$69/Drivers!$C$69)</f>
        <v/>
      </c>
      <c r="T177" s="24">
        <f>$G177*Supuestos!P$10*(Drivers!P$69/Drivers!$C$69)</f>
        <v/>
      </c>
      <c r="U177" s="24">
        <f>$G177*Supuestos!Q$10*(Drivers!Q$69/Drivers!$C$69)</f>
        <v/>
      </c>
      <c r="V177" s="24">
        <f>$G177*Supuestos!R$10*(Drivers!R$69/Drivers!$C$69)</f>
        <v/>
      </c>
    </row>
    <row r="178">
      <c r="A178" s="6" t="inlineStr">
        <is>
          <t>POC</t>
        </is>
      </c>
      <c r="B178" s="6" t="inlineStr">
        <is>
          <t>ARS</t>
        </is>
      </c>
      <c r="C178" s="6" t="inlineStr">
        <is>
          <t>2 Costos de Explotación</t>
        </is>
      </c>
      <c r="D178" s="6" t="inlineStr">
        <is>
          <t>2.1 Remuneraciones</t>
        </is>
      </c>
      <c r="E178" s="6" t="inlineStr">
        <is>
          <t>Supervisión</t>
        </is>
      </c>
      <c r="F178" s="6" t="inlineStr">
        <is>
          <t>pos_sal</t>
        </is>
      </c>
      <c r="G178" s="24" t="n">
        <v>-556038.89</v>
      </c>
      <c r="H178" s="24">
        <f>$G178*Supuestos!D$10*(Drivers!D$69/Drivers!$C$69)</f>
        <v/>
      </c>
      <c r="I178" s="24">
        <f>$G178*Supuestos!E$10*(Drivers!E$69/Drivers!$C$69)</f>
        <v/>
      </c>
      <c r="J178" s="24">
        <f>$G178*Supuestos!F$10*(Drivers!F$69/Drivers!$C$69)</f>
        <v/>
      </c>
      <c r="K178" s="24">
        <f>$G178*Supuestos!G$10*(Drivers!G$69/Drivers!$C$69)</f>
        <v/>
      </c>
      <c r="L178" s="24">
        <f>$G178*Supuestos!H$10*(Drivers!H$69/Drivers!$C$69)</f>
        <v/>
      </c>
      <c r="M178" s="24">
        <f>$G178*Supuestos!I$10*(Drivers!I$69/Drivers!$C$69)</f>
        <v/>
      </c>
      <c r="N178" s="24">
        <f>$G178*Supuestos!J$10*(Drivers!J$69/Drivers!$C$69)</f>
        <v/>
      </c>
      <c r="O178" s="24">
        <f>$G178*Supuestos!K$10*(Drivers!K$69/Drivers!$C$69)</f>
        <v/>
      </c>
      <c r="P178" s="24">
        <f>$G178*Supuestos!L$10*(Drivers!L$69/Drivers!$C$69)</f>
        <v/>
      </c>
      <c r="Q178" s="24">
        <f>$G178*Supuestos!M$10*(Drivers!M$69/Drivers!$C$69)</f>
        <v/>
      </c>
      <c r="R178" s="24">
        <f>$G178*Supuestos!N$10*(Drivers!N$69/Drivers!$C$69)</f>
        <v/>
      </c>
      <c r="S178" s="24">
        <f>$G178*Supuestos!O$10*(Drivers!O$69/Drivers!$C$69)</f>
        <v/>
      </c>
      <c r="T178" s="24">
        <f>$G178*Supuestos!P$10*(Drivers!P$69/Drivers!$C$69)</f>
        <v/>
      </c>
      <c r="U178" s="24">
        <f>$G178*Supuestos!Q$10*(Drivers!Q$69/Drivers!$C$69)</f>
        <v/>
      </c>
      <c r="V178" s="24">
        <f>$G178*Supuestos!R$10*(Drivers!R$69/Drivers!$C$69)</f>
        <v/>
      </c>
    </row>
    <row r="179">
      <c r="A179" s="6" t="inlineStr">
        <is>
          <t>POC</t>
        </is>
      </c>
      <c r="B179" s="6" t="inlineStr">
        <is>
          <t>ARS</t>
        </is>
      </c>
      <c r="C179" s="6" t="inlineStr">
        <is>
          <t>2 Costos de Explotación</t>
        </is>
      </c>
      <c r="D179" s="6" t="inlineStr">
        <is>
          <t>2.1 Remuneraciones</t>
        </is>
      </c>
      <c r="E179" s="6" t="inlineStr">
        <is>
          <t>Calidad</t>
        </is>
      </c>
      <c r="F179" s="6" t="inlineStr">
        <is>
          <t>pos_sal</t>
        </is>
      </c>
      <c r="G179" s="24" t="n">
        <v>-131535.97</v>
      </c>
      <c r="H179" s="24">
        <f>$G179*Supuestos!D$10*(Drivers!D$69/Drivers!$C$69)</f>
        <v/>
      </c>
      <c r="I179" s="24">
        <f>$G179*Supuestos!E$10*(Drivers!E$69/Drivers!$C$69)</f>
        <v/>
      </c>
      <c r="J179" s="24">
        <f>$G179*Supuestos!F$10*(Drivers!F$69/Drivers!$C$69)</f>
        <v/>
      </c>
      <c r="K179" s="24">
        <f>$G179*Supuestos!G$10*(Drivers!G$69/Drivers!$C$69)</f>
        <v/>
      </c>
      <c r="L179" s="24">
        <f>$G179*Supuestos!H$10*(Drivers!H$69/Drivers!$C$69)</f>
        <v/>
      </c>
      <c r="M179" s="24">
        <f>$G179*Supuestos!I$10*(Drivers!I$69/Drivers!$C$69)</f>
        <v/>
      </c>
      <c r="N179" s="24">
        <f>$G179*Supuestos!J$10*(Drivers!J$69/Drivers!$C$69)</f>
        <v/>
      </c>
      <c r="O179" s="24">
        <f>$G179*Supuestos!K$10*(Drivers!K$69/Drivers!$C$69)</f>
        <v/>
      </c>
      <c r="P179" s="24">
        <f>$G179*Supuestos!L$10*(Drivers!L$69/Drivers!$C$69)</f>
        <v/>
      </c>
      <c r="Q179" s="24">
        <f>$G179*Supuestos!M$10*(Drivers!M$69/Drivers!$C$69)</f>
        <v/>
      </c>
      <c r="R179" s="24">
        <f>$G179*Supuestos!N$10*(Drivers!N$69/Drivers!$C$69)</f>
        <v/>
      </c>
      <c r="S179" s="24">
        <f>$G179*Supuestos!O$10*(Drivers!O$69/Drivers!$C$69)</f>
        <v/>
      </c>
      <c r="T179" s="24">
        <f>$G179*Supuestos!P$10*(Drivers!P$69/Drivers!$C$69)</f>
        <v/>
      </c>
      <c r="U179" s="24">
        <f>$G179*Supuestos!Q$10*(Drivers!Q$69/Drivers!$C$69)</f>
        <v/>
      </c>
      <c r="V179" s="24">
        <f>$G179*Supuestos!R$10*(Drivers!R$69/Drivers!$C$69)</f>
        <v/>
      </c>
    </row>
    <row r="180">
      <c r="A180" s="6" t="inlineStr">
        <is>
          <t>POC</t>
        </is>
      </c>
      <c r="B180" s="6" t="inlineStr">
        <is>
          <t>ARS</t>
        </is>
      </c>
      <c r="C180" s="6" t="inlineStr">
        <is>
          <t>2 Costos de Explotación</t>
        </is>
      </c>
      <c r="D180" s="6" t="inlineStr">
        <is>
          <t>2.1 Remuneraciones</t>
        </is>
      </c>
      <c r="E180" s="6" t="inlineStr">
        <is>
          <t>Back Office</t>
        </is>
      </c>
      <c r="F180" s="6" t="inlineStr">
        <is>
          <t>pos_sal</t>
        </is>
      </c>
      <c r="G180" s="24" t="n">
        <v>-89683.69</v>
      </c>
      <c r="H180" s="24">
        <f>$G180*Supuestos!D$10*(Drivers!D$69/Drivers!$C$69)</f>
        <v/>
      </c>
      <c r="I180" s="24">
        <f>$G180*Supuestos!E$10*(Drivers!E$69/Drivers!$C$69)</f>
        <v/>
      </c>
      <c r="J180" s="24">
        <f>$G180*Supuestos!F$10*(Drivers!F$69/Drivers!$C$69)</f>
        <v/>
      </c>
      <c r="K180" s="24">
        <f>$G180*Supuestos!G$10*(Drivers!G$69/Drivers!$C$69)</f>
        <v/>
      </c>
      <c r="L180" s="24">
        <f>$G180*Supuestos!H$10*(Drivers!H$69/Drivers!$C$69)</f>
        <v/>
      </c>
      <c r="M180" s="24">
        <f>$G180*Supuestos!I$10*(Drivers!I$69/Drivers!$C$69)</f>
        <v/>
      </c>
      <c r="N180" s="24">
        <f>$G180*Supuestos!J$10*(Drivers!J$69/Drivers!$C$69)</f>
        <v/>
      </c>
      <c r="O180" s="24">
        <f>$G180*Supuestos!K$10*(Drivers!K$69/Drivers!$C$69)</f>
        <v/>
      </c>
      <c r="P180" s="24">
        <f>$G180*Supuestos!L$10*(Drivers!L$69/Drivers!$C$69)</f>
        <v/>
      </c>
      <c r="Q180" s="24">
        <f>$G180*Supuestos!M$10*(Drivers!M$69/Drivers!$C$69)</f>
        <v/>
      </c>
      <c r="R180" s="24">
        <f>$G180*Supuestos!N$10*(Drivers!N$69/Drivers!$C$69)</f>
        <v/>
      </c>
      <c r="S180" s="24">
        <f>$G180*Supuestos!O$10*(Drivers!O$69/Drivers!$C$69)</f>
        <v/>
      </c>
      <c r="T180" s="24">
        <f>$G180*Supuestos!P$10*(Drivers!P$69/Drivers!$C$69)</f>
        <v/>
      </c>
      <c r="U180" s="24">
        <f>$G180*Supuestos!Q$10*(Drivers!Q$69/Drivers!$C$69)</f>
        <v/>
      </c>
      <c r="V180" s="24">
        <f>$G180*Supuestos!R$10*(Drivers!R$69/Drivers!$C$69)</f>
        <v/>
      </c>
    </row>
    <row r="181">
      <c r="A181" s="6" t="inlineStr">
        <is>
          <t>POC</t>
        </is>
      </c>
      <c r="B181" s="6" t="inlineStr">
        <is>
          <t>ARS</t>
        </is>
      </c>
      <c r="C181" s="6" t="inlineStr">
        <is>
          <t>2 Costos de Explotación</t>
        </is>
      </c>
      <c r="D181" s="6" t="inlineStr">
        <is>
          <t>2.1 Remuneraciones</t>
        </is>
      </c>
      <c r="E181" s="6" t="inlineStr">
        <is>
          <t>Ejecutivos de cuenta</t>
        </is>
      </c>
      <c r="F181" s="6" t="inlineStr">
        <is>
          <t>pos_sal</t>
        </is>
      </c>
      <c r="G181" s="24" t="n">
        <v>-170399.01</v>
      </c>
      <c r="H181" s="24">
        <f>$G181*Supuestos!D$10*(Drivers!D$69/Drivers!$C$69)</f>
        <v/>
      </c>
      <c r="I181" s="24">
        <f>$G181*Supuestos!E$10*(Drivers!E$69/Drivers!$C$69)</f>
        <v/>
      </c>
      <c r="J181" s="24">
        <f>$G181*Supuestos!F$10*(Drivers!F$69/Drivers!$C$69)</f>
        <v/>
      </c>
      <c r="K181" s="24">
        <f>$G181*Supuestos!G$10*(Drivers!G$69/Drivers!$C$69)</f>
        <v/>
      </c>
      <c r="L181" s="24">
        <f>$G181*Supuestos!H$10*(Drivers!H$69/Drivers!$C$69)</f>
        <v/>
      </c>
      <c r="M181" s="24">
        <f>$G181*Supuestos!I$10*(Drivers!I$69/Drivers!$C$69)</f>
        <v/>
      </c>
      <c r="N181" s="24">
        <f>$G181*Supuestos!J$10*(Drivers!J$69/Drivers!$C$69)</f>
        <v/>
      </c>
      <c r="O181" s="24">
        <f>$G181*Supuestos!K$10*(Drivers!K$69/Drivers!$C$69)</f>
        <v/>
      </c>
      <c r="P181" s="24">
        <f>$G181*Supuestos!L$10*(Drivers!L$69/Drivers!$C$69)</f>
        <v/>
      </c>
      <c r="Q181" s="24">
        <f>$G181*Supuestos!M$10*(Drivers!M$69/Drivers!$C$69)</f>
        <v/>
      </c>
      <c r="R181" s="24">
        <f>$G181*Supuestos!N$10*(Drivers!N$69/Drivers!$C$69)</f>
        <v/>
      </c>
      <c r="S181" s="24">
        <f>$G181*Supuestos!O$10*(Drivers!O$69/Drivers!$C$69)</f>
        <v/>
      </c>
      <c r="T181" s="24">
        <f>$G181*Supuestos!P$10*(Drivers!P$69/Drivers!$C$69)</f>
        <v/>
      </c>
      <c r="U181" s="24">
        <f>$G181*Supuestos!Q$10*(Drivers!Q$69/Drivers!$C$69)</f>
        <v/>
      </c>
      <c r="V181" s="24">
        <f>$G181*Supuestos!R$10*(Drivers!R$69/Drivers!$C$69)</f>
        <v/>
      </c>
    </row>
    <row r="182">
      <c r="A182" s="6" t="inlineStr">
        <is>
          <t>POC</t>
        </is>
      </c>
      <c r="B182" s="6" t="inlineStr">
        <is>
          <t>ARS</t>
        </is>
      </c>
      <c r="C182" s="6" t="inlineStr">
        <is>
          <t>2 Costos de Explotación</t>
        </is>
      </c>
      <c r="D182" s="6" t="inlineStr">
        <is>
          <t>2.1 Remuneraciones</t>
        </is>
      </c>
      <c r="E182" s="6" t="inlineStr">
        <is>
          <t>Gerencia de Operaciones</t>
        </is>
      </c>
      <c r="F182" s="6" t="inlineStr">
        <is>
          <t>pos_sal</t>
        </is>
      </c>
      <c r="G182" s="24" t="n">
        <v>-191325.33</v>
      </c>
      <c r="H182" s="24">
        <f>$G182*Supuestos!D$10*(Drivers!D$69/Drivers!$C$69)</f>
        <v/>
      </c>
      <c r="I182" s="24">
        <f>$G182*Supuestos!E$10*(Drivers!E$69/Drivers!$C$69)</f>
        <v/>
      </c>
      <c r="J182" s="24">
        <f>$G182*Supuestos!F$10*(Drivers!F$69/Drivers!$C$69)</f>
        <v/>
      </c>
      <c r="K182" s="24">
        <f>$G182*Supuestos!G$10*(Drivers!G$69/Drivers!$C$69)</f>
        <v/>
      </c>
      <c r="L182" s="24">
        <f>$G182*Supuestos!H$10*(Drivers!H$69/Drivers!$C$69)</f>
        <v/>
      </c>
      <c r="M182" s="24">
        <f>$G182*Supuestos!I$10*(Drivers!I$69/Drivers!$C$69)</f>
        <v/>
      </c>
      <c r="N182" s="24">
        <f>$G182*Supuestos!J$10*(Drivers!J$69/Drivers!$C$69)</f>
        <v/>
      </c>
      <c r="O182" s="24">
        <f>$G182*Supuestos!K$10*(Drivers!K$69/Drivers!$C$69)</f>
        <v/>
      </c>
      <c r="P182" s="24">
        <f>$G182*Supuestos!L$10*(Drivers!L$69/Drivers!$C$69)</f>
        <v/>
      </c>
      <c r="Q182" s="24">
        <f>$G182*Supuestos!M$10*(Drivers!M$69/Drivers!$C$69)</f>
        <v/>
      </c>
      <c r="R182" s="24">
        <f>$G182*Supuestos!N$10*(Drivers!N$69/Drivers!$C$69)</f>
        <v/>
      </c>
      <c r="S182" s="24">
        <f>$G182*Supuestos!O$10*(Drivers!O$69/Drivers!$C$69)</f>
        <v/>
      </c>
      <c r="T182" s="24">
        <f>$G182*Supuestos!P$10*(Drivers!P$69/Drivers!$C$69)</f>
        <v/>
      </c>
      <c r="U182" s="24">
        <f>$G182*Supuestos!Q$10*(Drivers!Q$69/Drivers!$C$69)</f>
        <v/>
      </c>
      <c r="V182" s="24">
        <f>$G182*Supuestos!R$10*(Drivers!R$69/Drivers!$C$69)</f>
        <v/>
      </c>
    </row>
    <row r="183">
      <c r="A183" s="6" t="inlineStr">
        <is>
          <t>POC</t>
        </is>
      </c>
      <c r="B183" s="6" t="inlineStr">
        <is>
          <t>ARS</t>
        </is>
      </c>
      <c r="C183" s="6" t="inlineStr">
        <is>
          <t>2 Costos de Explotación</t>
        </is>
      </c>
      <c r="D183" s="6" t="inlineStr">
        <is>
          <t>2.1 Remuneraciones</t>
        </is>
      </c>
      <c r="E183" s="6" t="inlineStr">
        <is>
          <t>Indemnizaciones</t>
        </is>
      </c>
      <c r="F183" s="6" t="inlineStr">
        <is>
          <t>zero</t>
        </is>
      </c>
      <c r="G183" s="24" t="n">
        <v>-30035.48</v>
      </c>
      <c r="H183" s="24">
        <f>0</f>
        <v/>
      </c>
      <c r="I183" s="24">
        <f>0</f>
        <v/>
      </c>
      <c r="J183" s="24">
        <f>0</f>
        <v/>
      </c>
      <c r="K183" s="24">
        <f>0</f>
        <v/>
      </c>
      <c r="L183" s="24">
        <f>0</f>
        <v/>
      </c>
      <c r="M183" s="24">
        <f>0</f>
        <v/>
      </c>
      <c r="N183" s="24">
        <f>0</f>
        <v/>
      </c>
      <c r="O183" s="24">
        <f>0</f>
        <v/>
      </c>
      <c r="P183" s="24">
        <f>0</f>
        <v/>
      </c>
      <c r="Q183" s="24">
        <f>0</f>
        <v/>
      </c>
      <c r="R183" s="24">
        <f>0</f>
        <v/>
      </c>
      <c r="S183" s="24">
        <f>0</f>
        <v/>
      </c>
      <c r="T183" s="24">
        <f>0</f>
        <v/>
      </c>
      <c r="U183" s="24">
        <f>0</f>
        <v/>
      </c>
      <c r="V183" s="24">
        <f>0</f>
        <v/>
      </c>
    </row>
    <row r="184">
      <c r="A184" s="6" t="inlineStr">
        <is>
          <t>POC</t>
        </is>
      </c>
      <c r="B184" s="6" t="inlineStr">
        <is>
          <t>ARS</t>
        </is>
      </c>
      <c r="C184" s="6" t="inlineStr">
        <is>
          <t>2 Costos de Explotación</t>
        </is>
      </c>
      <c r="D184" s="6" t="inlineStr">
        <is>
          <t>2.3 Licencias</t>
        </is>
      </c>
      <c r="E184" s="6" t="inlineStr">
        <is>
          <t>Licencias discador/CRM</t>
        </is>
      </c>
      <c r="F184" s="6" t="inlineStr">
        <is>
          <t>pos_usd</t>
        </is>
      </c>
      <c r="G184" s="24" t="n">
        <v>-245700</v>
      </c>
      <c r="H184" s="24">
        <f>$G184*Supuestos!D$8*(Drivers!D$69/Drivers!$C$69)</f>
        <v/>
      </c>
      <c r="I184" s="24">
        <f>$G184*Supuestos!E$8*(Drivers!E$69/Drivers!$C$69)</f>
        <v/>
      </c>
      <c r="J184" s="24">
        <f>$G184*Supuestos!F$8*(Drivers!F$69/Drivers!$C$69)</f>
        <v/>
      </c>
      <c r="K184" s="24">
        <f>$G184*Supuestos!G$8*(Drivers!G$69/Drivers!$C$69)</f>
        <v/>
      </c>
      <c r="L184" s="24">
        <f>$G184*Supuestos!H$8*(Drivers!H$69/Drivers!$C$69)</f>
        <v/>
      </c>
      <c r="M184" s="24">
        <f>$G184*Supuestos!I$8*(Drivers!I$69/Drivers!$C$69)</f>
        <v/>
      </c>
      <c r="N184" s="24">
        <f>$G184*Supuestos!J$8*(Drivers!J$69/Drivers!$C$69)</f>
        <v/>
      </c>
      <c r="O184" s="24">
        <f>$G184*Supuestos!K$8*(Drivers!K$69/Drivers!$C$69)</f>
        <v/>
      </c>
      <c r="P184" s="24">
        <f>$G184*Supuestos!L$8*(Drivers!L$69/Drivers!$C$69)</f>
        <v/>
      </c>
      <c r="Q184" s="24">
        <f>$G184*Supuestos!M$8*(Drivers!M$69/Drivers!$C$69)</f>
        <v/>
      </c>
      <c r="R184" s="24">
        <f>$G184*Supuestos!N$8*(Drivers!N$69/Drivers!$C$69)</f>
        <v/>
      </c>
      <c r="S184" s="24">
        <f>$G184*Supuestos!O$8*(Drivers!O$69/Drivers!$C$69)</f>
        <v/>
      </c>
      <c r="T184" s="24">
        <f>$G184*Supuestos!P$8*(Drivers!P$69/Drivers!$C$69)</f>
        <v/>
      </c>
      <c r="U184" s="24">
        <f>$G184*Supuestos!Q$8*(Drivers!Q$69/Drivers!$C$69)</f>
        <v/>
      </c>
      <c r="V184" s="24">
        <f>$G184*Supuestos!R$8*(Drivers!R$69/Drivers!$C$69)</f>
        <v/>
      </c>
    </row>
    <row r="185">
      <c r="A185" s="6" t="inlineStr">
        <is>
          <t>POC</t>
        </is>
      </c>
      <c r="B185" s="6" t="inlineStr">
        <is>
          <t>ARS</t>
        </is>
      </c>
      <c r="C185" s="6" t="inlineStr">
        <is>
          <t>2 Costos de Explotación</t>
        </is>
      </c>
      <c r="D185" s="6" t="inlineStr">
        <is>
          <t>2.5 Telefonía</t>
        </is>
      </c>
      <c r="E185" s="6" t="inlineStr">
        <is>
          <t>Telefonía celular</t>
        </is>
      </c>
      <c r="F185" s="6" t="inlineStr">
        <is>
          <t>pos_inf</t>
        </is>
      </c>
      <c r="G185" s="24" t="n">
        <v>-129894.32</v>
      </c>
      <c r="H185" s="24">
        <f>$G185*Supuestos!D$6*(Drivers!D$69/Drivers!$C$69)</f>
        <v/>
      </c>
      <c r="I185" s="24">
        <f>$G185*Supuestos!E$6*(Drivers!E$69/Drivers!$C$69)</f>
        <v/>
      </c>
      <c r="J185" s="24">
        <f>$G185*Supuestos!F$6*(Drivers!F$69/Drivers!$C$69)</f>
        <v/>
      </c>
      <c r="K185" s="24">
        <f>$G185*Supuestos!G$6*(Drivers!G$69/Drivers!$C$69)</f>
        <v/>
      </c>
      <c r="L185" s="24">
        <f>$G185*Supuestos!H$6*(Drivers!H$69/Drivers!$C$69)</f>
        <v/>
      </c>
      <c r="M185" s="24">
        <f>$G185*Supuestos!I$6*(Drivers!I$69/Drivers!$C$69)</f>
        <v/>
      </c>
      <c r="N185" s="24">
        <f>$G185*Supuestos!J$6*(Drivers!J$69/Drivers!$C$69)</f>
        <v/>
      </c>
      <c r="O185" s="24">
        <f>$G185*Supuestos!K$6*(Drivers!K$69/Drivers!$C$69)</f>
        <v/>
      </c>
      <c r="P185" s="24">
        <f>$G185*Supuestos!L$6*(Drivers!L$69/Drivers!$C$69)</f>
        <v/>
      </c>
      <c r="Q185" s="24">
        <f>$G185*Supuestos!M$6*(Drivers!M$69/Drivers!$C$69)</f>
        <v/>
      </c>
      <c r="R185" s="24">
        <f>$G185*Supuestos!N$6*(Drivers!N$69/Drivers!$C$69)</f>
        <v/>
      </c>
      <c r="S185" s="24">
        <f>$G185*Supuestos!O$6*(Drivers!O$69/Drivers!$C$69)</f>
        <v/>
      </c>
      <c r="T185" s="24">
        <f>$G185*Supuestos!P$6*(Drivers!P$69/Drivers!$C$69)</f>
        <v/>
      </c>
      <c r="U185" s="24">
        <f>$G185*Supuestos!Q$6*(Drivers!Q$69/Drivers!$C$69)</f>
        <v/>
      </c>
      <c r="V185" s="24">
        <f>$G185*Supuestos!R$6*(Drivers!R$69/Drivers!$C$69)</f>
        <v/>
      </c>
    </row>
    <row r="186">
      <c r="A186" s="6" t="inlineStr">
        <is>
          <t>POC</t>
        </is>
      </c>
      <c r="B186" s="6" t="inlineStr">
        <is>
          <t>ARS</t>
        </is>
      </c>
      <c r="C186" s="6" t="inlineStr">
        <is>
          <t>2 Costos de Explotación</t>
        </is>
      </c>
      <c r="D186" s="6" t="inlineStr">
        <is>
          <t>2.5 Telefonía</t>
        </is>
      </c>
      <c r="E186" s="6" t="inlineStr">
        <is>
          <t>Telefonía LDN</t>
        </is>
      </c>
      <c r="F186" s="6" t="inlineStr">
        <is>
          <t>pos_inf</t>
        </is>
      </c>
      <c r="G186" s="24" t="n">
        <v>-33401.22</v>
      </c>
      <c r="H186" s="24">
        <f>$G186*Supuestos!D$6*(Drivers!D$69/Drivers!$C$69)</f>
        <v/>
      </c>
      <c r="I186" s="24">
        <f>$G186*Supuestos!E$6*(Drivers!E$69/Drivers!$C$69)</f>
        <v/>
      </c>
      <c r="J186" s="24">
        <f>$G186*Supuestos!F$6*(Drivers!F$69/Drivers!$C$69)</f>
        <v/>
      </c>
      <c r="K186" s="24">
        <f>$G186*Supuestos!G$6*(Drivers!G$69/Drivers!$C$69)</f>
        <v/>
      </c>
      <c r="L186" s="24">
        <f>$G186*Supuestos!H$6*(Drivers!H$69/Drivers!$C$69)</f>
        <v/>
      </c>
      <c r="M186" s="24">
        <f>$G186*Supuestos!I$6*(Drivers!I$69/Drivers!$C$69)</f>
        <v/>
      </c>
      <c r="N186" s="24">
        <f>$G186*Supuestos!J$6*(Drivers!J$69/Drivers!$C$69)</f>
        <v/>
      </c>
      <c r="O186" s="24">
        <f>$G186*Supuestos!K$6*(Drivers!K$69/Drivers!$C$69)</f>
        <v/>
      </c>
      <c r="P186" s="24">
        <f>$G186*Supuestos!L$6*(Drivers!L$69/Drivers!$C$69)</f>
        <v/>
      </c>
      <c r="Q186" s="24">
        <f>$G186*Supuestos!M$6*(Drivers!M$69/Drivers!$C$69)</f>
        <v/>
      </c>
      <c r="R186" s="24">
        <f>$G186*Supuestos!N$6*(Drivers!N$69/Drivers!$C$69)</f>
        <v/>
      </c>
      <c r="S186" s="24">
        <f>$G186*Supuestos!O$6*(Drivers!O$69/Drivers!$C$69)</f>
        <v/>
      </c>
      <c r="T186" s="24">
        <f>$G186*Supuestos!P$6*(Drivers!P$69/Drivers!$C$69)</f>
        <v/>
      </c>
      <c r="U186" s="24">
        <f>$G186*Supuestos!Q$6*(Drivers!Q$69/Drivers!$C$69)</f>
        <v/>
      </c>
      <c r="V186" s="24">
        <f>$G186*Supuestos!R$6*(Drivers!R$69/Drivers!$C$69)</f>
        <v/>
      </c>
    </row>
    <row r="187">
      <c r="A187" s="6" t="inlineStr">
        <is>
          <t>POC</t>
        </is>
      </c>
      <c r="B187" s="6" t="inlineStr">
        <is>
          <t>ARS</t>
        </is>
      </c>
      <c r="C187" s="6" t="inlineStr">
        <is>
          <t>2 Costos de Explotación</t>
        </is>
      </c>
      <c r="D187" s="6" t="inlineStr">
        <is>
          <t>2.5 Telefonía</t>
        </is>
      </c>
      <c r="E187" s="6" t="inlineStr">
        <is>
          <t>Telefonía local y 0800</t>
        </is>
      </c>
      <c r="F187" s="6" t="inlineStr">
        <is>
          <t>pos_inf</t>
        </is>
      </c>
      <c r="G187" s="24" t="n">
        <v>-22267.48</v>
      </c>
      <c r="H187" s="24">
        <f>$G187*Supuestos!D$6*(Drivers!D$69/Drivers!$C$69)</f>
        <v/>
      </c>
      <c r="I187" s="24">
        <f>$G187*Supuestos!E$6*(Drivers!E$69/Drivers!$C$69)</f>
        <v/>
      </c>
      <c r="J187" s="24">
        <f>$G187*Supuestos!F$6*(Drivers!F$69/Drivers!$C$69)</f>
        <v/>
      </c>
      <c r="K187" s="24">
        <f>$G187*Supuestos!G$6*(Drivers!G$69/Drivers!$C$69)</f>
        <v/>
      </c>
      <c r="L187" s="24">
        <f>$G187*Supuestos!H$6*(Drivers!H$69/Drivers!$C$69)</f>
        <v/>
      </c>
      <c r="M187" s="24">
        <f>$G187*Supuestos!I$6*(Drivers!I$69/Drivers!$C$69)</f>
        <v/>
      </c>
      <c r="N187" s="24">
        <f>$G187*Supuestos!J$6*(Drivers!J$69/Drivers!$C$69)</f>
        <v/>
      </c>
      <c r="O187" s="24">
        <f>$G187*Supuestos!K$6*(Drivers!K$69/Drivers!$C$69)</f>
        <v/>
      </c>
      <c r="P187" s="24">
        <f>$G187*Supuestos!L$6*(Drivers!L$69/Drivers!$C$69)</f>
        <v/>
      </c>
      <c r="Q187" s="24">
        <f>$G187*Supuestos!M$6*(Drivers!M$69/Drivers!$C$69)</f>
        <v/>
      </c>
      <c r="R187" s="24">
        <f>$G187*Supuestos!N$6*(Drivers!N$69/Drivers!$C$69)</f>
        <v/>
      </c>
      <c r="S187" s="24">
        <f>$G187*Supuestos!O$6*(Drivers!O$69/Drivers!$C$69)</f>
        <v/>
      </c>
      <c r="T187" s="24">
        <f>$G187*Supuestos!P$6*(Drivers!P$69/Drivers!$C$69)</f>
        <v/>
      </c>
      <c r="U187" s="24">
        <f>$G187*Supuestos!Q$6*(Drivers!Q$69/Drivers!$C$69)</f>
        <v/>
      </c>
      <c r="V187" s="24">
        <f>$G187*Supuestos!R$6*(Drivers!R$69/Drivers!$C$69)</f>
        <v/>
      </c>
    </row>
    <row r="188">
      <c r="A188" s="6" t="inlineStr">
        <is>
          <t>POC</t>
        </is>
      </c>
      <c r="B188" s="6" t="inlineStr">
        <is>
          <t>ARS</t>
        </is>
      </c>
      <c r="C188" s="6" t="inlineStr">
        <is>
          <t>2 Costos de Explotación</t>
        </is>
      </c>
      <c r="D188" s="6" t="inlineStr">
        <is>
          <t>2.6 SMS</t>
        </is>
      </c>
      <c r="E188" s="6" t="inlineStr">
        <is>
          <t>SMS</t>
        </is>
      </c>
      <c r="F188" s="6" t="inlineStr">
        <is>
          <t>sms</t>
        </is>
      </c>
      <c r="G188" s="24" t="n">
        <v>-61775.31</v>
      </c>
      <c r="H188" s="24">
        <f>$G188*Supuestos!D$12*(Drivers!D$66/100)</f>
        <v/>
      </c>
      <c r="I188" s="24">
        <f>$G188*Supuestos!E$12*(Drivers!E$66/100)</f>
        <v/>
      </c>
      <c r="J188" s="24">
        <f>$G188*Supuestos!F$12*(Drivers!F$66/100)</f>
        <v/>
      </c>
      <c r="K188" s="24">
        <f>$G188*Supuestos!G$12*(Drivers!G$66/100)</f>
        <v/>
      </c>
      <c r="L188" s="24">
        <f>$G188*Supuestos!H$12*(Drivers!H$66/100)</f>
        <v/>
      </c>
      <c r="M188" s="24">
        <f>$G188*Supuestos!I$12*(Drivers!I$66/100)</f>
        <v/>
      </c>
      <c r="N188" s="24">
        <f>$G188*Supuestos!J$12*(Drivers!J$66/100)</f>
        <v/>
      </c>
      <c r="O188" s="24">
        <f>$G188*Supuestos!K$12*(Drivers!K$66/100)</f>
        <v/>
      </c>
      <c r="P188" s="24">
        <f>$G188*Supuestos!L$12*(Drivers!L$66/100)</f>
        <v/>
      </c>
      <c r="Q188" s="24">
        <f>$G188*Supuestos!M$12*(Drivers!M$66/100)</f>
        <v/>
      </c>
      <c r="R188" s="24">
        <f>$G188*Supuestos!N$12*(Drivers!N$66/100)</f>
        <v/>
      </c>
      <c r="S188" s="24">
        <f>$G188*Supuestos!O$12*(Drivers!O$66/100)</f>
        <v/>
      </c>
      <c r="T188" s="24">
        <f>$G188*Supuestos!P$12*(Drivers!P$66/100)</f>
        <v/>
      </c>
      <c r="U188" s="24">
        <f>$G188*Supuestos!Q$12*(Drivers!Q$66/100)</f>
        <v/>
      </c>
      <c r="V188" s="24">
        <f>$G188*Supuestos!R$12*(Drivers!R$66/100)</f>
        <v/>
      </c>
    </row>
    <row r="189">
      <c r="A189" s="6" t="inlineStr">
        <is>
          <t>POC</t>
        </is>
      </c>
      <c r="B189" s="6" t="inlineStr">
        <is>
          <t>ARS</t>
        </is>
      </c>
      <c r="C189" s="6" t="inlineStr">
        <is>
          <t>2 Costos de Explotación</t>
        </is>
      </c>
      <c r="D189" s="6" t="inlineStr">
        <is>
          <t>2.7 Bocas de Cobranza</t>
        </is>
      </c>
      <c r="E189" s="6" t="inlineStr">
        <is>
          <t>Bocas de cobranza</t>
        </is>
      </c>
      <c r="F189" s="6" t="inlineStr">
        <is>
          <t>vol_inf</t>
        </is>
      </c>
      <c r="G189" s="24" t="n">
        <v>-33760.14</v>
      </c>
      <c r="H189" s="24">
        <f>$G189*Supuestos!D$6*(Drivers!D$66/100)</f>
        <v/>
      </c>
      <c r="I189" s="24">
        <f>$G189*Supuestos!E$6*(Drivers!E$66/100)</f>
        <v/>
      </c>
      <c r="J189" s="24">
        <f>$G189*Supuestos!F$6*(Drivers!F$66/100)</f>
        <v/>
      </c>
      <c r="K189" s="24">
        <f>$G189*Supuestos!G$6*(Drivers!G$66/100)</f>
        <v/>
      </c>
      <c r="L189" s="24">
        <f>$G189*Supuestos!H$6*(Drivers!H$66/100)</f>
        <v/>
      </c>
      <c r="M189" s="24">
        <f>$G189*Supuestos!I$6*(Drivers!I$66/100)</f>
        <v/>
      </c>
      <c r="N189" s="24">
        <f>$G189*Supuestos!J$6*(Drivers!J$66/100)</f>
        <v/>
      </c>
      <c r="O189" s="24">
        <f>$G189*Supuestos!K$6*(Drivers!K$66/100)</f>
        <v/>
      </c>
      <c r="P189" s="24">
        <f>$G189*Supuestos!L$6*(Drivers!L$66/100)</f>
        <v/>
      </c>
      <c r="Q189" s="24">
        <f>$G189*Supuestos!M$6*(Drivers!M$66/100)</f>
        <v/>
      </c>
      <c r="R189" s="24">
        <f>$G189*Supuestos!N$6*(Drivers!N$66/100)</f>
        <v/>
      </c>
      <c r="S189" s="24">
        <f>$G189*Supuestos!O$6*(Drivers!O$66/100)</f>
        <v/>
      </c>
      <c r="T189" s="24">
        <f>$G189*Supuestos!P$6*(Drivers!P$66/100)</f>
        <v/>
      </c>
      <c r="U189" s="24">
        <f>$G189*Supuestos!Q$6*(Drivers!Q$66/100)</f>
        <v/>
      </c>
      <c r="V189" s="24">
        <f>$G189*Supuestos!R$6*(Drivers!R$66/100)</f>
        <v/>
      </c>
    </row>
    <row r="190">
      <c r="A190" s="6" t="inlineStr">
        <is>
          <t>POC</t>
        </is>
      </c>
      <c r="B190" s="6" t="inlineStr">
        <is>
          <t>ARS</t>
        </is>
      </c>
      <c r="C190" s="6" t="inlineStr">
        <is>
          <t>2 Costos de Explotación</t>
        </is>
      </c>
      <c r="D190" s="6" t="inlineStr">
        <is>
          <t>2.8 Mailing</t>
        </is>
      </c>
      <c r="E190" s="6" t="inlineStr">
        <is>
          <t>Mailing</t>
        </is>
      </c>
      <c r="F190" s="6" t="inlineStr">
        <is>
          <t>vol_usd</t>
        </is>
      </c>
      <c r="G190" s="24" t="n">
        <v>-34474.9</v>
      </c>
      <c r="H190" s="24">
        <f>$G190*Supuestos!D$8*(Drivers!D$66/100)</f>
        <v/>
      </c>
      <c r="I190" s="24">
        <f>$G190*Supuestos!E$8*(Drivers!E$66/100)</f>
        <v/>
      </c>
      <c r="J190" s="24">
        <f>$G190*Supuestos!F$8*(Drivers!F$66/100)</f>
        <v/>
      </c>
      <c r="K190" s="24">
        <f>$G190*Supuestos!G$8*(Drivers!G$66/100)</f>
        <v/>
      </c>
      <c r="L190" s="24">
        <f>$G190*Supuestos!H$8*(Drivers!H$66/100)</f>
        <v/>
      </c>
      <c r="M190" s="24">
        <f>$G190*Supuestos!I$8*(Drivers!I$66/100)</f>
        <v/>
      </c>
      <c r="N190" s="24">
        <f>$G190*Supuestos!J$8*(Drivers!J$66/100)</f>
        <v/>
      </c>
      <c r="O190" s="24">
        <f>$G190*Supuestos!K$8*(Drivers!K$66/100)</f>
        <v/>
      </c>
      <c r="P190" s="24">
        <f>$G190*Supuestos!L$8*(Drivers!L$66/100)</f>
        <v/>
      </c>
      <c r="Q190" s="24">
        <f>$G190*Supuestos!M$8*(Drivers!M$66/100)</f>
        <v/>
      </c>
      <c r="R190" s="24">
        <f>$G190*Supuestos!N$8*(Drivers!N$66/100)</f>
        <v/>
      </c>
      <c r="S190" s="24">
        <f>$G190*Supuestos!O$8*(Drivers!O$66/100)</f>
        <v/>
      </c>
      <c r="T190" s="24">
        <f>$G190*Supuestos!P$8*(Drivers!P$66/100)</f>
        <v/>
      </c>
      <c r="U190" s="24">
        <f>$G190*Supuestos!Q$8*(Drivers!Q$66/100)</f>
        <v/>
      </c>
      <c r="V190" s="24">
        <f>$G190*Supuestos!R$8*(Drivers!R$66/100)</f>
        <v/>
      </c>
    </row>
    <row r="191">
      <c r="A191" s="6" t="inlineStr">
        <is>
          <t>POC</t>
        </is>
      </c>
      <c r="B191" s="6" t="inlineStr">
        <is>
          <t>ARS</t>
        </is>
      </c>
      <c r="C191" s="6" t="inlineStr">
        <is>
          <t>2 Costos de Explotación</t>
        </is>
      </c>
      <c r="D191" s="6" t="inlineStr">
        <is>
          <t>2.9 Informes Comerciales</t>
        </is>
      </c>
      <c r="E191" s="6" t="inlineStr">
        <is>
          <t>Informes comerciales</t>
        </is>
      </c>
      <c r="F191" s="6" t="inlineStr">
        <is>
          <t>vol_inf</t>
        </is>
      </c>
      <c r="G191" s="24" t="n">
        <v>-138872.77</v>
      </c>
      <c r="H191" s="24">
        <f>$G191*Supuestos!D$6*(Drivers!D$66/100)</f>
        <v/>
      </c>
      <c r="I191" s="24">
        <f>$G191*Supuestos!E$6*(Drivers!E$66/100)</f>
        <v/>
      </c>
      <c r="J191" s="24">
        <f>$G191*Supuestos!F$6*(Drivers!F$66/100)</f>
        <v/>
      </c>
      <c r="K191" s="24">
        <f>$G191*Supuestos!G$6*(Drivers!G$66/100)</f>
        <v/>
      </c>
      <c r="L191" s="24">
        <f>$G191*Supuestos!H$6*(Drivers!H$66/100)</f>
        <v/>
      </c>
      <c r="M191" s="24">
        <f>$G191*Supuestos!I$6*(Drivers!I$66/100)</f>
        <v/>
      </c>
      <c r="N191" s="24">
        <f>$G191*Supuestos!J$6*(Drivers!J$66/100)</f>
        <v/>
      </c>
      <c r="O191" s="24">
        <f>$G191*Supuestos!K$6*(Drivers!K$66/100)</f>
        <v/>
      </c>
      <c r="P191" s="24">
        <f>$G191*Supuestos!L$6*(Drivers!L$66/100)</f>
        <v/>
      </c>
      <c r="Q191" s="24">
        <f>$G191*Supuestos!M$6*(Drivers!M$66/100)</f>
        <v/>
      </c>
      <c r="R191" s="24">
        <f>$G191*Supuestos!N$6*(Drivers!N$66/100)</f>
        <v/>
      </c>
      <c r="S191" s="24">
        <f>$G191*Supuestos!O$6*(Drivers!O$66/100)</f>
        <v/>
      </c>
      <c r="T191" s="24">
        <f>$G191*Supuestos!P$6*(Drivers!P$66/100)</f>
        <v/>
      </c>
      <c r="U191" s="24">
        <f>$G191*Supuestos!Q$6*(Drivers!Q$66/100)</f>
        <v/>
      </c>
      <c r="V191" s="24">
        <f>$G191*Supuestos!R$6*(Drivers!R$66/100)</f>
        <v/>
      </c>
    </row>
    <row r="192">
      <c r="A192" s="6" t="inlineStr">
        <is>
          <t>POC</t>
        </is>
      </c>
      <c r="B192" s="6" t="inlineStr">
        <is>
          <t>ARS</t>
        </is>
      </c>
      <c r="C192" s="6" t="inlineStr">
        <is>
          <t>3 Impuestos Directos</t>
        </is>
      </c>
      <c r="D192" s="6" t="inlineStr">
        <is>
          <t>3.1 Ingresos Brutos</t>
        </is>
      </c>
      <c r="E192" s="6" t="inlineStr">
        <is>
          <t>Ingresos Brutos</t>
        </is>
      </c>
      <c r="F192" s="6" t="inlineStr">
        <is>
          <t>iibb</t>
        </is>
      </c>
      <c r="G192" s="24" t="n">
        <v>-111030.39</v>
      </c>
      <c r="H192" s="24">
        <f>$G192*Supuestos!D$6*(Drivers!D$66/100)*(Drivers!D$67/Drivers!$C$67)*(Drivers!D$68/Drivers!$C$68)*Supuestos!D$13</f>
        <v/>
      </c>
      <c r="I192" s="24">
        <f>$G192*Supuestos!E$6*(Drivers!E$66/100)*(Drivers!E$67/Drivers!$C$67)*(Drivers!E$68/Drivers!$C$68)*Supuestos!E$13</f>
        <v/>
      </c>
      <c r="J192" s="24">
        <f>$G192*Supuestos!F$6*(Drivers!F$66/100)*(Drivers!F$67/Drivers!$C$67)*(Drivers!F$68/Drivers!$C$68)*Supuestos!F$13</f>
        <v/>
      </c>
      <c r="K192" s="24">
        <f>$G192*Supuestos!G$6*(Drivers!G$66/100)*(Drivers!G$67/Drivers!$C$67)*(Drivers!G$68/Drivers!$C$68)*Supuestos!G$13</f>
        <v/>
      </c>
      <c r="L192" s="24">
        <f>$G192*Supuestos!H$6*(Drivers!H$66/100)*(Drivers!H$67/Drivers!$C$67)*(Drivers!H$68/Drivers!$C$68)*Supuestos!H$13</f>
        <v/>
      </c>
      <c r="M192" s="24">
        <f>$G192*Supuestos!I$6*(Drivers!I$66/100)*(Drivers!I$67/Drivers!$C$67)*(Drivers!I$68/Drivers!$C$68)*Supuestos!I$13</f>
        <v/>
      </c>
      <c r="N192" s="24">
        <f>$G192*Supuestos!J$6*(Drivers!J$66/100)*(Drivers!J$67/Drivers!$C$67)*(Drivers!J$68/Drivers!$C$68)*Supuestos!J$13</f>
        <v/>
      </c>
      <c r="O192" s="24">
        <f>$G192*Supuestos!K$6*(Drivers!K$66/100)*(Drivers!K$67/Drivers!$C$67)*(Drivers!K$68/Drivers!$C$68)*Supuestos!K$13</f>
        <v/>
      </c>
      <c r="P192" s="24">
        <f>$G192*Supuestos!L$6*(Drivers!L$66/100)*(Drivers!L$67/Drivers!$C$67)*(Drivers!L$68/Drivers!$C$68)*Supuestos!L$13</f>
        <v/>
      </c>
      <c r="Q192" s="24">
        <f>$G192*Supuestos!M$6*(Drivers!M$66/100)*(Drivers!M$67/Drivers!$C$67)*(Drivers!M$68/Drivers!$C$68)*Supuestos!M$13</f>
        <v/>
      </c>
      <c r="R192" s="24">
        <f>$G192*Supuestos!N$6*(Drivers!N$66/100)*(Drivers!N$67/Drivers!$C$67)*(Drivers!N$68/Drivers!$C$68)*Supuestos!N$13</f>
        <v/>
      </c>
      <c r="S192" s="24">
        <f>$G192*Supuestos!O$6*(Drivers!O$66/100)*(Drivers!O$67/Drivers!$C$67)*(Drivers!O$68/Drivers!$C$68)*Supuestos!O$13</f>
        <v/>
      </c>
      <c r="T192" s="24">
        <f>$G192*Supuestos!P$6*(Drivers!P$66/100)*(Drivers!P$67/Drivers!$C$67)*(Drivers!P$68/Drivers!$C$68)*Supuestos!P$13</f>
        <v/>
      </c>
      <c r="U192" s="24">
        <f>$G192*Supuestos!Q$6*(Drivers!Q$66/100)*(Drivers!Q$67/Drivers!$C$67)*(Drivers!Q$68/Drivers!$C$68)*Supuestos!Q$13</f>
        <v/>
      </c>
      <c r="V192" s="24">
        <f>$G192*Supuestos!R$6*(Drivers!R$66/100)*(Drivers!R$67/Drivers!$C$67)*(Drivers!R$68/Drivers!$C$68)*Supuestos!R$13</f>
        <v/>
      </c>
    </row>
    <row r="193">
      <c r="A193" s="6" t="inlineStr">
        <is>
          <t>TKV</t>
        </is>
      </c>
      <c r="B193" s="6" t="inlineStr">
        <is>
          <t>ARS</t>
        </is>
      </c>
      <c r="C193" s="6" t="inlineStr">
        <is>
          <t>1 Ingreso Operacional</t>
        </is>
      </c>
      <c r="D193" s="6" t="inlineStr">
        <is>
          <t>1.3 Ingreso Ventas</t>
        </is>
      </c>
      <c r="E193" s="6" t="inlineStr">
        <is>
          <t>Comisiones por venta</t>
        </is>
      </c>
      <c r="F193" s="6" t="inlineStr">
        <is>
          <t>rev</t>
        </is>
      </c>
      <c r="G193" s="24" t="n">
        <v>19670660.32</v>
      </c>
      <c r="H193" s="24">
        <f>$G193*Supuestos!D$6*(Drivers!D$72/100)*(Drivers!D$73/Drivers!$C$73)*(Drivers!D$74/Drivers!$C$74)*Supuestos!D$13</f>
        <v/>
      </c>
      <c r="I193" s="24">
        <f>$G193*Supuestos!E$6*(Drivers!E$72/100)*(Drivers!E$73/Drivers!$C$73)*(Drivers!E$74/Drivers!$C$74)*Supuestos!E$13</f>
        <v/>
      </c>
      <c r="J193" s="24">
        <f>$G193*Supuestos!F$6*(Drivers!F$72/100)*(Drivers!F$73/Drivers!$C$73)*(Drivers!F$74/Drivers!$C$74)*Supuestos!F$13</f>
        <v/>
      </c>
      <c r="K193" s="24">
        <f>$G193*Supuestos!G$6*(Drivers!G$72/100)*(Drivers!G$73/Drivers!$C$73)*(Drivers!G$74/Drivers!$C$74)*Supuestos!G$13</f>
        <v/>
      </c>
      <c r="L193" s="24">
        <f>$G193*Supuestos!H$6*(Drivers!H$72/100)*(Drivers!H$73/Drivers!$C$73)*(Drivers!H$74/Drivers!$C$74)*Supuestos!H$13</f>
        <v/>
      </c>
      <c r="M193" s="24">
        <f>$G193*Supuestos!I$6*(Drivers!I$72/100)*(Drivers!I$73/Drivers!$C$73)*(Drivers!I$74/Drivers!$C$74)*Supuestos!I$13</f>
        <v/>
      </c>
      <c r="N193" s="24">
        <f>$G193*Supuestos!J$6*(Drivers!J$72/100)*(Drivers!J$73/Drivers!$C$73)*(Drivers!J$74/Drivers!$C$74)*Supuestos!J$13</f>
        <v/>
      </c>
      <c r="O193" s="24">
        <f>$G193*Supuestos!K$6*(Drivers!K$72/100)*(Drivers!K$73/Drivers!$C$73)*(Drivers!K$74/Drivers!$C$74)*Supuestos!K$13</f>
        <v/>
      </c>
      <c r="P193" s="24">
        <f>$G193*Supuestos!L$6*(Drivers!L$72/100)*(Drivers!L$73/Drivers!$C$73)*(Drivers!L$74/Drivers!$C$74)*Supuestos!L$13</f>
        <v/>
      </c>
      <c r="Q193" s="24">
        <f>$G193*Supuestos!M$6*(Drivers!M$72/100)*(Drivers!M$73/Drivers!$C$73)*(Drivers!M$74/Drivers!$C$74)*Supuestos!M$13</f>
        <v/>
      </c>
      <c r="R193" s="24">
        <f>$G193*Supuestos!N$6*(Drivers!N$72/100)*(Drivers!N$73/Drivers!$C$73)*(Drivers!N$74/Drivers!$C$74)*Supuestos!N$13</f>
        <v/>
      </c>
      <c r="S193" s="24">
        <f>$G193*Supuestos!O$6*(Drivers!O$72/100)*(Drivers!O$73/Drivers!$C$73)*(Drivers!O$74/Drivers!$C$74)*Supuestos!O$13</f>
        <v/>
      </c>
      <c r="T193" s="24">
        <f>$G193*Supuestos!P$6*(Drivers!P$72/100)*(Drivers!P$73/Drivers!$C$73)*(Drivers!P$74/Drivers!$C$74)*Supuestos!P$13</f>
        <v/>
      </c>
      <c r="U193" s="24">
        <f>$G193*Supuestos!Q$6*(Drivers!Q$72/100)*(Drivers!Q$73/Drivers!$C$73)*(Drivers!Q$74/Drivers!$C$74)*Supuestos!Q$13</f>
        <v/>
      </c>
      <c r="V193" s="24">
        <f>$G193*Supuestos!R$6*(Drivers!R$72/100)*(Drivers!R$73/Drivers!$C$73)*(Drivers!R$74/Drivers!$C$74)*Supuestos!R$13</f>
        <v/>
      </c>
    </row>
    <row r="194">
      <c r="A194" s="6" t="inlineStr">
        <is>
          <t>TKV</t>
        </is>
      </c>
      <c r="B194" s="6" t="inlineStr">
        <is>
          <t>ARS</t>
        </is>
      </c>
      <c r="C194" s="6" t="inlineStr">
        <is>
          <t>2 Costos de Explotación</t>
        </is>
      </c>
      <c r="D194" s="6" t="inlineStr">
        <is>
          <t>2.1 Remuneraciones</t>
        </is>
      </c>
      <c r="E194" s="6" t="inlineStr">
        <is>
          <t>Operadores</t>
        </is>
      </c>
      <c r="F194" s="6" t="inlineStr">
        <is>
          <t>pos_sal</t>
        </is>
      </c>
      <c r="G194" s="24" t="n">
        <v>-12444399.93</v>
      </c>
      <c r="H194" s="24">
        <f>$G194*Supuestos!D$10*(Drivers!D$75/Drivers!$C$75)</f>
        <v/>
      </c>
      <c r="I194" s="24">
        <f>$G194*Supuestos!E$10*(Drivers!E$75/Drivers!$C$75)</f>
        <v/>
      </c>
      <c r="J194" s="24">
        <f>$G194*Supuestos!F$10*(Drivers!F$75/Drivers!$C$75)</f>
        <v/>
      </c>
      <c r="K194" s="24">
        <f>$G194*Supuestos!G$10*(Drivers!G$75/Drivers!$C$75)</f>
        <v/>
      </c>
      <c r="L194" s="24">
        <f>$G194*Supuestos!H$10*(Drivers!H$75/Drivers!$C$75)</f>
        <v/>
      </c>
      <c r="M194" s="24">
        <f>$G194*Supuestos!I$10*(Drivers!I$75/Drivers!$C$75)</f>
        <v/>
      </c>
      <c r="N194" s="24">
        <f>$G194*Supuestos!J$10*(Drivers!J$75/Drivers!$C$75)</f>
        <v/>
      </c>
      <c r="O194" s="24">
        <f>$G194*Supuestos!K$10*(Drivers!K$75/Drivers!$C$75)</f>
        <v/>
      </c>
      <c r="P194" s="24">
        <f>$G194*Supuestos!L$10*(Drivers!L$75/Drivers!$C$75)</f>
        <v/>
      </c>
      <c r="Q194" s="24">
        <f>$G194*Supuestos!M$10*(Drivers!M$75/Drivers!$C$75)</f>
        <v/>
      </c>
      <c r="R194" s="24">
        <f>$G194*Supuestos!N$10*(Drivers!N$75/Drivers!$C$75)</f>
        <v/>
      </c>
      <c r="S194" s="24">
        <f>$G194*Supuestos!O$10*(Drivers!O$75/Drivers!$C$75)</f>
        <v/>
      </c>
      <c r="T194" s="24">
        <f>$G194*Supuestos!P$10*(Drivers!P$75/Drivers!$C$75)</f>
        <v/>
      </c>
      <c r="U194" s="24">
        <f>$G194*Supuestos!Q$10*(Drivers!Q$75/Drivers!$C$75)</f>
        <v/>
      </c>
      <c r="V194" s="24">
        <f>$G194*Supuestos!R$10*(Drivers!R$75/Drivers!$C$75)</f>
        <v/>
      </c>
    </row>
    <row r="195">
      <c r="A195" s="6" t="inlineStr">
        <is>
          <t>TKV</t>
        </is>
      </c>
      <c r="B195" s="6" t="inlineStr">
        <is>
          <t>ARS</t>
        </is>
      </c>
      <c r="C195" s="6" t="inlineStr">
        <is>
          <t>2 Costos de Explotación</t>
        </is>
      </c>
      <c r="D195" s="6" t="inlineStr">
        <is>
          <t>2.1 Remuneraciones</t>
        </is>
      </c>
      <c r="E195" s="6" t="inlineStr">
        <is>
          <t>Supervisión</t>
        </is>
      </c>
      <c r="F195" s="6" t="inlineStr">
        <is>
          <t>pos_sal</t>
        </is>
      </c>
      <c r="G195" s="24" t="n">
        <v>-1946136.12</v>
      </c>
      <c r="H195" s="24">
        <f>$G195*Supuestos!D$10*(Drivers!D$75/Drivers!$C$75)</f>
        <v/>
      </c>
      <c r="I195" s="24">
        <f>$G195*Supuestos!E$10*(Drivers!E$75/Drivers!$C$75)</f>
        <v/>
      </c>
      <c r="J195" s="24">
        <f>$G195*Supuestos!F$10*(Drivers!F$75/Drivers!$C$75)</f>
        <v/>
      </c>
      <c r="K195" s="24">
        <f>$G195*Supuestos!G$10*(Drivers!G$75/Drivers!$C$75)</f>
        <v/>
      </c>
      <c r="L195" s="24">
        <f>$G195*Supuestos!H$10*(Drivers!H$75/Drivers!$C$75)</f>
        <v/>
      </c>
      <c r="M195" s="24">
        <f>$G195*Supuestos!I$10*(Drivers!I$75/Drivers!$C$75)</f>
        <v/>
      </c>
      <c r="N195" s="24">
        <f>$G195*Supuestos!J$10*(Drivers!J$75/Drivers!$C$75)</f>
        <v/>
      </c>
      <c r="O195" s="24">
        <f>$G195*Supuestos!K$10*(Drivers!K$75/Drivers!$C$75)</f>
        <v/>
      </c>
      <c r="P195" s="24">
        <f>$G195*Supuestos!L$10*(Drivers!L$75/Drivers!$C$75)</f>
        <v/>
      </c>
      <c r="Q195" s="24">
        <f>$G195*Supuestos!M$10*(Drivers!M$75/Drivers!$C$75)</f>
        <v/>
      </c>
      <c r="R195" s="24">
        <f>$G195*Supuestos!N$10*(Drivers!N$75/Drivers!$C$75)</f>
        <v/>
      </c>
      <c r="S195" s="24">
        <f>$G195*Supuestos!O$10*(Drivers!O$75/Drivers!$C$75)</f>
        <v/>
      </c>
      <c r="T195" s="24">
        <f>$G195*Supuestos!P$10*(Drivers!P$75/Drivers!$C$75)</f>
        <v/>
      </c>
      <c r="U195" s="24">
        <f>$G195*Supuestos!Q$10*(Drivers!Q$75/Drivers!$C$75)</f>
        <v/>
      </c>
      <c r="V195" s="24">
        <f>$G195*Supuestos!R$10*(Drivers!R$75/Drivers!$C$75)</f>
        <v/>
      </c>
    </row>
    <row r="196">
      <c r="A196" s="6" t="inlineStr">
        <is>
          <t>TKV</t>
        </is>
      </c>
      <c r="B196" s="6" t="inlineStr">
        <is>
          <t>ARS</t>
        </is>
      </c>
      <c r="C196" s="6" t="inlineStr">
        <is>
          <t>2 Costos de Explotación</t>
        </is>
      </c>
      <c r="D196" s="6" t="inlineStr">
        <is>
          <t>2.1 Remuneraciones</t>
        </is>
      </c>
      <c r="E196" s="6" t="inlineStr">
        <is>
          <t>Calidad</t>
        </is>
      </c>
      <c r="F196" s="6" t="inlineStr">
        <is>
          <t>pos_sal</t>
        </is>
      </c>
      <c r="G196" s="24" t="n">
        <v>-460376.06</v>
      </c>
      <c r="H196" s="24">
        <f>$G196*Supuestos!D$10*(Drivers!D$75/Drivers!$C$75)</f>
        <v/>
      </c>
      <c r="I196" s="24">
        <f>$G196*Supuestos!E$10*(Drivers!E$75/Drivers!$C$75)</f>
        <v/>
      </c>
      <c r="J196" s="24">
        <f>$G196*Supuestos!F$10*(Drivers!F$75/Drivers!$C$75)</f>
        <v/>
      </c>
      <c r="K196" s="24">
        <f>$G196*Supuestos!G$10*(Drivers!G$75/Drivers!$C$75)</f>
        <v/>
      </c>
      <c r="L196" s="24">
        <f>$G196*Supuestos!H$10*(Drivers!H$75/Drivers!$C$75)</f>
        <v/>
      </c>
      <c r="M196" s="24">
        <f>$G196*Supuestos!I$10*(Drivers!I$75/Drivers!$C$75)</f>
        <v/>
      </c>
      <c r="N196" s="24">
        <f>$G196*Supuestos!J$10*(Drivers!J$75/Drivers!$C$75)</f>
        <v/>
      </c>
      <c r="O196" s="24">
        <f>$G196*Supuestos!K$10*(Drivers!K$75/Drivers!$C$75)</f>
        <v/>
      </c>
      <c r="P196" s="24">
        <f>$G196*Supuestos!L$10*(Drivers!L$75/Drivers!$C$75)</f>
        <v/>
      </c>
      <c r="Q196" s="24">
        <f>$G196*Supuestos!M$10*(Drivers!M$75/Drivers!$C$75)</f>
        <v/>
      </c>
      <c r="R196" s="24">
        <f>$G196*Supuestos!N$10*(Drivers!N$75/Drivers!$C$75)</f>
        <v/>
      </c>
      <c r="S196" s="24">
        <f>$G196*Supuestos!O$10*(Drivers!O$75/Drivers!$C$75)</f>
        <v/>
      </c>
      <c r="T196" s="24">
        <f>$G196*Supuestos!P$10*(Drivers!P$75/Drivers!$C$75)</f>
        <v/>
      </c>
      <c r="U196" s="24">
        <f>$G196*Supuestos!Q$10*(Drivers!Q$75/Drivers!$C$75)</f>
        <v/>
      </c>
      <c r="V196" s="24">
        <f>$G196*Supuestos!R$10*(Drivers!R$75/Drivers!$C$75)</f>
        <v/>
      </c>
    </row>
    <row r="197">
      <c r="A197" s="6" t="inlineStr">
        <is>
          <t>TKV</t>
        </is>
      </c>
      <c r="B197" s="6" t="inlineStr">
        <is>
          <t>ARS</t>
        </is>
      </c>
      <c r="C197" s="6" t="inlineStr">
        <is>
          <t>2 Costos de Explotación</t>
        </is>
      </c>
      <c r="D197" s="6" t="inlineStr">
        <is>
          <t>2.1 Remuneraciones</t>
        </is>
      </c>
      <c r="E197" s="6" t="inlineStr">
        <is>
          <t>Back Office</t>
        </is>
      </c>
      <c r="F197" s="6" t="inlineStr">
        <is>
          <t>pos_sal</t>
        </is>
      </c>
      <c r="G197" s="24" t="n">
        <v>-313892.92</v>
      </c>
      <c r="H197" s="24">
        <f>$G197*Supuestos!D$10*(Drivers!D$75/Drivers!$C$75)</f>
        <v/>
      </c>
      <c r="I197" s="24">
        <f>$G197*Supuestos!E$10*(Drivers!E$75/Drivers!$C$75)</f>
        <v/>
      </c>
      <c r="J197" s="24">
        <f>$G197*Supuestos!F$10*(Drivers!F$75/Drivers!$C$75)</f>
        <v/>
      </c>
      <c r="K197" s="24">
        <f>$G197*Supuestos!G$10*(Drivers!G$75/Drivers!$C$75)</f>
        <v/>
      </c>
      <c r="L197" s="24">
        <f>$G197*Supuestos!H$10*(Drivers!H$75/Drivers!$C$75)</f>
        <v/>
      </c>
      <c r="M197" s="24">
        <f>$G197*Supuestos!I$10*(Drivers!I$75/Drivers!$C$75)</f>
        <v/>
      </c>
      <c r="N197" s="24">
        <f>$G197*Supuestos!J$10*(Drivers!J$75/Drivers!$C$75)</f>
        <v/>
      </c>
      <c r="O197" s="24">
        <f>$G197*Supuestos!K$10*(Drivers!K$75/Drivers!$C$75)</f>
        <v/>
      </c>
      <c r="P197" s="24">
        <f>$G197*Supuestos!L$10*(Drivers!L$75/Drivers!$C$75)</f>
        <v/>
      </c>
      <c r="Q197" s="24">
        <f>$G197*Supuestos!M$10*(Drivers!M$75/Drivers!$C$75)</f>
        <v/>
      </c>
      <c r="R197" s="24">
        <f>$G197*Supuestos!N$10*(Drivers!N$75/Drivers!$C$75)</f>
        <v/>
      </c>
      <c r="S197" s="24">
        <f>$G197*Supuestos!O$10*(Drivers!O$75/Drivers!$C$75)</f>
        <v/>
      </c>
      <c r="T197" s="24">
        <f>$G197*Supuestos!P$10*(Drivers!P$75/Drivers!$C$75)</f>
        <v/>
      </c>
      <c r="U197" s="24">
        <f>$G197*Supuestos!Q$10*(Drivers!Q$75/Drivers!$C$75)</f>
        <v/>
      </c>
      <c r="V197" s="24">
        <f>$G197*Supuestos!R$10*(Drivers!R$75/Drivers!$C$75)</f>
        <v/>
      </c>
    </row>
    <row r="198">
      <c r="A198" s="6" t="inlineStr">
        <is>
          <t>TKV</t>
        </is>
      </c>
      <c r="B198" s="6" t="inlineStr">
        <is>
          <t>ARS</t>
        </is>
      </c>
      <c r="C198" s="6" t="inlineStr">
        <is>
          <t>2 Costos de Explotación</t>
        </is>
      </c>
      <c r="D198" s="6" t="inlineStr">
        <is>
          <t>2.1 Remuneraciones</t>
        </is>
      </c>
      <c r="E198" s="6" t="inlineStr">
        <is>
          <t>Ejecutivos de cuenta</t>
        </is>
      </c>
      <c r="F198" s="6" t="inlineStr">
        <is>
          <t>pos_sal</t>
        </is>
      </c>
      <c r="G198" s="24" t="n">
        <v>-596396.72</v>
      </c>
      <c r="H198" s="24">
        <f>$G198*Supuestos!D$10*(Drivers!D$75/Drivers!$C$75)</f>
        <v/>
      </c>
      <c r="I198" s="24">
        <f>$G198*Supuestos!E$10*(Drivers!E$75/Drivers!$C$75)</f>
        <v/>
      </c>
      <c r="J198" s="24">
        <f>$G198*Supuestos!F$10*(Drivers!F$75/Drivers!$C$75)</f>
        <v/>
      </c>
      <c r="K198" s="24">
        <f>$G198*Supuestos!G$10*(Drivers!G$75/Drivers!$C$75)</f>
        <v/>
      </c>
      <c r="L198" s="24">
        <f>$G198*Supuestos!H$10*(Drivers!H$75/Drivers!$C$75)</f>
        <v/>
      </c>
      <c r="M198" s="24">
        <f>$G198*Supuestos!I$10*(Drivers!I$75/Drivers!$C$75)</f>
        <v/>
      </c>
      <c r="N198" s="24">
        <f>$G198*Supuestos!J$10*(Drivers!J$75/Drivers!$C$75)</f>
        <v/>
      </c>
      <c r="O198" s="24">
        <f>$G198*Supuestos!K$10*(Drivers!K$75/Drivers!$C$75)</f>
        <v/>
      </c>
      <c r="P198" s="24">
        <f>$G198*Supuestos!L$10*(Drivers!L$75/Drivers!$C$75)</f>
        <v/>
      </c>
      <c r="Q198" s="24">
        <f>$G198*Supuestos!M$10*(Drivers!M$75/Drivers!$C$75)</f>
        <v/>
      </c>
      <c r="R198" s="24">
        <f>$G198*Supuestos!N$10*(Drivers!N$75/Drivers!$C$75)</f>
        <v/>
      </c>
      <c r="S198" s="24">
        <f>$G198*Supuestos!O$10*(Drivers!O$75/Drivers!$C$75)</f>
        <v/>
      </c>
      <c r="T198" s="24">
        <f>$G198*Supuestos!P$10*(Drivers!P$75/Drivers!$C$75)</f>
        <v/>
      </c>
      <c r="U198" s="24">
        <f>$G198*Supuestos!Q$10*(Drivers!Q$75/Drivers!$C$75)</f>
        <v/>
      </c>
      <c r="V198" s="24">
        <f>$G198*Supuestos!R$10*(Drivers!R$75/Drivers!$C$75)</f>
        <v/>
      </c>
    </row>
    <row r="199">
      <c r="A199" s="6" t="inlineStr">
        <is>
          <t>TKV</t>
        </is>
      </c>
      <c r="B199" s="6" t="inlineStr">
        <is>
          <t>ARS</t>
        </is>
      </c>
      <c r="C199" s="6" t="inlineStr">
        <is>
          <t>2 Costos de Explotación</t>
        </is>
      </c>
      <c r="D199" s="6" t="inlineStr">
        <is>
          <t>2.1 Remuneraciones</t>
        </is>
      </c>
      <c r="E199" s="6" t="inlineStr">
        <is>
          <t>Gerencia de Operaciones</t>
        </is>
      </c>
      <c r="F199" s="6" t="inlineStr">
        <is>
          <t>pos_sal</t>
        </is>
      </c>
      <c r="G199" s="24" t="n">
        <v>-669638.12</v>
      </c>
      <c r="H199" s="24">
        <f>$G199*Supuestos!D$10*(Drivers!D$75/Drivers!$C$75)</f>
        <v/>
      </c>
      <c r="I199" s="24">
        <f>$G199*Supuestos!E$10*(Drivers!E$75/Drivers!$C$75)</f>
        <v/>
      </c>
      <c r="J199" s="24">
        <f>$G199*Supuestos!F$10*(Drivers!F$75/Drivers!$C$75)</f>
        <v/>
      </c>
      <c r="K199" s="24">
        <f>$G199*Supuestos!G$10*(Drivers!G$75/Drivers!$C$75)</f>
        <v/>
      </c>
      <c r="L199" s="24">
        <f>$G199*Supuestos!H$10*(Drivers!H$75/Drivers!$C$75)</f>
        <v/>
      </c>
      <c r="M199" s="24">
        <f>$G199*Supuestos!I$10*(Drivers!I$75/Drivers!$C$75)</f>
        <v/>
      </c>
      <c r="N199" s="24">
        <f>$G199*Supuestos!J$10*(Drivers!J$75/Drivers!$C$75)</f>
        <v/>
      </c>
      <c r="O199" s="24">
        <f>$G199*Supuestos!K$10*(Drivers!K$75/Drivers!$C$75)</f>
        <v/>
      </c>
      <c r="P199" s="24">
        <f>$G199*Supuestos!L$10*(Drivers!L$75/Drivers!$C$75)</f>
        <v/>
      </c>
      <c r="Q199" s="24">
        <f>$G199*Supuestos!M$10*(Drivers!M$75/Drivers!$C$75)</f>
        <v/>
      </c>
      <c r="R199" s="24">
        <f>$G199*Supuestos!N$10*(Drivers!N$75/Drivers!$C$75)</f>
        <v/>
      </c>
      <c r="S199" s="24">
        <f>$G199*Supuestos!O$10*(Drivers!O$75/Drivers!$C$75)</f>
        <v/>
      </c>
      <c r="T199" s="24">
        <f>$G199*Supuestos!P$10*(Drivers!P$75/Drivers!$C$75)</f>
        <v/>
      </c>
      <c r="U199" s="24">
        <f>$G199*Supuestos!Q$10*(Drivers!Q$75/Drivers!$C$75)</f>
        <v/>
      </c>
      <c r="V199" s="24">
        <f>$G199*Supuestos!R$10*(Drivers!R$75/Drivers!$C$75)</f>
        <v/>
      </c>
    </row>
    <row r="200">
      <c r="A200" s="6" t="inlineStr">
        <is>
          <t>TKV</t>
        </is>
      </c>
      <c r="B200" s="6" t="inlineStr">
        <is>
          <t>ARS</t>
        </is>
      </c>
      <c r="C200" s="6" t="inlineStr">
        <is>
          <t>2 Costos de Explotación</t>
        </is>
      </c>
      <c r="D200" s="6" t="inlineStr">
        <is>
          <t>2.1 Remuneraciones</t>
        </is>
      </c>
      <c r="E200" s="6" t="inlineStr">
        <is>
          <t>Indemnizaciones</t>
        </is>
      </c>
      <c r="F200" s="6" t="inlineStr">
        <is>
          <t>zero</t>
        </is>
      </c>
      <c r="G200" s="24" t="n">
        <v>-105123.86</v>
      </c>
      <c r="H200" s="24">
        <f>0</f>
        <v/>
      </c>
      <c r="I200" s="24">
        <f>0</f>
        <v/>
      </c>
      <c r="J200" s="24">
        <f>0</f>
        <v/>
      </c>
      <c r="K200" s="24">
        <f>0</f>
        <v/>
      </c>
      <c r="L200" s="24">
        <f>0</f>
        <v/>
      </c>
      <c r="M200" s="24">
        <f>0</f>
        <v/>
      </c>
      <c r="N200" s="24">
        <f>0</f>
        <v/>
      </c>
      <c r="O200" s="24">
        <f>0</f>
        <v/>
      </c>
      <c r="P200" s="24">
        <f>0</f>
        <v/>
      </c>
      <c r="Q200" s="24">
        <f>0</f>
        <v/>
      </c>
      <c r="R200" s="24">
        <f>0</f>
        <v/>
      </c>
      <c r="S200" s="24">
        <f>0</f>
        <v/>
      </c>
      <c r="T200" s="24">
        <f>0</f>
        <v/>
      </c>
      <c r="U200" s="24">
        <f>0</f>
        <v/>
      </c>
      <c r="V200" s="24">
        <f>0</f>
        <v/>
      </c>
    </row>
    <row r="201">
      <c r="A201" s="6" t="inlineStr">
        <is>
          <t>TKV</t>
        </is>
      </c>
      <c r="B201" s="6" t="inlineStr">
        <is>
          <t>ARS</t>
        </is>
      </c>
      <c r="C201" s="6" t="inlineStr">
        <is>
          <t>2 Costos de Explotación</t>
        </is>
      </c>
      <c r="D201" s="6" t="inlineStr">
        <is>
          <t>2.3 Licencias</t>
        </is>
      </c>
      <c r="E201" s="6" t="inlineStr">
        <is>
          <t>Licencias discador/CRM</t>
        </is>
      </c>
      <c r="F201" s="6" t="inlineStr">
        <is>
          <t>pos_usd</t>
        </is>
      </c>
      <c r="G201" s="24" t="n">
        <v>-859950</v>
      </c>
      <c r="H201" s="24">
        <f>$G201*Supuestos!D$8*(Drivers!D$75/Drivers!$C$75)</f>
        <v/>
      </c>
      <c r="I201" s="24">
        <f>$G201*Supuestos!E$8*(Drivers!E$75/Drivers!$C$75)</f>
        <v/>
      </c>
      <c r="J201" s="24">
        <f>$G201*Supuestos!F$8*(Drivers!F$75/Drivers!$C$75)</f>
        <v/>
      </c>
      <c r="K201" s="24">
        <f>$G201*Supuestos!G$8*(Drivers!G$75/Drivers!$C$75)</f>
        <v/>
      </c>
      <c r="L201" s="24">
        <f>$G201*Supuestos!H$8*(Drivers!H$75/Drivers!$C$75)</f>
        <v/>
      </c>
      <c r="M201" s="24">
        <f>$G201*Supuestos!I$8*(Drivers!I$75/Drivers!$C$75)</f>
        <v/>
      </c>
      <c r="N201" s="24">
        <f>$G201*Supuestos!J$8*(Drivers!J$75/Drivers!$C$75)</f>
        <v/>
      </c>
      <c r="O201" s="24">
        <f>$G201*Supuestos!K$8*(Drivers!K$75/Drivers!$C$75)</f>
        <v/>
      </c>
      <c r="P201" s="24">
        <f>$G201*Supuestos!L$8*(Drivers!L$75/Drivers!$C$75)</f>
        <v/>
      </c>
      <c r="Q201" s="24">
        <f>$G201*Supuestos!M$8*(Drivers!M$75/Drivers!$C$75)</f>
        <v/>
      </c>
      <c r="R201" s="24">
        <f>$G201*Supuestos!N$8*(Drivers!N$75/Drivers!$C$75)</f>
        <v/>
      </c>
      <c r="S201" s="24">
        <f>$G201*Supuestos!O$8*(Drivers!O$75/Drivers!$C$75)</f>
        <v/>
      </c>
      <c r="T201" s="24">
        <f>$G201*Supuestos!P$8*(Drivers!P$75/Drivers!$C$75)</f>
        <v/>
      </c>
      <c r="U201" s="24">
        <f>$G201*Supuestos!Q$8*(Drivers!Q$75/Drivers!$C$75)</f>
        <v/>
      </c>
      <c r="V201" s="24">
        <f>$G201*Supuestos!R$8*(Drivers!R$75/Drivers!$C$75)</f>
        <v/>
      </c>
    </row>
    <row r="202">
      <c r="A202" s="6" t="inlineStr">
        <is>
          <t>TKV</t>
        </is>
      </c>
      <c r="B202" s="6" t="inlineStr">
        <is>
          <t>ARS</t>
        </is>
      </c>
      <c r="C202" s="6" t="inlineStr">
        <is>
          <t>2 Costos de Explotación</t>
        </is>
      </c>
      <c r="D202" s="6" t="inlineStr">
        <is>
          <t>2.5 Telefonía</t>
        </is>
      </c>
      <c r="E202" s="6" t="inlineStr">
        <is>
          <t>Telefonía celular</t>
        </is>
      </c>
      <c r="F202" s="6" t="inlineStr">
        <is>
          <t>pos_inf</t>
        </is>
      </c>
      <c r="G202" s="24" t="n">
        <v>-675031.16</v>
      </c>
      <c r="H202" s="24">
        <f>$G202*Supuestos!D$6*(Drivers!D$75/Drivers!$C$75)</f>
        <v/>
      </c>
      <c r="I202" s="24">
        <f>$G202*Supuestos!E$6*(Drivers!E$75/Drivers!$C$75)</f>
        <v/>
      </c>
      <c r="J202" s="24">
        <f>$G202*Supuestos!F$6*(Drivers!F$75/Drivers!$C$75)</f>
        <v/>
      </c>
      <c r="K202" s="24">
        <f>$G202*Supuestos!G$6*(Drivers!G$75/Drivers!$C$75)</f>
        <v/>
      </c>
      <c r="L202" s="24">
        <f>$G202*Supuestos!H$6*(Drivers!H$75/Drivers!$C$75)</f>
        <v/>
      </c>
      <c r="M202" s="24">
        <f>$G202*Supuestos!I$6*(Drivers!I$75/Drivers!$C$75)</f>
        <v/>
      </c>
      <c r="N202" s="24">
        <f>$G202*Supuestos!J$6*(Drivers!J$75/Drivers!$C$75)</f>
        <v/>
      </c>
      <c r="O202" s="24">
        <f>$G202*Supuestos!K$6*(Drivers!K$75/Drivers!$C$75)</f>
        <v/>
      </c>
      <c r="P202" s="24">
        <f>$G202*Supuestos!L$6*(Drivers!L$75/Drivers!$C$75)</f>
        <v/>
      </c>
      <c r="Q202" s="24">
        <f>$G202*Supuestos!M$6*(Drivers!M$75/Drivers!$C$75)</f>
        <v/>
      </c>
      <c r="R202" s="24">
        <f>$G202*Supuestos!N$6*(Drivers!N$75/Drivers!$C$75)</f>
        <v/>
      </c>
      <c r="S202" s="24">
        <f>$G202*Supuestos!O$6*(Drivers!O$75/Drivers!$C$75)</f>
        <v/>
      </c>
      <c r="T202" s="24">
        <f>$G202*Supuestos!P$6*(Drivers!P$75/Drivers!$C$75)</f>
        <v/>
      </c>
      <c r="U202" s="24">
        <f>$G202*Supuestos!Q$6*(Drivers!Q$75/Drivers!$C$75)</f>
        <v/>
      </c>
      <c r="V202" s="24">
        <f>$G202*Supuestos!R$6*(Drivers!R$75/Drivers!$C$75)</f>
        <v/>
      </c>
    </row>
    <row r="203">
      <c r="A203" s="6" t="inlineStr">
        <is>
          <t>TKV</t>
        </is>
      </c>
      <c r="B203" s="6" t="inlineStr">
        <is>
          <t>ARS</t>
        </is>
      </c>
      <c r="C203" s="6" t="inlineStr">
        <is>
          <t>2 Costos de Explotación</t>
        </is>
      </c>
      <c r="D203" s="6" t="inlineStr">
        <is>
          <t>2.5 Telefonía</t>
        </is>
      </c>
      <c r="E203" s="6" t="inlineStr">
        <is>
          <t>Telefonía LDN</t>
        </is>
      </c>
      <c r="F203" s="6" t="inlineStr">
        <is>
          <t>pos_inf</t>
        </is>
      </c>
      <c r="G203" s="24" t="n">
        <v>-173579.37</v>
      </c>
      <c r="H203" s="24">
        <f>$G203*Supuestos!D$6*(Drivers!D$75/Drivers!$C$75)</f>
        <v/>
      </c>
      <c r="I203" s="24">
        <f>$G203*Supuestos!E$6*(Drivers!E$75/Drivers!$C$75)</f>
        <v/>
      </c>
      <c r="J203" s="24">
        <f>$G203*Supuestos!F$6*(Drivers!F$75/Drivers!$C$75)</f>
        <v/>
      </c>
      <c r="K203" s="24">
        <f>$G203*Supuestos!G$6*(Drivers!G$75/Drivers!$C$75)</f>
        <v/>
      </c>
      <c r="L203" s="24">
        <f>$G203*Supuestos!H$6*(Drivers!H$75/Drivers!$C$75)</f>
        <v/>
      </c>
      <c r="M203" s="24">
        <f>$G203*Supuestos!I$6*(Drivers!I$75/Drivers!$C$75)</f>
        <v/>
      </c>
      <c r="N203" s="24">
        <f>$G203*Supuestos!J$6*(Drivers!J$75/Drivers!$C$75)</f>
        <v/>
      </c>
      <c r="O203" s="24">
        <f>$G203*Supuestos!K$6*(Drivers!K$75/Drivers!$C$75)</f>
        <v/>
      </c>
      <c r="P203" s="24">
        <f>$G203*Supuestos!L$6*(Drivers!L$75/Drivers!$C$75)</f>
        <v/>
      </c>
      <c r="Q203" s="24">
        <f>$G203*Supuestos!M$6*(Drivers!M$75/Drivers!$C$75)</f>
        <v/>
      </c>
      <c r="R203" s="24">
        <f>$G203*Supuestos!N$6*(Drivers!N$75/Drivers!$C$75)</f>
        <v/>
      </c>
      <c r="S203" s="24">
        <f>$G203*Supuestos!O$6*(Drivers!O$75/Drivers!$C$75)</f>
        <v/>
      </c>
      <c r="T203" s="24">
        <f>$G203*Supuestos!P$6*(Drivers!P$75/Drivers!$C$75)</f>
        <v/>
      </c>
      <c r="U203" s="24">
        <f>$G203*Supuestos!Q$6*(Drivers!Q$75/Drivers!$C$75)</f>
        <v/>
      </c>
      <c r="V203" s="24">
        <f>$G203*Supuestos!R$6*(Drivers!R$75/Drivers!$C$75)</f>
        <v/>
      </c>
    </row>
    <row r="204">
      <c r="A204" s="6" t="inlineStr">
        <is>
          <t>TKV</t>
        </is>
      </c>
      <c r="B204" s="6" t="inlineStr">
        <is>
          <t>ARS</t>
        </is>
      </c>
      <c r="C204" s="6" t="inlineStr">
        <is>
          <t>2 Costos de Explotación</t>
        </is>
      </c>
      <c r="D204" s="6" t="inlineStr">
        <is>
          <t>2.5 Telefonía</t>
        </is>
      </c>
      <c r="E204" s="6" t="inlineStr">
        <is>
          <t>Telefonía local y 0800</t>
        </is>
      </c>
      <c r="F204" s="6" t="inlineStr">
        <is>
          <t>pos_inf</t>
        </is>
      </c>
      <c r="G204" s="24" t="n">
        <v>-115719.81</v>
      </c>
      <c r="H204" s="24">
        <f>$G204*Supuestos!D$6*(Drivers!D$75/Drivers!$C$75)</f>
        <v/>
      </c>
      <c r="I204" s="24">
        <f>$G204*Supuestos!E$6*(Drivers!E$75/Drivers!$C$75)</f>
        <v/>
      </c>
      <c r="J204" s="24">
        <f>$G204*Supuestos!F$6*(Drivers!F$75/Drivers!$C$75)</f>
        <v/>
      </c>
      <c r="K204" s="24">
        <f>$G204*Supuestos!G$6*(Drivers!G$75/Drivers!$C$75)</f>
        <v/>
      </c>
      <c r="L204" s="24">
        <f>$G204*Supuestos!H$6*(Drivers!H$75/Drivers!$C$75)</f>
        <v/>
      </c>
      <c r="M204" s="24">
        <f>$G204*Supuestos!I$6*(Drivers!I$75/Drivers!$C$75)</f>
        <v/>
      </c>
      <c r="N204" s="24">
        <f>$G204*Supuestos!J$6*(Drivers!J$75/Drivers!$C$75)</f>
        <v/>
      </c>
      <c r="O204" s="24">
        <f>$G204*Supuestos!K$6*(Drivers!K$75/Drivers!$C$75)</f>
        <v/>
      </c>
      <c r="P204" s="24">
        <f>$G204*Supuestos!L$6*(Drivers!L$75/Drivers!$C$75)</f>
        <v/>
      </c>
      <c r="Q204" s="24">
        <f>$G204*Supuestos!M$6*(Drivers!M$75/Drivers!$C$75)</f>
        <v/>
      </c>
      <c r="R204" s="24">
        <f>$G204*Supuestos!N$6*(Drivers!N$75/Drivers!$C$75)</f>
        <v/>
      </c>
      <c r="S204" s="24">
        <f>$G204*Supuestos!O$6*(Drivers!O$75/Drivers!$C$75)</f>
        <v/>
      </c>
      <c r="T204" s="24">
        <f>$G204*Supuestos!P$6*(Drivers!P$75/Drivers!$C$75)</f>
        <v/>
      </c>
      <c r="U204" s="24">
        <f>$G204*Supuestos!Q$6*(Drivers!Q$75/Drivers!$C$75)</f>
        <v/>
      </c>
      <c r="V204" s="24">
        <f>$G204*Supuestos!R$6*(Drivers!R$75/Drivers!$C$75)</f>
        <v/>
      </c>
    </row>
    <row r="205">
      <c r="A205" s="6" t="inlineStr">
        <is>
          <t>TKV</t>
        </is>
      </c>
      <c r="B205" s="6" t="inlineStr">
        <is>
          <t>ARS</t>
        </is>
      </c>
      <c r="C205" s="6" t="inlineStr">
        <is>
          <t>3 Impuestos Directos</t>
        </is>
      </c>
      <c r="D205" s="6" t="inlineStr">
        <is>
          <t>3.1 Ingresos Brutos</t>
        </is>
      </c>
      <c r="E205" s="6" t="inlineStr">
        <is>
          <t>Ingresos Brutos</t>
        </is>
      </c>
      <c r="F205" s="6" t="inlineStr">
        <is>
          <t>iibb</t>
        </is>
      </c>
      <c r="G205" s="24" t="n">
        <v>-590119.76</v>
      </c>
      <c r="H205" s="24">
        <f>$G205*Supuestos!D$6*(Drivers!D$72/100)*(Drivers!D$73/Drivers!$C$73)*(Drivers!D$74/Drivers!$C$74)*Supuestos!D$13</f>
        <v/>
      </c>
      <c r="I205" s="24">
        <f>$G205*Supuestos!E$6*(Drivers!E$72/100)*(Drivers!E$73/Drivers!$C$73)*(Drivers!E$74/Drivers!$C$74)*Supuestos!E$13</f>
        <v/>
      </c>
      <c r="J205" s="24">
        <f>$G205*Supuestos!F$6*(Drivers!F$72/100)*(Drivers!F$73/Drivers!$C$73)*(Drivers!F$74/Drivers!$C$74)*Supuestos!F$13</f>
        <v/>
      </c>
      <c r="K205" s="24">
        <f>$G205*Supuestos!G$6*(Drivers!G$72/100)*(Drivers!G$73/Drivers!$C$73)*(Drivers!G$74/Drivers!$C$74)*Supuestos!G$13</f>
        <v/>
      </c>
      <c r="L205" s="24">
        <f>$G205*Supuestos!H$6*(Drivers!H$72/100)*(Drivers!H$73/Drivers!$C$73)*(Drivers!H$74/Drivers!$C$74)*Supuestos!H$13</f>
        <v/>
      </c>
      <c r="M205" s="24">
        <f>$G205*Supuestos!I$6*(Drivers!I$72/100)*(Drivers!I$73/Drivers!$C$73)*(Drivers!I$74/Drivers!$C$74)*Supuestos!I$13</f>
        <v/>
      </c>
      <c r="N205" s="24">
        <f>$G205*Supuestos!J$6*(Drivers!J$72/100)*(Drivers!J$73/Drivers!$C$73)*(Drivers!J$74/Drivers!$C$74)*Supuestos!J$13</f>
        <v/>
      </c>
      <c r="O205" s="24">
        <f>$G205*Supuestos!K$6*(Drivers!K$72/100)*(Drivers!K$73/Drivers!$C$73)*(Drivers!K$74/Drivers!$C$74)*Supuestos!K$13</f>
        <v/>
      </c>
      <c r="P205" s="24">
        <f>$G205*Supuestos!L$6*(Drivers!L$72/100)*(Drivers!L$73/Drivers!$C$73)*(Drivers!L$74/Drivers!$C$74)*Supuestos!L$13</f>
        <v/>
      </c>
      <c r="Q205" s="24">
        <f>$G205*Supuestos!M$6*(Drivers!M$72/100)*(Drivers!M$73/Drivers!$C$73)*(Drivers!M$74/Drivers!$C$74)*Supuestos!M$13</f>
        <v/>
      </c>
      <c r="R205" s="24">
        <f>$G205*Supuestos!N$6*(Drivers!N$72/100)*(Drivers!N$73/Drivers!$C$73)*(Drivers!N$74/Drivers!$C$74)*Supuestos!N$13</f>
        <v/>
      </c>
      <c r="S205" s="24">
        <f>$G205*Supuestos!O$6*(Drivers!O$72/100)*(Drivers!O$73/Drivers!$C$73)*(Drivers!O$74/Drivers!$C$74)*Supuestos!O$13</f>
        <v/>
      </c>
      <c r="T205" s="24">
        <f>$G205*Supuestos!P$6*(Drivers!P$72/100)*(Drivers!P$73/Drivers!$C$73)*(Drivers!P$74/Drivers!$C$74)*Supuestos!P$13</f>
        <v/>
      </c>
      <c r="U205" s="24">
        <f>$G205*Supuestos!Q$6*(Drivers!Q$72/100)*(Drivers!Q$73/Drivers!$C$73)*(Drivers!Q$74/Drivers!$C$74)*Supuestos!Q$13</f>
        <v/>
      </c>
      <c r="V205" s="24">
        <f>$G205*Supuestos!R$6*(Drivers!R$72/100)*(Drivers!R$73/Drivers!$C$73)*(Drivers!R$74/Drivers!$C$74)*Supuestos!R$13</f>
        <v/>
      </c>
    </row>
    <row r="206">
      <c r="A206" s="6" t="inlineStr">
        <is>
          <t>Estructura</t>
        </is>
      </c>
      <c r="B206" s="6" t="inlineStr">
        <is>
          <t>ARS</t>
        </is>
      </c>
      <c r="C206" s="6" t="inlineStr">
        <is>
          <t>4 Gastos de Estructura</t>
        </is>
      </c>
      <c r="D206" s="6" t="inlineStr">
        <is>
          <t>4.1 Remuneraciones Staff</t>
        </is>
      </c>
      <c r="E206" s="6" t="inlineStr">
        <is>
          <t>Remuneraciones staff</t>
        </is>
      </c>
      <c r="F206" s="6" t="inlineStr">
        <is>
          <t>sal</t>
        </is>
      </c>
      <c r="G206" s="24" t="n">
        <v>-83943946.28</v>
      </c>
      <c r="H206" s="24">
        <f>$G206*Supuestos!D$10</f>
        <v/>
      </c>
      <c r="I206" s="24">
        <f>$G206*Supuestos!E$10</f>
        <v/>
      </c>
      <c r="J206" s="24">
        <f>$G206*Supuestos!F$10</f>
        <v/>
      </c>
      <c r="K206" s="24">
        <f>$G206*Supuestos!G$10</f>
        <v/>
      </c>
      <c r="L206" s="24">
        <f>$G206*Supuestos!H$10</f>
        <v/>
      </c>
      <c r="M206" s="24">
        <f>$G206*Supuestos!I$10</f>
        <v/>
      </c>
      <c r="N206" s="24">
        <f>$G206*Supuestos!J$10</f>
        <v/>
      </c>
      <c r="O206" s="24">
        <f>$G206*Supuestos!K$10</f>
        <v/>
      </c>
      <c r="P206" s="24">
        <f>$G206*Supuestos!L$10</f>
        <v/>
      </c>
      <c r="Q206" s="24">
        <f>$G206*Supuestos!M$10</f>
        <v/>
      </c>
      <c r="R206" s="24">
        <f>$G206*Supuestos!N$10</f>
        <v/>
      </c>
      <c r="S206" s="24">
        <f>$G206*Supuestos!O$10</f>
        <v/>
      </c>
      <c r="T206" s="24">
        <f>$G206*Supuestos!P$10</f>
        <v/>
      </c>
      <c r="U206" s="24">
        <f>$G206*Supuestos!Q$10</f>
        <v/>
      </c>
      <c r="V206" s="24">
        <f>$G206*Supuestos!R$10</f>
        <v/>
      </c>
    </row>
    <row r="207">
      <c r="A207" s="6" t="inlineStr">
        <is>
          <t>Estructura</t>
        </is>
      </c>
      <c r="B207" s="6" t="inlineStr">
        <is>
          <t>ARS</t>
        </is>
      </c>
      <c r="C207" s="6" t="inlineStr">
        <is>
          <t>4 Gastos de Estructura</t>
        </is>
      </c>
      <c r="D207" s="6" t="inlineStr">
        <is>
          <t>4.2 Honorarios</t>
        </is>
      </c>
      <c r="E207" s="6" t="inlineStr">
        <is>
          <t>Honorarios</t>
        </is>
      </c>
      <c r="F207" s="6" t="inlineStr">
        <is>
          <t>inf</t>
        </is>
      </c>
      <c r="G207" s="24" t="n">
        <v>-5370542.48</v>
      </c>
      <c r="H207" s="24">
        <f>$G207*Supuestos!D$6</f>
        <v/>
      </c>
      <c r="I207" s="24">
        <f>$G207*Supuestos!E$6</f>
        <v/>
      </c>
      <c r="J207" s="24">
        <f>$G207*Supuestos!F$6</f>
        <v/>
      </c>
      <c r="K207" s="24">
        <f>$G207*Supuestos!G$6</f>
        <v/>
      </c>
      <c r="L207" s="24">
        <f>$G207*Supuestos!H$6</f>
        <v/>
      </c>
      <c r="M207" s="24">
        <f>$G207*Supuestos!I$6</f>
        <v/>
      </c>
      <c r="N207" s="24">
        <f>$G207*Supuestos!J$6</f>
        <v/>
      </c>
      <c r="O207" s="24">
        <f>$G207*Supuestos!K$6</f>
        <v/>
      </c>
      <c r="P207" s="24">
        <f>$G207*Supuestos!L$6</f>
        <v/>
      </c>
      <c r="Q207" s="24">
        <f>$G207*Supuestos!M$6</f>
        <v/>
      </c>
      <c r="R207" s="24">
        <f>$G207*Supuestos!N$6</f>
        <v/>
      </c>
      <c r="S207" s="24">
        <f>$G207*Supuestos!O$6</f>
        <v/>
      </c>
      <c r="T207" s="24">
        <f>$G207*Supuestos!P$6</f>
        <v/>
      </c>
      <c r="U207" s="24">
        <f>$G207*Supuestos!Q$6</f>
        <v/>
      </c>
      <c r="V207" s="24">
        <f>$G207*Supuestos!R$6</f>
        <v/>
      </c>
    </row>
    <row r="208">
      <c r="A208" s="6" t="inlineStr">
        <is>
          <t>Estructura</t>
        </is>
      </c>
      <c r="B208" s="6" t="inlineStr">
        <is>
          <t>ARS</t>
        </is>
      </c>
      <c r="C208" s="6" t="inlineStr">
        <is>
          <t>4 Gastos de Estructura</t>
        </is>
      </c>
      <c r="D208" s="6" t="inlineStr">
        <is>
          <t>4.3 Mantenimiento de Oficina</t>
        </is>
      </c>
      <c r="E208" s="6" t="inlineStr">
        <is>
          <t>Mantenimiento y servicios</t>
        </is>
      </c>
      <c r="F208" s="6" t="inlineStr">
        <is>
          <t>inf</t>
        </is>
      </c>
      <c r="G208" s="24" t="n">
        <v>-7160723.65</v>
      </c>
      <c r="H208" s="24">
        <f>$G208*Supuestos!D$6</f>
        <v/>
      </c>
      <c r="I208" s="24">
        <f>$G208*Supuestos!E$6</f>
        <v/>
      </c>
      <c r="J208" s="24">
        <f>$G208*Supuestos!F$6</f>
        <v/>
      </c>
      <c r="K208" s="24">
        <f>$G208*Supuestos!G$6</f>
        <v/>
      </c>
      <c r="L208" s="24">
        <f>$G208*Supuestos!H$6</f>
        <v/>
      </c>
      <c r="M208" s="24">
        <f>$G208*Supuestos!I$6</f>
        <v/>
      </c>
      <c r="N208" s="24">
        <f>$G208*Supuestos!J$6</f>
        <v/>
      </c>
      <c r="O208" s="24">
        <f>$G208*Supuestos!K$6</f>
        <v/>
      </c>
      <c r="P208" s="24">
        <f>$G208*Supuestos!L$6</f>
        <v/>
      </c>
      <c r="Q208" s="24">
        <f>$G208*Supuestos!M$6</f>
        <v/>
      </c>
      <c r="R208" s="24">
        <f>$G208*Supuestos!N$6</f>
        <v/>
      </c>
      <c r="S208" s="24">
        <f>$G208*Supuestos!O$6</f>
        <v/>
      </c>
      <c r="T208" s="24">
        <f>$G208*Supuestos!P$6</f>
        <v/>
      </c>
      <c r="U208" s="24">
        <f>$G208*Supuestos!Q$6</f>
        <v/>
      </c>
      <c r="V208" s="24">
        <f>$G208*Supuestos!R$6</f>
        <v/>
      </c>
    </row>
    <row r="209">
      <c r="A209" s="6" t="inlineStr">
        <is>
          <t>Estructura</t>
        </is>
      </c>
      <c r="B209" s="6" t="inlineStr">
        <is>
          <t>ARS</t>
        </is>
      </c>
      <c r="C209" s="6" t="inlineStr">
        <is>
          <t>4 Gastos de Estructura</t>
        </is>
      </c>
      <c r="D209" s="6" t="inlineStr">
        <is>
          <t>4.4 Alquileres</t>
        </is>
      </c>
      <c r="E209" s="6" t="inlineStr">
        <is>
          <t>Alquileres</t>
        </is>
      </c>
      <c r="F209" s="6" t="inlineStr">
        <is>
          <t>inf</t>
        </is>
      </c>
      <c r="G209" s="24" t="n">
        <v>-5852944.49</v>
      </c>
      <c r="H209" s="24">
        <f>$G209*Supuestos!D$6</f>
        <v/>
      </c>
      <c r="I209" s="24">
        <f>$G209*Supuestos!E$6</f>
        <v/>
      </c>
      <c r="J209" s="24">
        <f>$G209*Supuestos!F$6</f>
        <v/>
      </c>
      <c r="K209" s="24">
        <f>$G209*Supuestos!G$6</f>
        <v/>
      </c>
      <c r="L209" s="24">
        <f>$G209*Supuestos!H$6</f>
        <v/>
      </c>
      <c r="M209" s="24">
        <f>$G209*Supuestos!I$6</f>
        <v/>
      </c>
      <c r="N209" s="24">
        <f>$G209*Supuestos!J$6</f>
        <v/>
      </c>
      <c r="O209" s="24">
        <f>$G209*Supuestos!K$6</f>
        <v/>
      </c>
      <c r="P209" s="24">
        <f>$G209*Supuestos!L$6</f>
        <v/>
      </c>
      <c r="Q209" s="24">
        <f>$G209*Supuestos!M$6</f>
        <v/>
      </c>
      <c r="R209" s="24">
        <f>$G209*Supuestos!N$6</f>
        <v/>
      </c>
      <c r="S209" s="24">
        <f>$G209*Supuestos!O$6</f>
        <v/>
      </c>
      <c r="T209" s="24">
        <f>$G209*Supuestos!P$6</f>
        <v/>
      </c>
      <c r="U209" s="24">
        <f>$G209*Supuestos!Q$6</f>
        <v/>
      </c>
      <c r="V209" s="24">
        <f>$G209*Supuestos!R$6</f>
        <v/>
      </c>
    </row>
    <row r="210">
      <c r="A210" s="6" t="inlineStr">
        <is>
          <t>Estructura</t>
        </is>
      </c>
      <c r="B210" s="6" t="inlineStr">
        <is>
          <t>ARS</t>
        </is>
      </c>
      <c r="C210" s="6" t="inlineStr">
        <is>
          <t>4 Gastos de Estructura</t>
        </is>
      </c>
      <c r="D210" s="6" t="inlineStr">
        <is>
          <t>4.6 Otros Gastos</t>
        </is>
      </c>
      <c r="E210" s="6" t="inlineStr">
        <is>
          <t>Infraestructura TI (USD)</t>
        </is>
      </c>
      <c r="F210" s="6" t="inlineStr">
        <is>
          <t>usd</t>
        </is>
      </c>
      <c r="G210" s="24" t="n">
        <v>-5460000</v>
      </c>
      <c r="H210" s="24">
        <f>$G210*Supuestos!D$8</f>
        <v/>
      </c>
      <c r="I210" s="24">
        <f>$G210*Supuestos!E$8</f>
        <v/>
      </c>
      <c r="J210" s="24">
        <f>$G210*Supuestos!F$8</f>
        <v/>
      </c>
      <c r="K210" s="24">
        <f>$G210*Supuestos!G$8</f>
        <v/>
      </c>
      <c r="L210" s="24">
        <f>$G210*Supuestos!H$8</f>
        <v/>
      </c>
      <c r="M210" s="24">
        <f>$G210*Supuestos!I$8</f>
        <v/>
      </c>
      <c r="N210" s="24">
        <f>$G210*Supuestos!J$8</f>
        <v/>
      </c>
      <c r="O210" s="24">
        <f>$G210*Supuestos!K$8</f>
        <v/>
      </c>
      <c r="P210" s="24">
        <f>$G210*Supuestos!L$8</f>
        <v/>
      </c>
      <c r="Q210" s="24">
        <f>$G210*Supuestos!M$8</f>
        <v/>
      </c>
      <c r="R210" s="24">
        <f>$G210*Supuestos!N$8</f>
        <v/>
      </c>
      <c r="S210" s="24">
        <f>$G210*Supuestos!O$8</f>
        <v/>
      </c>
      <c r="T210" s="24">
        <f>$G210*Supuestos!P$8</f>
        <v/>
      </c>
      <c r="U210" s="24">
        <f>$G210*Supuestos!Q$8</f>
        <v/>
      </c>
      <c r="V210" s="24">
        <f>$G210*Supuestos!R$8</f>
        <v/>
      </c>
    </row>
    <row r="211">
      <c r="A211" s="6" t="inlineStr">
        <is>
          <t>Estructura</t>
        </is>
      </c>
      <c r="B211" s="6" t="inlineStr">
        <is>
          <t>ARS</t>
        </is>
      </c>
      <c r="C211" s="6" t="inlineStr">
        <is>
          <t>4 Gastos de Estructura</t>
        </is>
      </c>
      <c r="D211" s="6" t="inlineStr">
        <is>
          <t>4.6 Otros Gastos</t>
        </is>
      </c>
      <c r="E211" s="6" t="inlineStr">
        <is>
          <t>Otros gastos</t>
        </is>
      </c>
      <c r="F211" s="6" t="inlineStr">
        <is>
          <t>inf</t>
        </is>
      </c>
      <c r="G211" s="24" t="n">
        <v>-3580362</v>
      </c>
      <c r="H211" s="24">
        <f>$G211*Supuestos!D$6</f>
        <v/>
      </c>
      <c r="I211" s="24">
        <f>$G211*Supuestos!E$6</f>
        <v/>
      </c>
      <c r="J211" s="24">
        <f>$G211*Supuestos!F$6</f>
        <v/>
      </c>
      <c r="K211" s="24">
        <f>$G211*Supuestos!G$6</f>
        <v/>
      </c>
      <c r="L211" s="24">
        <f>$G211*Supuestos!H$6</f>
        <v/>
      </c>
      <c r="M211" s="24">
        <f>$G211*Supuestos!I$6</f>
        <v/>
      </c>
      <c r="N211" s="24">
        <f>$G211*Supuestos!J$6</f>
        <v/>
      </c>
      <c r="O211" s="24">
        <f>$G211*Supuestos!K$6</f>
        <v/>
      </c>
      <c r="P211" s="24">
        <f>$G211*Supuestos!L$6</f>
        <v/>
      </c>
      <c r="Q211" s="24">
        <f>$G211*Supuestos!M$6</f>
        <v/>
      </c>
      <c r="R211" s="24">
        <f>$G211*Supuestos!N$6</f>
        <v/>
      </c>
      <c r="S211" s="24">
        <f>$G211*Supuestos!O$6</f>
        <v/>
      </c>
      <c r="T211" s="24">
        <f>$G211*Supuestos!P$6</f>
        <v/>
      </c>
      <c r="U211" s="24">
        <f>$G211*Supuestos!Q$6</f>
        <v/>
      </c>
      <c r="V211" s="24">
        <f>$G211*Supuestos!R$6</f>
        <v/>
      </c>
    </row>
    <row r="212">
      <c r="A212" s="6" t="inlineStr">
        <is>
          <t>Estructura</t>
        </is>
      </c>
      <c r="B212" s="6" t="inlineStr">
        <is>
          <t>ARS</t>
        </is>
      </c>
      <c r="C212" s="6" t="inlineStr">
        <is>
          <t>5 Resultado No Operacional</t>
        </is>
      </c>
      <c r="D212" s="6" t="inlineStr">
        <is>
          <t>5.1 Amortizaciones</t>
        </is>
      </c>
      <c r="E212" s="6" t="inlineStr">
        <is>
          <t>Amortizaciones</t>
        </is>
      </c>
      <c r="F212" s="6" t="inlineStr">
        <is>
          <t>fix</t>
        </is>
      </c>
      <c r="G212" s="24" t="n">
        <v>-2500000</v>
      </c>
      <c r="H212" s="24">
        <f>$G212</f>
        <v/>
      </c>
      <c r="I212" s="24">
        <f>$G212</f>
        <v/>
      </c>
      <c r="J212" s="24">
        <f>$G212</f>
        <v/>
      </c>
      <c r="K212" s="24">
        <f>$G212</f>
        <v/>
      </c>
      <c r="L212" s="24">
        <f>$G212</f>
        <v/>
      </c>
      <c r="M212" s="24">
        <f>$G212</f>
        <v/>
      </c>
      <c r="N212" s="24">
        <f>$G212</f>
        <v/>
      </c>
      <c r="O212" s="24">
        <f>$G212</f>
        <v/>
      </c>
      <c r="P212" s="24">
        <f>$G212</f>
        <v/>
      </c>
      <c r="Q212" s="24">
        <f>$G212</f>
        <v/>
      </c>
      <c r="R212" s="24">
        <f>$G212</f>
        <v/>
      </c>
      <c r="S212" s="24">
        <f>$G212</f>
        <v/>
      </c>
      <c r="T212" s="24">
        <f>$G212</f>
        <v/>
      </c>
      <c r="U212" s="24">
        <f>$G212</f>
        <v/>
      </c>
      <c r="V212" s="24">
        <f>$G212</f>
        <v/>
      </c>
    </row>
    <row r="213">
      <c r="A213" s="6" t="inlineStr">
        <is>
          <t>Estructura</t>
        </is>
      </c>
      <c r="B213" s="6" t="inlineStr">
        <is>
          <t>ARS</t>
        </is>
      </c>
      <c r="C213" s="6" t="inlineStr">
        <is>
          <t>5 Resultado No Operacional</t>
        </is>
      </c>
      <c r="D213" s="6" t="inlineStr">
        <is>
          <t>5.2 Resultados Financieros</t>
        </is>
      </c>
      <c r="E213" s="6" t="inlineStr">
        <is>
          <t>Gastos bancarios e intereses</t>
        </is>
      </c>
      <c r="F213" s="6" t="inlineStr">
        <is>
          <t>inf</t>
        </is>
      </c>
      <c r="G213" s="24" t="n">
        <v>-12151378.58</v>
      </c>
      <c r="H213" s="24">
        <f>$G213*Supuestos!D$6</f>
        <v/>
      </c>
      <c r="I213" s="24">
        <f>$G213*Supuestos!E$6</f>
        <v/>
      </c>
      <c r="J213" s="24">
        <f>$G213*Supuestos!F$6</f>
        <v/>
      </c>
      <c r="K213" s="24">
        <f>$G213*Supuestos!G$6</f>
        <v/>
      </c>
      <c r="L213" s="24">
        <f>$G213*Supuestos!H$6</f>
        <v/>
      </c>
      <c r="M213" s="24">
        <f>$G213*Supuestos!I$6</f>
        <v/>
      </c>
      <c r="N213" s="24">
        <f>$G213*Supuestos!J$6</f>
        <v/>
      </c>
      <c r="O213" s="24">
        <f>$G213*Supuestos!K$6</f>
        <v/>
      </c>
      <c r="P213" s="24">
        <f>$G213*Supuestos!L$6</f>
        <v/>
      </c>
      <c r="Q213" s="24">
        <f>$G213*Supuestos!M$6</f>
        <v/>
      </c>
      <c r="R213" s="24">
        <f>$G213*Supuestos!N$6</f>
        <v/>
      </c>
      <c r="S213" s="24">
        <f>$G213*Supuestos!O$6</f>
        <v/>
      </c>
      <c r="T213" s="24">
        <f>$G213*Supuestos!P$6</f>
        <v/>
      </c>
      <c r="U213" s="24">
        <f>$G213*Supuestos!Q$6</f>
        <v/>
      </c>
      <c r="V213" s="24">
        <f>$G213*Supuestos!R$6</f>
        <v/>
      </c>
    </row>
    <row r="214">
      <c r="A214" s="6" t="inlineStr">
        <is>
          <t>Estructura</t>
        </is>
      </c>
      <c r="B214" s="6" t="inlineStr">
        <is>
          <t>ARS</t>
        </is>
      </c>
      <c r="C214" s="6" t="inlineStr">
        <is>
          <t>5 Resultado No Operacional</t>
        </is>
      </c>
      <c r="D214" s="6" t="inlineStr">
        <is>
          <t>5.2 Resultados Financieros</t>
        </is>
      </c>
      <c r="E214" s="6" t="inlineStr">
        <is>
          <t>Diferencia de cambio</t>
        </is>
      </c>
      <c r="F214" s="6" t="inlineStr">
        <is>
          <t>difc</t>
        </is>
      </c>
      <c r="G214" s="24" t="n">
        <v>1870471.33</v>
      </c>
      <c r="H214" s="24">
        <f>Supuestos!$C$16*(Supuestos!D$7-Supuestos!C$7)</f>
        <v/>
      </c>
      <c r="I214" s="24">
        <f>Supuestos!$C$16*(Supuestos!E$7-Supuestos!D$7)</f>
        <v/>
      </c>
      <c r="J214" s="24">
        <f>Supuestos!$C$16*(Supuestos!F$7-Supuestos!E$7)</f>
        <v/>
      </c>
      <c r="K214" s="24">
        <f>Supuestos!$C$16*(Supuestos!G$7-Supuestos!F$7)</f>
        <v/>
      </c>
      <c r="L214" s="24">
        <f>Supuestos!$C$16*(Supuestos!H$7-Supuestos!G$7)</f>
        <v/>
      </c>
      <c r="M214" s="24">
        <f>Supuestos!$C$16*(Supuestos!I$7-Supuestos!H$7)</f>
        <v/>
      </c>
      <c r="N214" s="24">
        <f>Supuestos!$C$16*(Supuestos!J$7-Supuestos!I$7)</f>
        <v/>
      </c>
      <c r="O214" s="24">
        <f>Supuestos!$C$16*(Supuestos!K$7-Supuestos!J$7)</f>
        <v/>
      </c>
      <c r="P214" s="24">
        <f>Supuestos!$C$16*(Supuestos!L$7-Supuestos!K$7)</f>
        <v/>
      </c>
      <c r="Q214" s="24">
        <f>Supuestos!$C$16*(Supuestos!M$7-Supuestos!L$7)</f>
        <v/>
      </c>
      <c r="R214" s="24">
        <f>Supuestos!$C$16*(Supuestos!N$7-Supuestos!M$7)</f>
        <v/>
      </c>
      <c r="S214" s="24">
        <f>Supuestos!$C$16*(Supuestos!O$7-Supuestos!N$7)</f>
        <v/>
      </c>
      <c r="T214" s="24">
        <f>Supuestos!$C$16*(Supuestos!P$7-Supuestos!O$7)</f>
        <v/>
      </c>
      <c r="U214" s="24">
        <f>Supuestos!$C$16*(Supuestos!Q$7-Supuestos!P$7)</f>
        <v/>
      </c>
      <c r="V214" s="24">
        <f>Supuestos!$C$16*(Supuestos!R$7-Supuestos!Q$7)</f>
        <v/>
      </c>
    </row>
    <row r="215">
      <c r="A215" s="6" t="inlineStr">
        <is>
          <t>Estructura</t>
        </is>
      </c>
      <c r="B215" s="6" t="inlineStr">
        <is>
          <t>ARS</t>
        </is>
      </c>
      <c r="C215" s="6" t="inlineStr">
        <is>
          <t>5 Resultado No Operacional</t>
        </is>
      </c>
      <c r="D215" s="6" t="inlineStr">
        <is>
          <t>5.3 Recupero Intercompany</t>
        </is>
      </c>
      <c r="E215" s="6" t="inlineStr">
        <is>
          <t>Recupero gastos intercompany</t>
        </is>
      </c>
      <c r="F215" s="6" t="inlineStr">
        <is>
          <t>ic</t>
        </is>
      </c>
      <c r="G215" s="24" t="n">
        <v>26105952.42</v>
      </c>
      <c r="H215" s="24">
        <f>$G215*Supuestos!D$10</f>
        <v/>
      </c>
      <c r="I215" s="24">
        <f>$G215*Supuestos!E$10</f>
        <v/>
      </c>
      <c r="J215" s="24">
        <f>$G215*Supuestos!F$10</f>
        <v/>
      </c>
      <c r="K215" s="24">
        <f>$G215*Supuestos!G$10</f>
        <v/>
      </c>
      <c r="L215" s="24">
        <f>$G215*Supuestos!H$10</f>
        <v/>
      </c>
      <c r="M215" s="24">
        <f>$G215*Supuestos!I$10</f>
        <v/>
      </c>
      <c r="N215" s="24">
        <f>$G215*Supuestos!J$10</f>
        <v/>
      </c>
      <c r="O215" s="24">
        <f>$G215*Supuestos!K$10</f>
        <v/>
      </c>
      <c r="P215" s="24">
        <f>$G215*Supuestos!L$10</f>
        <v/>
      </c>
      <c r="Q215" s="24">
        <f>$G215*Supuestos!M$10</f>
        <v/>
      </c>
      <c r="R215" s="24">
        <f>$G215*Supuestos!N$10</f>
        <v/>
      </c>
      <c r="S215" s="24">
        <f>$G215*Supuestos!O$10</f>
        <v/>
      </c>
      <c r="T215" s="24">
        <f>$G215*Supuestos!P$10</f>
        <v/>
      </c>
      <c r="U215" s="24">
        <f>$G215*Supuestos!Q$10</f>
        <v/>
      </c>
      <c r="V215" s="24">
        <f>$G215*Supuestos!R$10</f>
        <v/>
      </c>
    </row>
    <row r="216">
      <c r="A216" s="25" t="inlineStr">
        <is>
          <t>Estructura</t>
        </is>
      </c>
      <c r="B216" s="25" t="inlineStr">
        <is>
          <t>ARS</t>
        </is>
      </c>
      <c r="C216" s="25" t="inlineStr">
        <is>
          <t>6 Impuestos</t>
        </is>
      </c>
      <c r="D216" s="25" t="inlineStr">
        <is>
          <t>6.1 Impuesto a las Ganancias</t>
        </is>
      </c>
      <c r="E216" s="25" t="inlineStr">
        <is>
          <t>Impuesto a las ganancias</t>
        </is>
      </c>
      <c r="F216" s="25" t="inlineStr">
        <is>
          <t>tax</t>
        </is>
      </c>
      <c r="G216" s="26" t="n">
        <v>0</v>
      </c>
      <c r="H216" s="26">
        <f>-Supuestos!$C$17*MAX(0,SUM(H5:H215))</f>
        <v/>
      </c>
      <c r="I216" s="26">
        <f>-Supuestos!$C$17*MAX(0,SUM(I5:I215))</f>
        <v/>
      </c>
      <c r="J216" s="26">
        <f>-Supuestos!$C$17*MAX(0,SUM(J5:J215))</f>
        <v/>
      </c>
      <c r="K216" s="26">
        <f>-Supuestos!$C$17*MAX(0,SUM(K5:K215))</f>
        <v/>
      </c>
      <c r="L216" s="26">
        <f>-Supuestos!$C$17*MAX(0,SUM(L5:L215))</f>
        <v/>
      </c>
      <c r="M216" s="26">
        <f>-Supuestos!$C$17*MAX(0,SUM(M5:M215))</f>
        <v/>
      </c>
      <c r="N216" s="26">
        <f>-Supuestos!$C$17*MAX(0,SUM(N5:N215))</f>
        <v/>
      </c>
      <c r="O216" s="26">
        <f>-Supuestos!$C$17*MAX(0,SUM(O5:O215))</f>
        <v/>
      </c>
      <c r="P216" s="26">
        <f>-Supuestos!$C$17*MAX(0,SUM(P5:P215))</f>
        <v/>
      </c>
      <c r="Q216" s="26">
        <f>-Supuestos!$C$17*MAX(0,SUM(Q5:Q215))</f>
        <v/>
      </c>
      <c r="R216" s="26">
        <f>-Supuestos!$C$17*MAX(0,SUM(R5:R215))</f>
        <v/>
      </c>
      <c r="S216" s="26">
        <f>-Supuestos!$C$17*MAX(0,SUM(S5:S215))</f>
        <v/>
      </c>
      <c r="T216" s="26">
        <f>-Supuestos!$C$17*MAX(0,SUM(T5:T215))</f>
        <v/>
      </c>
      <c r="U216" s="26">
        <f>-Supuestos!$C$17*MAX(0,SUM(U5:U215))</f>
        <v/>
      </c>
      <c r="V216" s="26">
        <f>-Supuestos!$C$17*MAX(0,SUM(V5:V215))</f>
        <v/>
      </c>
    </row>
  </sheetData>
  <autoFilter ref="A4:V2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</cols>
  <sheetData>
    <row r="1">
      <c r="A1" s="1" t="inlineStr">
        <is>
          <t>Estado de resultados de gestión · cierre 2025 y presupuesto 2026</t>
        </is>
      </c>
    </row>
    <row r="2">
      <c r="A2" s="2" t="inlineStr">
        <is>
          <t>En millones de pesos (formato de celda). Real ene–sep: datos de gestión; oct–dic: reproyección; 2026: presupuesto. Si ves celdas vacías, habilitá la edición.</t>
        </is>
      </c>
    </row>
    <row r="4" ht="30" customHeight="1">
      <c r="A4" s="9" t="inlineStr">
        <is>
          <t>Línea</t>
        </is>
      </c>
      <c r="B4" s="10" t="inlineStr">
        <is>
          <t>Real ene–sep 2025</t>
        </is>
      </c>
      <c r="C4" s="10" t="inlineStr">
        <is>
          <t>oct-25</t>
        </is>
      </c>
      <c r="D4" s="10" t="inlineStr">
        <is>
          <t>nov-25</t>
        </is>
      </c>
      <c r="E4" s="10" t="inlineStr">
        <is>
          <t>dic-25</t>
        </is>
      </c>
      <c r="F4" s="10" t="inlineStr">
        <is>
          <t>Cierre 2025</t>
        </is>
      </c>
      <c r="G4" s="10" t="inlineStr">
        <is>
          <t>Presupuesto 2025</t>
        </is>
      </c>
      <c r="H4" s="10" t="inlineStr">
        <is>
          <t>Cierre vs presup.</t>
        </is>
      </c>
      <c r="I4" s="10" t="inlineStr">
        <is>
          <t>ene-26</t>
        </is>
      </c>
      <c r="J4" s="10" t="inlineStr">
        <is>
          <t>feb-26</t>
        </is>
      </c>
      <c r="K4" s="10" t="inlineStr">
        <is>
          <t>mar-26</t>
        </is>
      </c>
      <c r="L4" s="10" t="inlineStr">
        <is>
          <t>abr-26</t>
        </is>
      </c>
      <c r="M4" s="10" t="inlineStr">
        <is>
          <t>may-26</t>
        </is>
      </c>
      <c r="N4" s="10" t="inlineStr">
        <is>
          <t>jun-26</t>
        </is>
      </c>
      <c r="O4" s="10" t="inlineStr">
        <is>
          <t>jul-26</t>
        </is>
      </c>
      <c r="P4" s="10" t="inlineStr">
        <is>
          <t>ago-26</t>
        </is>
      </c>
      <c r="Q4" s="10" t="inlineStr">
        <is>
          <t>sep-26</t>
        </is>
      </c>
      <c r="R4" s="10" t="inlineStr">
        <is>
          <t>oct-26</t>
        </is>
      </c>
      <c r="S4" s="10" t="inlineStr">
        <is>
          <t>nov-26</t>
        </is>
      </c>
      <c r="T4" s="10" t="inlineStr">
        <is>
          <t>dic-26</t>
        </is>
      </c>
      <c r="U4" s="10" t="inlineStr">
        <is>
          <t>Total 2026</t>
        </is>
      </c>
      <c r="V4" s="10" t="inlineStr">
        <is>
          <t>2026 vs cierre 2025</t>
        </is>
      </c>
    </row>
    <row r="5">
      <c r="A5" s="27" t="inlineStr">
        <is>
          <t>1 Ingreso Operacional</t>
        </is>
      </c>
      <c r="B5" s="28">
        <f>B6+B7</f>
        <v/>
      </c>
      <c r="C5" s="28">
        <f>C6+C7</f>
        <v/>
      </c>
      <c r="D5" s="28">
        <f>D6+D7</f>
        <v/>
      </c>
      <c r="E5" s="28">
        <f>E6+E7</f>
        <v/>
      </c>
      <c r="F5" s="28">
        <f>B5+SUM(C5:E5)</f>
        <v/>
      </c>
      <c r="G5" s="28">
        <f>G6+G7</f>
        <v/>
      </c>
      <c r="H5" s="28">
        <f>F5-G5</f>
        <v/>
      </c>
      <c r="I5" s="28">
        <f>I6+I7</f>
        <v/>
      </c>
      <c r="J5" s="28">
        <f>J6+J7</f>
        <v/>
      </c>
      <c r="K5" s="28">
        <f>K6+K7</f>
        <v/>
      </c>
      <c r="L5" s="28">
        <f>L6+L7</f>
        <v/>
      </c>
      <c r="M5" s="28">
        <f>M6+M7</f>
        <v/>
      </c>
      <c r="N5" s="28">
        <f>N6+N7</f>
        <v/>
      </c>
      <c r="O5" s="28">
        <f>O6+O7</f>
        <v/>
      </c>
      <c r="P5" s="28">
        <f>P6+P7</f>
        <v/>
      </c>
      <c r="Q5" s="28">
        <f>Q6+Q7</f>
        <v/>
      </c>
      <c r="R5" s="28">
        <f>R6+R7</f>
        <v/>
      </c>
      <c r="S5" s="28">
        <f>S6+S7</f>
        <v/>
      </c>
      <c r="T5" s="28">
        <f>T6+T7</f>
        <v/>
      </c>
      <c r="U5" s="28">
        <f>SUM(I5:T5)</f>
        <v/>
      </c>
      <c r="V5" s="29">
        <f>IFERROR(U5/F5-1,"-")</f>
        <v/>
      </c>
    </row>
    <row r="6">
      <c r="A6" s="6" t="inlineStr">
        <is>
          <t>1.1 Ingreso Cobranzas</t>
        </is>
      </c>
      <c r="B6" s="30" t="n">
        <v>3222169846</v>
      </c>
      <c r="C6" s="30">
        <f>SUMIFS(Cálculo!$H$5:$H$216,Cálculo!$D$5:$D$216,$A6)</f>
        <v/>
      </c>
      <c r="D6" s="30">
        <f>SUMIFS(Cálculo!$I$5:$I$216,Cálculo!$D$5:$D$216,$A6)</f>
        <v/>
      </c>
      <c r="E6" s="30">
        <f>SUMIFS(Cálculo!$J$5:$J$216,Cálculo!$D$5:$D$216,$A6)</f>
        <v/>
      </c>
      <c r="F6" s="30">
        <f>B6+SUM(C6:E6)</f>
        <v/>
      </c>
      <c r="G6" s="30" t="n">
        <v>4891908983</v>
      </c>
      <c r="H6" s="30">
        <f>F6-G6</f>
        <v/>
      </c>
      <c r="I6" s="30">
        <f>SUMIFS(Cálculo!$K$5:$K$216,Cálculo!$D$5:$D$216,$A6)</f>
        <v/>
      </c>
      <c r="J6" s="30">
        <f>SUMIFS(Cálculo!$L$5:$L$216,Cálculo!$D$5:$D$216,$A6)</f>
        <v/>
      </c>
      <c r="K6" s="30">
        <f>SUMIFS(Cálculo!$M$5:$M$216,Cálculo!$D$5:$D$216,$A6)</f>
        <v/>
      </c>
      <c r="L6" s="30">
        <f>SUMIFS(Cálculo!$N$5:$N$216,Cálculo!$D$5:$D$216,$A6)</f>
        <v/>
      </c>
      <c r="M6" s="30">
        <f>SUMIFS(Cálculo!$O$5:$O$216,Cálculo!$D$5:$D$216,$A6)</f>
        <v/>
      </c>
      <c r="N6" s="30">
        <f>SUMIFS(Cálculo!$P$5:$P$216,Cálculo!$D$5:$D$216,$A6)</f>
        <v/>
      </c>
      <c r="O6" s="30">
        <f>SUMIFS(Cálculo!$Q$5:$Q$216,Cálculo!$D$5:$D$216,$A6)</f>
        <v/>
      </c>
      <c r="P6" s="30">
        <f>SUMIFS(Cálculo!$R$5:$R$216,Cálculo!$D$5:$D$216,$A6)</f>
        <v/>
      </c>
      <c r="Q6" s="30">
        <f>SUMIFS(Cálculo!$S$5:$S$216,Cálculo!$D$5:$D$216,$A6)</f>
        <v/>
      </c>
      <c r="R6" s="30">
        <f>SUMIFS(Cálculo!$T$5:$T$216,Cálculo!$D$5:$D$216,$A6)</f>
        <v/>
      </c>
      <c r="S6" s="30">
        <f>SUMIFS(Cálculo!$U$5:$U$216,Cálculo!$D$5:$D$216,$A6)</f>
        <v/>
      </c>
      <c r="T6" s="30">
        <f>SUMIFS(Cálculo!$V$5:$V$216,Cálculo!$D$5:$D$216,$A6)</f>
        <v/>
      </c>
      <c r="U6" s="30">
        <f>SUM(I6:T6)</f>
        <v/>
      </c>
      <c r="V6" s="31">
        <f>IFERROR(U6/F6-1,"-")</f>
        <v/>
      </c>
    </row>
    <row r="7">
      <c r="A7" s="6" t="inlineStr">
        <is>
          <t>1.3 Ingreso Ventas</t>
        </is>
      </c>
      <c r="B7" s="30" t="n">
        <v>162257410</v>
      </c>
      <c r="C7" s="30">
        <f>SUMIFS(Cálculo!$H$5:$H$216,Cálculo!$D$5:$D$216,$A7)</f>
        <v/>
      </c>
      <c r="D7" s="30">
        <f>SUMIFS(Cálculo!$I$5:$I$216,Cálculo!$D$5:$D$216,$A7)</f>
        <v/>
      </c>
      <c r="E7" s="30">
        <f>SUMIFS(Cálculo!$J$5:$J$216,Cálculo!$D$5:$D$216,$A7)</f>
        <v/>
      </c>
      <c r="F7" s="30">
        <f>B7+SUM(C7:E7)</f>
        <v/>
      </c>
      <c r="G7" s="30" t="n">
        <v>228356779</v>
      </c>
      <c r="H7" s="30">
        <f>F7-G7</f>
        <v/>
      </c>
      <c r="I7" s="30">
        <f>SUMIFS(Cálculo!$K$5:$K$216,Cálculo!$D$5:$D$216,$A7)</f>
        <v/>
      </c>
      <c r="J7" s="30">
        <f>SUMIFS(Cálculo!$L$5:$L$216,Cálculo!$D$5:$D$216,$A7)</f>
        <v/>
      </c>
      <c r="K7" s="30">
        <f>SUMIFS(Cálculo!$M$5:$M$216,Cálculo!$D$5:$D$216,$A7)</f>
        <v/>
      </c>
      <c r="L7" s="30">
        <f>SUMIFS(Cálculo!$N$5:$N$216,Cálculo!$D$5:$D$216,$A7)</f>
        <v/>
      </c>
      <c r="M7" s="30">
        <f>SUMIFS(Cálculo!$O$5:$O$216,Cálculo!$D$5:$D$216,$A7)</f>
        <v/>
      </c>
      <c r="N7" s="30">
        <f>SUMIFS(Cálculo!$P$5:$P$216,Cálculo!$D$5:$D$216,$A7)</f>
        <v/>
      </c>
      <c r="O7" s="30">
        <f>SUMIFS(Cálculo!$Q$5:$Q$216,Cálculo!$D$5:$D$216,$A7)</f>
        <v/>
      </c>
      <c r="P7" s="30">
        <f>SUMIFS(Cálculo!$R$5:$R$216,Cálculo!$D$5:$D$216,$A7)</f>
        <v/>
      </c>
      <c r="Q7" s="30">
        <f>SUMIFS(Cálculo!$S$5:$S$216,Cálculo!$D$5:$D$216,$A7)</f>
        <v/>
      </c>
      <c r="R7" s="30">
        <f>SUMIFS(Cálculo!$T$5:$T$216,Cálculo!$D$5:$D$216,$A7)</f>
        <v/>
      </c>
      <c r="S7" s="30">
        <f>SUMIFS(Cálculo!$U$5:$U$216,Cálculo!$D$5:$D$216,$A7)</f>
        <v/>
      </c>
      <c r="T7" s="30">
        <f>SUMIFS(Cálculo!$V$5:$V$216,Cálculo!$D$5:$D$216,$A7)</f>
        <v/>
      </c>
      <c r="U7" s="30">
        <f>SUM(I7:T7)</f>
        <v/>
      </c>
      <c r="V7" s="31">
        <f>IFERROR(U7/F7-1,"-")</f>
        <v/>
      </c>
    </row>
    <row r="8">
      <c r="A8" s="27" t="inlineStr">
        <is>
          <t>2 Costos de Explotación</t>
        </is>
      </c>
      <c r="B8" s="28">
        <f>B9+B10+B11+B12+B13+B14+B15+B16+B17</f>
        <v/>
      </c>
      <c r="C8" s="28">
        <f>C9+C10+C11+C12+C13+C14+C15+C16+C17</f>
        <v/>
      </c>
      <c r="D8" s="28">
        <f>D9+D10+D11+D12+D13+D14+D15+D16+D17</f>
        <v/>
      </c>
      <c r="E8" s="28">
        <f>E9+E10+E11+E12+E13+E14+E15+E16+E17</f>
        <v/>
      </c>
      <c r="F8" s="28">
        <f>B8+SUM(C8:E8)</f>
        <v/>
      </c>
      <c r="G8" s="28">
        <f>G9+G10+G11+G12+G13+G14+G15+G16+G17</f>
        <v/>
      </c>
      <c r="H8" s="28">
        <f>F8-G8</f>
        <v/>
      </c>
      <c r="I8" s="28">
        <f>I9+I10+I11+I12+I13+I14+I15+I16+I17</f>
        <v/>
      </c>
      <c r="J8" s="28">
        <f>J9+J10+J11+J12+J13+J14+J15+J16+J17</f>
        <v/>
      </c>
      <c r="K8" s="28">
        <f>K9+K10+K11+K12+K13+K14+K15+K16+K17</f>
        <v/>
      </c>
      <c r="L8" s="28">
        <f>L9+L10+L11+L12+L13+L14+L15+L16+L17</f>
        <v/>
      </c>
      <c r="M8" s="28">
        <f>M9+M10+M11+M12+M13+M14+M15+M16+M17</f>
        <v/>
      </c>
      <c r="N8" s="28">
        <f>N9+N10+N11+N12+N13+N14+N15+N16+N17</f>
        <v/>
      </c>
      <c r="O8" s="28">
        <f>O9+O10+O11+O12+O13+O14+O15+O16+O17</f>
        <v/>
      </c>
      <c r="P8" s="28">
        <f>P9+P10+P11+P12+P13+P14+P15+P16+P17</f>
        <v/>
      </c>
      <c r="Q8" s="28">
        <f>Q9+Q10+Q11+Q12+Q13+Q14+Q15+Q16+Q17</f>
        <v/>
      </c>
      <c r="R8" s="28">
        <f>R9+R10+R11+R12+R13+R14+R15+R16+R17</f>
        <v/>
      </c>
      <c r="S8" s="28">
        <f>S9+S10+S11+S12+S13+S14+S15+S16+S17</f>
        <v/>
      </c>
      <c r="T8" s="28">
        <f>T9+T10+T11+T12+T13+T14+T15+T16+T17</f>
        <v/>
      </c>
      <c r="U8" s="28">
        <f>SUM(I8:T8)</f>
        <v/>
      </c>
      <c r="V8" s="29">
        <f>IFERROR(U8/F8-1,"-")</f>
        <v/>
      </c>
    </row>
    <row r="9">
      <c r="A9" s="6" t="inlineStr">
        <is>
          <t>2.1 Remuneraciones</t>
        </is>
      </c>
      <c r="B9" s="30" t="n">
        <v>-1181706850</v>
      </c>
      <c r="C9" s="30">
        <f>SUMIFS(Cálculo!$H$5:$H$216,Cálculo!$D$5:$D$216,$A9)</f>
        <v/>
      </c>
      <c r="D9" s="30">
        <f>SUMIFS(Cálculo!$I$5:$I$216,Cálculo!$D$5:$D$216,$A9)</f>
        <v/>
      </c>
      <c r="E9" s="30">
        <f>SUMIFS(Cálculo!$J$5:$J$216,Cálculo!$D$5:$D$216,$A9)</f>
        <v/>
      </c>
      <c r="F9" s="30">
        <f>B9+SUM(C9:E9)</f>
        <v/>
      </c>
      <c r="G9" s="30" t="n">
        <v>-1757459131</v>
      </c>
      <c r="H9" s="30">
        <f>F9-G9</f>
        <v/>
      </c>
      <c r="I9" s="30">
        <f>SUMIFS(Cálculo!$K$5:$K$216,Cálculo!$D$5:$D$216,$A9)</f>
        <v/>
      </c>
      <c r="J9" s="30">
        <f>SUMIFS(Cálculo!$L$5:$L$216,Cálculo!$D$5:$D$216,$A9)</f>
        <v/>
      </c>
      <c r="K9" s="30">
        <f>SUMIFS(Cálculo!$M$5:$M$216,Cálculo!$D$5:$D$216,$A9)</f>
        <v/>
      </c>
      <c r="L9" s="30">
        <f>SUMIFS(Cálculo!$N$5:$N$216,Cálculo!$D$5:$D$216,$A9)</f>
        <v/>
      </c>
      <c r="M9" s="30">
        <f>SUMIFS(Cálculo!$O$5:$O$216,Cálculo!$D$5:$D$216,$A9)</f>
        <v/>
      </c>
      <c r="N9" s="30">
        <f>SUMIFS(Cálculo!$P$5:$P$216,Cálculo!$D$5:$D$216,$A9)</f>
        <v/>
      </c>
      <c r="O9" s="30">
        <f>SUMIFS(Cálculo!$Q$5:$Q$216,Cálculo!$D$5:$D$216,$A9)</f>
        <v/>
      </c>
      <c r="P9" s="30">
        <f>SUMIFS(Cálculo!$R$5:$R$216,Cálculo!$D$5:$D$216,$A9)</f>
        <v/>
      </c>
      <c r="Q9" s="30">
        <f>SUMIFS(Cálculo!$S$5:$S$216,Cálculo!$D$5:$D$216,$A9)</f>
        <v/>
      </c>
      <c r="R9" s="30">
        <f>SUMIFS(Cálculo!$T$5:$T$216,Cálculo!$D$5:$D$216,$A9)</f>
        <v/>
      </c>
      <c r="S9" s="30">
        <f>SUMIFS(Cálculo!$U$5:$U$216,Cálculo!$D$5:$D$216,$A9)</f>
        <v/>
      </c>
      <c r="T9" s="30">
        <f>SUMIFS(Cálculo!$V$5:$V$216,Cálculo!$D$5:$D$216,$A9)</f>
        <v/>
      </c>
      <c r="U9" s="30">
        <f>SUM(I9:T9)</f>
        <v/>
      </c>
      <c r="V9" s="31">
        <f>IFERROR(U9/F9-1,"-")</f>
        <v/>
      </c>
    </row>
    <row r="10">
      <c r="A10" s="6" t="inlineStr">
        <is>
          <t>2.2 Servicios de Terceros</t>
        </is>
      </c>
      <c r="B10" s="30" t="n">
        <v>-366490150</v>
      </c>
      <c r="C10" s="30">
        <f>SUMIFS(Cálculo!$H$5:$H$216,Cálculo!$D$5:$D$216,$A10)</f>
        <v/>
      </c>
      <c r="D10" s="30">
        <f>SUMIFS(Cálculo!$I$5:$I$216,Cálculo!$D$5:$D$216,$A10)</f>
        <v/>
      </c>
      <c r="E10" s="30">
        <f>SUMIFS(Cálculo!$J$5:$J$216,Cálculo!$D$5:$D$216,$A10)</f>
        <v/>
      </c>
      <c r="F10" s="30">
        <f>B10+SUM(C10:E10)</f>
        <v/>
      </c>
      <c r="G10" s="30" t="n">
        <v>-501215000</v>
      </c>
      <c r="H10" s="30">
        <f>F10-G10</f>
        <v/>
      </c>
      <c r="I10" s="30">
        <f>SUMIFS(Cálculo!$K$5:$K$216,Cálculo!$D$5:$D$216,$A10)</f>
        <v/>
      </c>
      <c r="J10" s="30">
        <f>SUMIFS(Cálculo!$L$5:$L$216,Cálculo!$D$5:$D$216,$A10)</f>
        <v/>
      </c>
      <c r="K10" s="30">
        <f>SUMIFS(Cálculo!$M$5:$M$216,Cálculo!$D$5:$D$216,$A10)</f>
        <v/>
      </c>
      <c r="L10" s="30">
        <f>SUMIFS(Cálculo!$N$5:$N$216,Cálculo!$D$5:$D$216,$A10)</f>
        <v/>
      </c>
      <c r="M10" s="30">
        <f>SUMIFS(Cálculo!$O$5:$O$216,Cálculo!$D$5:$D$216,$A10)</f>
        <v/>
      </c>
      <c r="N10" s="30">
        <f>SUMIFS(Cálculo!$P$5:$P$216,Cálculo!$D$5:$D$216,$A10)</f>
        <v/>
      </c>
      <c r="O10" s="30">
        <f>SUMIFS(Cálculo!$Q$5:$Q$216,Cálculo!$D$5:$D$216,$A10)</f>
        <v/>
      </c>
      <c r="P10" s="30">
        <f>SUMIFS(Cálculo!$R$5:$R$216,Cálculo!$D$5:$D$216,$A10)</f>
        <v/>
      </c>
      <c r="Q10" s="30">
        <f>SUMIFS(Cálculo!$S$5:$S$216,Cálculo!$D$5:$D$216,$A10)</f>
        <v/>
      </c>
      <c r="R10" s="30">
        <f>SUMIFS(Cálculo!$T$5:$T$216,Cálculo!$D$5:$D$216,$A10)</f>
        <v/>
      </c>
      <c r="S10" s="30">
        <f>SUMIFS(Cálculo!$U$5:$U$216,Cálculo!$D$5:$D$216,$A10)</f>
        <v/>
      </c>
      <c r="T10" s="30">
        <f>SUMIFS(Cálculo!$V$5:$V$216,Cálculo!$D$5:$D$216,$A10)</f>
        <v/>
      </c>
      <c r="U10" s="30">
        <f>SUM(I10:T10)</f>
        <v/>
      </c>
      <c r="V10" s="31">
        <f>IFERROR(U10/F10-1,"-")</f>
        <v/>
      </c>
    </row>
    <row r="11">
      <c r="A11" s="6" t="inlineStr">
        <is>
          <t>2.3 Licencias</t>
        </is>
      </c>
      <c r="B11" s="30" t="n">
        <v>-75543075</v>
      </c>
      <c r="C11" s="30">
        <f>SUMIFS(Cálculo!$H$5:$H$216,Cálculo!$D$5:$D$216,$A11)</f>
        <v/>
      </c>
      <c r="D11" s="30">
        <f>SUMIFS(Cálculo!$I$5:$I$216,Cálculo!$D$5:$D$216,$A11)</f>
        <v/>
      </c>
      <c r="E11" s="30">
        <f>SUMIFS(Cálculo!$J$5:$J$216,Cálculo!$D$5:$D$216,$A11)</f>
        <v/>
      </c>
      <c r="F11" s="30">
        <f>B11+SUM(C11:E11)</f>
        <v/>
      </c>
      <c r="G11" s="30" t="n">
        <v>-102559950</v>
      </c>
      <c r="H11" s="30">
        <f>F11-G11</f>
        <v/>
      </c>
      <c r="I11" s="30">
        <f>SUMIFS(Cálculo!$K$5:$K$216,Cálculo!$D$5:$D$216,$A11)</f>
        <v/>
      </c>
      <c r="J11" s="30">
        <f>SUMIFS(Cálculo!$L$5:$L$216,Cálculo!$D$5:$D$216,$A11)</f>
        <v/>
      </c>
      <c r="K11" s="30">
        <f>SUMIFS(Cálculo!$M$5:$M$216,Cálculo!$D$5:$D$216,$A11)</f>
        <v/>
      </c>
      <c r="L11" s="30">
        <f>SUMIFS(Cálculo!$N$5:$N$216,Cálculo!$D$5:$D$216,$A11)</f>
        <v/>
      </c>
      <c r="M11" s="30">
        <f>SUMIFS(Cálculo!$O$5:$O$216,Cálculo!$D$5:$D$216,$A11)</f>
        <v/>
      </c>
      <c r="N11" s="30">
        <f>SUMIFS(Cálculo!$P$5:$P$216,Cálculo!$D$5:$D$216,$A11)</f>
        <v/>
      </c>
      <c r="O11" s="30">
        <f>SUMIFS(Cálculo!$Q$5:$Q$216,Cálculo!$D$5:$D$216,$A11)</f>
        <v/>
      </c>
      <c r="P11" s="30">
        <f>SUMIFS(Cálculo!$R$5:$R$216,Cálculo!$D$5:$D$216,$A11)</f>
        <v/>
      </c>
      <c r="Q11" s="30">
        <f>SUMIFS(Cálculo!$S$5:$S$216,Cálculo!$D$5:$D$216,$A11)</f>
        <v/>
      </c>
      <c r="R11" s="30">
        <f>SUMIFS(Cálculo!$T$5:$T$216,Cálculo!$D$5:$D$216,$A11)</f>
        <v/>
      </c>
      <c r="S11" s="30">
        <f>SUMIFS(Cálculo!$U$5:$U$216,Cálculo!$D$5:$D$216,$A11)</f>
        <v/>
      </c>
      <c r="T11" s="30">
        <f>SUMIFS(Cálculo!$V$5:$V$216,Cálculo!$D$5:$D$216,$A11)</f>
        <v/>
      </c>
      <c r="U11" s="30">
        <f>SUM(I11:T11)</f>
        <v/>
      </c>
      <c r="V11" s="31">
        <f>IFERROR(U11/F11-1,"-")</f>
        <v/>
      </c>
    </row>
    <row r="12">
      <c r="A12" s="6" t="inlineStr">
        <is>
          <t>2.5 Telefonía</t>
        </is>
      </c>
      <c r="B12" s="30" t="n">
        <v>-70183446</v>
      </c>
      <c r="C12" s="30">
        <f>SUMIFS(Cálculo!$H$5:$H$216,Cálculo!$D$5:$D$216,$A12)</f>
        <v/>
      </c>
      <c r="D12" s="30">
        <f>SUMIFS(Cálculo!$I$5:$I$216,Cálculo!$D$5:$D$216,$A12)</f>
        <v/>
      </c>
      <c r="E12" s="30">
        <f>SUMIFS(Cálculo!$J$5:$J$216,Cálculo!$D$5:$D$216,$A12)</f>
        <v/>
      </c>
      <c r="F12" s="30">
        <f>B12+SUM(C12:E12)</f>
        <v/>
      </c>
      <c r="G12" s="30" t="n">
        <v>-101110195</v>
      </c>
      <c r="H12" s="30">
        <f>F12-G12</f>
        <v/>
      </c>
      <c r="I12" s="30">
        <f>SUMIFS(Cálculo!$K$5:$K$216,Cálculo!$D$5:$D$216,$A12)</f>
        <v/>
      </c>
      <c r="J12" s="30">
        <f>SUMIFS(Cálculo!$L$5:$L$216,Cálculo!$D$5:$D$216,$A12)</f>
        <v/>
      </c>
      <c r="K12" s="30">
        <f>SUMIFS(Cálculo!$M$5:$M$216,Cálculo!$D$5:$D$216,$A12)</f>
        <v/>
      </c>
      <c r="L12" s="30">
        <f>SUMIFS(Cálculo!$N$5:$N$216,Cálculo!$D$5:$D$216,$A12)</f>
        <v/>
      </c>
      <c r="M12" s="30">
        <f>SUMIFS(Cálculo!$O$5:$O$216,Cálculo!$D$5:$D$216,$A12)</f>
        <v/>
      </c>
      <c r="N12" s="30">
        <f>SUMIFS(Cálculo!$P$5:$P$216,Cálculo!$D$5:$D$216,$A12)</f>
        <v/>
      </c>
      <c r="O12" s="30">
        <f>SUMIFS(Cálculo!$Q$5:$Q$216,Cálculo!$D$5:$D$216,$A12)</f>
        <v/>
      </c>
      <c r="P12" s="30">
        <f>SUMIFS(Cálculo!$R$5:$R$216,Cálculo!$D$5:$D$216,$A12)</f>
        <v/>
      </c>
      <c r="Q12" s="30">
        <f>SUMIFS(Cálculo!$S$5:$S$216,Cálculo!$D$5:$D$216,$A12)</f>
        <v/>
      </c>
      <c r="R12" s="30">
        <f>SUMIFS(Cálculo!$T$5:$T$216,Cálculo!$D$5:$D$216,$A12)</f>
        <v/>
      </c>
      <c r="S12" s="30">
        <f>SUMIFS(Cálculo!$U$5:$U$216,Cálculo!$D$5:$D$216,$A12)</f>
        <v/>
      </c>
      <c r="T12" s="30">
        <f>SUMIFS(Cálculo!$V$5:$V$216,Cálculo!$D$5:$D$216,$A12)</f>
        <v/>
      </c>
      <c r="U12" s="30">
        <f>SUM(I12:T12)</f>
        <v/>
      </c>
      <c r="V12" s="31">
        <f>IFERROR(U12/F12-1,"-")</f>
        <v/>
      </c>
    </row>
    <row r="13">
      <c r="A13" s="6" t="inlineStr">
        <is>
          <t>2.6 SMS</t>
        </is>
      </c>
      <c r="B13" s="30" t="n">
        <v>-74335992</v>
      </c>
      <c r="C13" s="30">
        <f>SUMIFS(Cálculo!$H$5:$H$216,Cálculo!$D$5:$D$216,$A13)</f>
        <v/>
      </c>
      <c r="D13" s="30">
        <f>SUMIFS(Cálculo!$I$5:$I$216,Cálculo!$D$5:$D$216,$A13)</f>
        <v/>
      </c>
      <c r="E13" s="30">
        <f>SUMIFS(Cálculo!$J$5:$J$216,Cálculo!$D$5:$D$216,$A13)</f>
        <v/>
      </c>
      <c r="F13" s="30">
        <f>B13+SUM(C13:E13)</f>
        <v/>
      </c>
      <c r="G13" s="30" t="n">
        <v>-97145424</v>
      </c>
      <c r="H13" s="30">
        <f>F13-G13</f>
        <v/>
      </c>
      <c r="I13" s="30">
        <f>SUMIFS(Cálculo!$K$5:$K$216,Cálculo!$D$5:$D$216,$A13)</f>
        <v/>
      </c>
      <c r="J13" s="30">
        <f>SUMIFS(Cálculo!$L$5:$L$216,Cálculo!$D$5:$D$216,$A13)</f>
        <v/>
      </c>
      <c r="K13" s="30">
        <f>SUMIFS(Cálculo!$M$5:$M$216,Cálculo!$D$5:$D$216,$A13)</f>
        <v/>
      </c>
      <c r="L13" s="30">
        <f>SUMIFS(Cálculo!$N$5:$N$216,Cálculo!$D$5:$D$216,$A13)</f>
        <v/>
      </c>
      <c r="M13" s="30">
        <f>SUMIFS(Cálculo!$O$5:$O$216,Cálculo!$D$5:$D$216,$A13)</f>
        <v/>
      </c>
      <c r="N13" s="30">
        <f>SUMIFS(Cálculo!$P$5:$P$216,Cálculo!$D$5:$D$216,$A13)</f>
        <v/>
      </c>
      <c r="O13" s="30">
        <f>SUMIFS(Cálculo!$Q$5:$Q$216,Cálculo!$D$5:$D$216,$A13)</f>
        <v/>
      </c>
      <c r="P13" s="30">
        <f>SUMIFS(Cálculo!$R$5:$R$216,Cálculo!$D$5:$D$216,$A13)</f>
        <v/>
      </c>
      <c r="Q13" s="30">
        <f>SUMIFS(Cálculo!$S$5:$S$216,Cálculo!$D$5:$D$216,$A13)</f>
        <v/>
      </c>
      <c r="R13" s="30">
        <f>SUMIFS(Cálculo!$T$5:$T$216,Cálculo!$D$5:$D$216,$A13)</f>
        <v/>
      </c>
      <c r="S13" s="30">
        <f>SUMIFS(Cálculo!$U$5:$U$216,Cálculo!$D$5:$D$216,$A13)</f>
        <v/>
      </c>
      <c r="T13" s="30">
        <f>SUMIFS(Cálculo!$V$5:$V$216,Cálculo!$D$5:$D$216,$A13)</f>
        <v/>
      </c>
      <c r="U13" s="30">
        <f>SUM(I13:T13)</f>
        <v/>
      </c>
      <c r="V13" s="31">
        <f>IFERROR(U13/F13-1,"-")</f>
        <v/>
      </c>
    </row>
    <row r="14">
      <c r="A14" s="6" t="inlineStr">
        <is>
          <t>2.7 Bocas de Cobranza</t>
        </is>
      </c>
      <c r="B14" s="30" t="n">
        <v>-43067764</v>
      </c>
      <c r="C14" s="30">
        <f>SUMIFS(Cálculo!$H$5:$H$216,Cálculo!$D$5:$D$216,$A14)</f>
        <v/>
      </c>
      <c r="D14" s="30">
        <f>SUMIFS(Cálculo!$I$5:$I$216,Cálculo!$D$5:$D$216,$A14)</f>
        <v/>
      </c>
      <c r="E14" s="30">
        <f>SUMIFS(Cálculo!$J$5:$J$216,Cálculo!$D$5:$D$216,$A14)</f>
        <v/>
      </c>
      <c r="F14" s="30">
        <f>B14+SUM(C14:E14)</f>
        <v/>
      </c>
      <c r="G14" s="30" t="n">
        <v>-64696140</v>
      </c>
      <c r="H14" s="30">
        <f>F14-G14</f>
        <v/>
      </c>
      <c r="I14" s="30">
        <f>SUMIFS(Cálculo!$K$5:$K$216,Cálculo!$D$5:$D$216,$A14)</f>
        <v/>
      </c>
      <c r="J14" s="30">
        <f>SUMIFS(Cálculo!$L$5:$L$216,Cálculo!$D$5:$D$216,$A14)</f>
        <v/>
      </c>
      <c r="K14" s="30">
        <f>SUMIFS(Cálculo!$M$5:$M$216,Cálculo!$D$5:$D$216,$A14)</f>
        <v/>
      </c>
      <c r="L14" s="30">
        <f>SUMIFS(Cálculo!$N$5:$N$216,Cálculo!$D$5:$D$216,$A14)</f>
        <v/>
      </c>
      <c r="M14" s="30">
        <f>SUMIFS(Cálculo!$O$5:$O$216,Cálculo!$D$5:$D$216,$A14)</f>
        <v/>
      </c>
      <c r="N14" s="30">
        <f>SUMIFS(Cálculo!$P$5:$P$216,Cálculo!$D$5:$D$216,$A14)</f>
        <v/>
      </c>
      <c r="O14" s="30">
        <f>SUMIFS(Cálculo!$Q$5:$Q$216,Cálculo!$D$5:$D$216,$A14)</f>
        <v/>
      </c>
      <c r="P14" s="30">
        <f>SUMIFS(Cálculo!$R$5:$R$216,Cálculo!$D$5:$D$216,$A14)</f>
        <v/>
      </c>
      <c r="Q14" s="30">
        <f>SUMIFS(Cálculo!$S$5:$S$216,Cálculo!$D$5:$D$216,$A14)</f>
        <v/>
      </c>
      <c r="R14" s="30">
        <f>SUMIFS(Cálculo!$T$5:$T$216,Cálculo!$D$5:$D$216,$A14)</f>
        <v/>
      </c>
      <c r="S14" s="30">
        <f>SUMIFS(Cálculo!$U$5:$U$216,Cálculo!$D$5:$D$216,$A14)</f>
        <v/>
      </c>
      <c r="T14" s="30">
        <f>SUMIFS(Cálculo!$V$5:$V$216,Cálculo!$D$5:$D$216,$A14)</f>
        <v/>
      </c>
      <c r="U14" s="30">
        <f>SUM(I14:T14)</f>
        <v/>
      </c>
      <c r="V14" s="31">
        <f>IFERROR(U14/F14-1,"-")</f>
        <v/>
      </c>
    </row>
    <row r="15">
      <c r="A15" s="6" t="inlineStr">
        <is>
          <t>2.8 Mailing</t>
        </is>
      </c>
      <c r="B15" s="30" t="n">
        <v>-25828134</v>
      </c>
      <c r="C15" s="30">
        <f>SUMIFS(Cálculo!$H$5:$H$216,Cálculo!$D$5:$D$216,$A15)</f>
        <v/>
      </c>
      <c r="D15" s="30">
        <f>SUMIFS(Cálculo!$I$5:$I$216,Cálculo!$D$5:$D$216,$A15)</f>
        <v/>
      </c>
      <c r="E15" s="30">
        <f>SUMIFS(Cálculo!$J$5:$J$216,Cálculo!$D$5:$D$216,$A15)</f>
        <v/>
      </c>
      <c r="F15" s="30">
        <f>B15+SUM(C15:E15)</f>
        <v/>
      </c>
      <c r="G15" s="30" t="n">
        <v>-35674567</v>
      </c>
      <c r="H15" s="30">
        <f>F15-G15</f>
        <v/>
      </c>
      <c r="I15" s="30">
        <f>SUMIFS(Cálculo!$K$5:$K$216,Cálculo!$D$5:$D$216,$A15)</f>
        <v/>
      </c>
      <c r="J15" s="30">
        <f>SUMIFS(Cálculo!$L$5:$L$216,Cálculo!$D$5:$D$216,$A15)</f>
        <v/>
      </c>
      <c r="K15" s="30">
        <f>SUMIFS(Cálculo!$M$5:$M$216,Cálculo!$D$5:$D$216,$A15)</f>
        <v/>
      </c>
      <c r="L15" s="30">
        <f>SUMIFS(Cálculo!$N$5:$N$216,Cálculo!$D$5:$D$216,$A15)</f>
        <v/>
      </c>
      <c r="M15" s="30">
        <f>SUMIFS(Cálculo!$O$5:$O$216,Cálculo!$D$5:$D$216,$A15)</f>
        <v/>
      </c>
      <c r="N15" s="30">
        <f>SUMIFS(Cálculo!$P$5:$P$216,Cálculo!$D$5:$D$216,$A15)</f>
        <v/>
      </c>
      <c r="O15" s="30">
        <f>SUMIFS(Cálculo!$Q$5:$Q$216,Cálculo!$D$5:$D$216,$A15)</f>
        <v/>
      </c>
      <c r="P15" s="30">
        <f>SUMIFS(Cálculo!$R$5:$R$216,Cálculo!$D$5:$D$216,$A15)</f>
        <v/>
      </c>
      <c r="Q15" s="30">
        <f>SUMIFS(Cálculo!$S$5:$S$216,Cálculo!$D$5:$D$216,$A15)</f>
        <v/>
      </c>
      <c r="R15" s="30">
        <f>SUMIFS(Cálculo!$T$5:$T$216,Cálculo!$D$5:$D$216,$A15)</f>
        <v/>
      </c>
      <c r="S15" s="30">
        <f>SUMIFS(Cálculo!$U$5:$U$216,Cálculo!$D$5:$D$216,$A15)</f>
        <v/>
      </c>
      <c r="T15" s="30">
        <f>SUMIFS(Cálculo!$V$5:$V$216,Cálculo!$D$5:$D$216,$A15)</f>
        <v/>
      </c>
      <c r="U15" s="30">
        <f>SUM(I15:T15)</f>
        <v/>
      </c>
      <c r="V15" s="31">
        <f>IFERROR(U15/F15-1,"-")</f>
        <v/>
      </c>
    </row>
    <row r="16">
      <c r="A16" s="6" t="inlineStr">
        <is>
          <t>2.9 Informes Comerciales</t>
        </is>
      </c>
      <c r="B16" s="30" t="n">
        <v>-14867561</v>
      </c>
      <c r="C16" s="30">
        <f>SUMIFS(Cálculo!$H$5:$H$216,Cálculo!$D$5:$D$216,$A16)</f>
        <v/>
      </c>
      <c r="D16" s="30">
        <f>SUMIFS(Cálculo!$I$5:$I$216,Cálculo!$D$5:$D$216,$A16)</f>
        <v/>
      </c>
      <c r="E16" s="30">
        <f>SUMIFS(Cálculo!$J$5:$J$216,Cálculo!$D$5:$D$216,$A16)</f>
        <v/>
      </c>
      <c r="F16" s="30">
        <f>B16+SUM(C16:E16)</f>
        <v/>
      </c>
      <c r="G16" s="30" t="n">
        <v>-21840243</v>
      </c>
      <c r="H16" s="30">
        <f>F16-G16</f>
        <v/>
      </c>
      <c r="I16" s="30">
        <f>SUMIFS(Cálculo!$K$5:$K$216,Cálculo!$D$5:$D$216,$A16)</f>
        <v/>
      </c>
      <c r="J16" s="30">
        <f>SUMIFS(Cálculo!$L$5:$L$216,Cálculo!$D$5:$D$216,$A16)</f>
        <v/>
      </c>
      <c r="K16" s="30">
        <f>SUMIFS(Cálculo!$M$5:$M$216,Cálculo!$D$5:$D$216,$A16)</f>
        <v/>
      </c>
      <c r="L16" s="30">
        <f>SUMIFS(Cálculo!$N$5:$N$216,Cálculo!$D$5:$D$216,$A16)</f>
        <v/>
      </c>
      <c r="M16" s="30">
        <f>SUMIFS(Cálculo!$O$5:$O$216,Cálculo!$D$5:$D$216,$A16)</f>
        <v/>
      </c>
      <c r="N16" s="30">
        <f>SUMIFS(Cálculo!$P$5:$P$216,Cálculo!$D$5:$D$216,$A16)</f>
        <v/>
      </c>
      <c r="O16" s="30">
        <f>SUMIFS(Cálculo!$Q$5:$Q$216,Cálculo!$D$5:$D$216,$A16)</f>
        <v/>
      </c>
      <c r="P16" s="30">
        <f>SUMIFS(Cálculo!$R$5:$R$216,Cálculo!$D$5:$D$216,$A16)</f>
        <v/>
      </c>
      <c r="Q16" s="30">
        <f>SUMIFS(Cálculo!$S$5:$S$216,Cálculo!$D$5:$D$216,$A16)</f>
        <v/>
      </c>
      <c r="R16" s="30">
        <f>SUMIFS(Cálculo!$T$5:$T$216,Cálculo!$D$5:$D$216,$A16)</f>
        <v/>
      </c>
      <c r="S16" s="30">
        <f>SUMIFS(Cálculo!$U$5:$U$216,Cálculo!$D$5:$D$216,$A16)</f>
        <v/>
      </c>
      <c r="T16" s="30">
        <f>SUMIFS(Cálculo!$V$5:$V$216,Cálculo!$D$5:$D$216,$A16)</f>
        <v/>
      </c>
      <c r="U16" s="30">
        <f>SUM(I16:T16)</f>
        <v/>
      </c>
      <c r="V16" s="31">
        <f>IFERROR(U16/F16-1,"-")</f>
        <v/>
      </c>
    </row>
    <row r="17">
      <c r="A17" s="6" t="inlineStr">
        <is>
          <t>2.12 WhatsApp</t>
        </is>
      </c>
      <c r="B17" s="30" t="n">
        <v>-13907210</v>
      </c>
      <c r="C17" s="30">
        <f>SUMIFS(Cálculo!$H$5:$H$216,Cálculo!$D$5:$D$216,$A17)</f>
        <v/>
      </c>
      <c r="D17" s="30">
        <f>SUMIFS(Cálculo!$I$5:$I$216,Cálculo!$D$5:$D$216,$A17)</f>
        <v/>
      </c>
      <c r="E17" s="30">
        <f>SUMIFS(Cálculo!$J$5:$J$216,Cálculo!$D$5:$D$216,$A17)</f>
        <v/>
      </c>
      <c r="F17" s="30">
        <f>B17+SUM(C17:E17)</f>
        <v/>
      </c>
      <c r="G17" s="30" t="n">
        <v>-19069880</v>
      </c>
      <c r="H17" s="30">
        <f>F17-G17</f>
        <v/>
      </c>
      <c r="I17" s="30">
        <f>SUMIFS(Cálculo!$K$5:$K$216,Cálculo!$D$5:$D$216,$A17)</f>
        <v/>
      </c>
      <c r="J17" s="30">
        <f>SUMIFS(Cálculo!$L$5:$L$216,Cálculo!$D$5:$D$216,$A17)</f>
        <v/>
      </c>
      <c r="K17" s="30">
        <f>SUMIFS(Cálculo!$M$5:$M$216,Cálculo!$D$5:$D$216,$A17)</f>
        <v/>
      </c>
      <c r="L17" s="30">
        <f>SUMIFS(Cálculo!$N$5:$N$216,Cálculo!$D$5:$D$216,$A17)</f>
        <v/>
      </c>
      <c r="M17" s="30">
        <f>SUMIFS(Cálculo!$O$5:$O$216,Cálculo!$D$5:$D$216,$A17)</f>
        <v/>
      </c>
      <c r="N17" s="30">
        <f>SUMIFS(Cálculo!$P$5:$P$216,Cálculo!$D$5:$D$216,$A17)</f>
        <v/>
      </c>
      <c r="O17" s="30">
        <f>SUMIFS(Cálculo!$Q$5:$Q$216,Cálculo!$D$5:$D$216,$A17)</f>
        <v/>
      </c>
      <c r="P17" s="30">
        <f>SUMIFS(Cálculo!$R$5:$R$216,Cálculo!$D$5:$D$216,$A17)</f>
        <v/>
      </c>
      <c r="Q17" s="30">
        <f>SUMIFS(Cálculo!$S$5:$S$216,Cálculo!$D$5:$D$216,$A17)</f>
        <v/>
      </c>
      <c r="R17" s="30">
        <f>SUMIFS(Cálculo!$T$5:$T$216,Cálculo!$D$5:$D$216,$A17)</f>
        <v/>
      </c>
      <c r="S17" s="30">
        <f>SUMIFS(Cálculo!$U$5:$U$216,Cálculo!$D$5:$D$216,$A17)</f>
        <v/>
      </c>
      <c r="T17" s="30">
        <f>SUMIFS(Cálculo!$V$5:$V$216,Cálculo!$D$5:$D$216,$A17)</f>
        <v/>
      </c>
      <c r="U17" s="30">
        <f>SUM(I17:T17)</f>
        <v/>
      </c>
      <c r="V17" s="31">
        <f>IFERROR(U17/F17-1,"-")</f>
        <v/>
      </c>
    </row>
    <row r="18">
      <c r="A18" s="27" t="inlineStr">
        <is>
          <t>3 Impuestos Directos</t>
        </is>
      </c>
      <c r="B18" s="28">
        <f>B19</f>
        <v/>
      </c>
      <c r="C18" s="28">
        <f>C19</f>
        <v/>
      </c>
      <c r="D18" s="28">
        <f>D19</f>
        <v/>
      </c>
      <c r="E18" s="28">
        <f>E19</f>
        <v/>
      </c>
      <c r="F18" s="28">
        <f>B18+SUM(C18:E18)</f>
        <v/>
      </c>
      <c r="G18" s="28">
        <f>G19</f>
        <v/>
      </c>
      <c r="H18" s="28">
        <f>F18-G18</f>
        <v/>
      </c>
      <c r="I18" s="28">
        <f>I19</f>
        <v/>
      </c>
      <c r="J18" s="28">
        <f>J19</f>
        <v/>
      </c>
      <c r="K18" s="28">
        <f>K19</f>
        <v/>
      </c>
      <c r="L18" s="28">
        <f>L19</f>
        <v/>
      </c>
      <c r="M18" s="28">
        <f>M19</f>
        <v/>
      </c>
      <c r="N18" s="28">
        <f>N19</f>
        <v/>
      </c>
      <c r="O18" s="28">
        <f>O19</f>
        <v/>
      </c>
      <c r="P18" s="28">
        <f>P19</f>
        <v/>
      </c>
      <c r="Q18" s="28">
        <f>Q19</f>
        <v/>
      </c>
      <c r="R18" s="28">
        <f>R19</f>
        <v/>
      </c>
      <c r="S18" s="28">
        <f>S19</f>
        <v/>
      </c>
      <c r="T18" s="28">
        <f>T19</f>
        <v/>
      </c>
      <c r="U18" s="28">
        <f>SUM(I18:T18)</f>
        <v/>
      </c>
      <c r="V18" s="29">
        <f>IFERROR(U18/F18-1,"-")</f>
        <v/>
      </c>
    </row>
    <row r="19">
      <c r="A19" s="6" t="inlineStr">
        <is>
          <t>3.1 Ingresos Brutos</t>
        </is>
      </c>
      <c r="B19" s="30" t="n">
        <v>-95541356</v>
      </c>
      <c r="C19" s="30">
        <f>SUMIFS(Cálculo!$H$5:$H$216,Cálculo!$D$5:$D$216,$A19)</f>
        <v/>
      </c>
      <c r="D19" s="30">
        <f>SUMIFS(Cálculo!$I$5:$I$216,Cálculo!$D$5:$D$216,$A19)</f>
        <v/>
      </c>
      <c r="E19" s="30">
        <f>SUMIFS(Cálculo!$J$5:$J$216,Cálculo!$D$5:$D$216,$A19)</f>
        <v/>
      </c>
      <c r="F19" s="30">
        <f>B19+SUM(C19:E19)</f>
        <v/>
      </c>
      <c r="G19" s="30" t="n">
        <v>-146054345</v>
      </c>
      <c r="H19" s="30">
        <f>F19-G19</f>
        <v/>
      </c>
      <c r="I19" s="30">
        <f>SUMIFS(Cálculo!$K$5:$K$216,Cálculo!$D$5:$D$216,$A19)</f>
        <v/>
      </c>
      <c r="J19" s="30">
        <f>SUMIFS(Cálculo!$L$5:$L$216,Cálculo!$D$5:$D$216,$A19)</f>
        <v/>
      </c>
      <c r="K19" s="30">
        <f>SUMIFS(Cálculo!$M$5:$M$216,Cálculo!$D$5:$D$216,$A19)</f>
        <v/>
      </c>
      <c r="L19" s="30">
        <f>SUMIFS(Cálculo!$N$5:$N$216,Cálculo!$D$5:$D$216,$A19)</f>
        <v/>
      </c>
      <c r="M19" s="30">
        <f>SUMIFS(Cálculo!$O$5:$O$216,Cálculo!$D$5:$D$216,$A19)</f>
        <v/>
      </c>
      <c r="N19" s="30">
        <f>SUMIFS(Cálculo!$P$5:$P$216,Cálculo!$D$5:$D$216,$A19)</f>
        <v/>
      </c>
      <c r="O19" s="30">
        <f>SUMIFS(Cálculo!$Q$5:$Q$216,Cálculo!$D$5:$D$216,$A19)</f>
        <v/>
      </c>
      <c r="P19" s="30">
        <f>SUMIFS(Cálculo!$R$5:$R$216,Cálculo!$D$5:$D$216,$A19)</f>
        <v/>
      </c>
      <c r="Q19" s="30">
        <f>SUMIFS(Cálculo!$S$5:$S$216,Cálculo!$D$5:$D$216,$A19)</f>
        <v/>
      </c>
      <c r="R19" s="30">
        <f>SUMIFS(Cálculo!$T$5:$T$216,Cálculo!$D$5:$D$216,$A19)</f>
        <v/>
      </c>
      <c r="S19" s="30">
        <f>SUMIFS(Cálculo!$U$5:$U$216,Cálculo!$D$5:$D$216,$A19)</f>
        <v/>
      </c>
      <c r="T19" s="30">
        <f>SUMIFS(Cálculo!$V$5:$V$216,Cálculo!$D$5:$D$216,$A19)</f>
        <v/>
      </c>
      <c r="U19" s="30">
        <f>SUM(I19:T19)</f>
        <v/>
      </c>
      <c r="V19" s="31">
        <f>IFERROR(U19/F19-1,"-")</f>
        <v/>
      </c>
    </row>
    <row r="20">
      <c r="A20" s="32" t="inlineStr">
        <is>
          <t>Margen bruto</t>
        </is>
      </c>
      <c r="B20" s="33">
        <f>B5+B8+B18</f>
        <v/>
      </c>
      <c r="C20" s="33">
        <f>C5+C8+C18</f>
        <v/>
      </c>
      <c r="D20" s="33">
        <f>D5+D8+D18</f>
        <v/>
      </c>
      <c r="E20" s="33">
        <f>E5+E8+E18</f>
        <v/>
      </c>
      <c r="F20" s="33">
        <f>B20+SUM(C20:E20)</f>
        <v/>
      </c>
      <c r="G20" s="33">
        <f>G5+G8+G18</f>
        <v/>
      </c>
      <c r="H20" s="33">
        <f>F20-G20</f>
        <v/>
      </c>
      <c r="I20" s="33">
        <f>I5+I8+I18</f>
        <v/>
      </c>
      <c r="J20" s="33">
        <f>J5+J8+J18</f>
        <v/>
      </c>
      <c r="K20" s="33">
        <f>K5+K8+K18</f>
        <v/>
      </c>
      <c r="L20" s="33">
        <f>L5+L8+L18</f>
        <v/>
      </c>
      <c r="M20" s="33">
        <f>M5+M8+M18</f>
        <v/>
      </c>
      <c r="N20" s="33">
        <f>N5+N8+N18</f>
        <v/>
      </c>
      <c r="O20" s="33">
        <f>O5+O8+O18</f>
        <v/>
      </c>
      <c r="P20" s="33">
        <f>P5+P8+P18</f>
        <v/>
      </c>
      <c r="Q20" s="33">
        <f>Q5+Q8+Q18</f>
        <v/>
      </c>
      <c r="R20" s="33">
        <f>R5+R8+R18</f>
        <v/>
      </c>
      <c r="S20" s="33">
        <f>S5+S8+S18</f>
        <v/>
      </c>
      <c r="T20" s="33">
        <f>T5+T8+T18</f>
        <v/>
      </c>
      <c r="U20" s="33">
        <f>SUM(I20:T20)</f>
        <v/>
      </c>
      <c r="V20" s="34">
        <f>IFERROR(U20/F20-1,"-")</f>
        <v/>
      </c>
    </row>
    <row r="21">
      <c r="A21" s="35" t="inlineStr">
        <is>
          <t xml:space="preserve">   % sobre ingresos</t>
        </is>
      </c>
      <c r="B21" s="36">
        <f>IFERROR(B20/B5,0)</f>
        <v/>
      </c>
      <c r="C21" s="36">
        <f>IFERROR(C20/C5,0)</f>
        <v/>
      </c>
      <c r="D21" s="36">
        <f>IFERROR(D20/D5,0)</f>
        <v/>
      </c>
      <c r="E21" s="36">
        <f>IFERROR(E20/E5,0)</f>
        <v/>
      </c>
      <c r="F21" s="36">
        <f>IFERROR(F20/F5,0)</f>
        <v/>
      </c>
      <c r="G21" s="36">
        <f>IFERROR(G20/G5,0)</f>
        <v/>
      </c>
      <c r="I21" s="36">
        <f>IFERROR(I20/I5,0)</f>
        <v/>
      </c>
      <c r="J21" s="36">
        <f>IFERROR(J20/J5,0)</f>
        <v/>
      </c>
      <c r="K21" s="36">
        <f>IFERROR(K20/K5,0)</f>
        <v/>
      </c>
      <c r="L21" s="36">
        <f>IFERROR(L20/L5,0)</f>
        <v/>
      </c>
      <c r="M21" s="36">
        <f>IFERROR(M20/M5,0)</f>
        <v/>
      </c>
      <c r="N21" s="36">
        <f>IFERROR(N20/N5,0)</f>
        <v/>
      </c>
      <c r="O21" s="36">
        <f>IFERROR(O20/O5,0)</f>
        <v/>
      </c>
      <c r="P21" s="36">
        <f>IFERROR(P20/P5,0)</f>
        <v/>
      </c>
      <c r="Q21" s="36">
        <f>IFERROR(Q20/Q5,0)</f>
        <v/>
      </c>
      <c r="R21" s="36">
        <f>IFERROR(R20/R5,0)</f>
        <v/>
      </c>
      <c r="S21" s="36">
        <f>IFERROR(S20/S5,0)</f>
        <v/>
      </c>
      <c r="T21" s="36">
        <f>IFERROR(T20/T5,0)</f>
        <v/>
      </c>
      <c r="U21" s="36">
        <f>IFERROR(U20/U5,0)</f>
        <v/>
      </c>
    </row>
    <row r="22">
      <c r="A22" s="27" t="inlineStr">
        <is>
          <t>4 Gastos de Estructura</t>
        </is>
      </c>
      <c r="B22" s="28">
        <f>B23+B24+B25+B26+B27</f>
        <v/>
      </c>
      <c r="C22" s="28">
        <f>C23+C24+C25+C26+C27</f>
        <v/>
      </c>
      <c r="D22" s="28">
        <f>D23+D24+D25+D26+D27</f>
        <v/>
      </c>
      <c r="E22" s="28">
        <f>E23+E24+E25+E26+E27</f>
        <v/>
      </c>
      <c r="F22" s="28">
        <f>B22+SUM(C22:E22)</f>
        <v/>
      </c>
      <c r="G22" s="28">
        <f>G23+G24+G25+G26+G27</f>
        <v/>
      </c>
      <c r="H22" s="28">
        <f>F22-G22</f>
        <v/>
      </c>
      <c r="I22" s="28">
        <f>I23+I24+I25+I26+I27</f>
        <v/>
      </c>
      <c r="J22" s="28">
        <f>J23+J24+J25+J26+J27</f>
        <v/>
      </c>
      <c r="K22" s="28">
        <f>K23+K24+K25+K26+K27</f>
        <v/>
      </c>
      <c r="L22" s="28">
        <f>L23+L24+L25+L26+L27</f>
        <v/>
      </c>
      <c r="M22" s="28">
        <f>M23+M24+M25+M26+M27</f>
        <v/>
      </c>
      <c r="N22" s="28">
        <f>N23+N24+N25+N26+N27</f>
        <v/>
      </c>
      <c r="O22" s="28">
        <f>O23+O24+O25+O26+O27</f>
        <v/>
      </c>
      <c r="P22" s="28">
        <f>P23+P24+P25+P26+P27</f>
        <v/>
      </c>
      <c r="Q22" s="28">
        <f>Q23+Q24+Q25+Q26+Q27</f>
        <v/>
      </c>
      <c r="R22" s="28">
        <f>R23+R24+R25+R26+R27</f>
        <v/>
      </c>
      <c r="S22" s="28">
        <f>S23+S24+S25+S26+S27</f>
        <v/>
      </c>
      <c r="T22" s="28">
        <f>T23+T24+T25+T26+T27</f>
        <v/>
      </c>
      <c r="U22" s="28">
        <f>SUM(I22:T22)</f>
        <v/>
      </c>
      <c r="V22" s="29">
        <f>IFERROR(U22/F22-1,"-")</f>
        <v/>
      </c>
    </row>
    <row r="23">
      <c r="A23" s="6" t="inlineStr">
        <is>
          <t>4.1 Remuneraciones Staff</t>
        </is>
      </c>
      <c r="B23" s="30" t="n">
        <v>-701091994</v>
      </c>
      <c r="C23" s="30">
        <f>SUMIFS(Cálculo!$H$5:$H$216,Cálculo!$D$5:$D$216,$A23)</f>
        <v/>
      </c>
      <c r="D23" s="30">
        <f>SUMIFS(Cálculo!$I$5:$I$216,Cálculo!$D$5:$D$216,$A23)</f>
        <v/>
      </c>
      <c r="E23" s="30">
        <f>SUMIFS(Cálculo!$J$5:$J$216,Cálculo!$D$5:$D$216,$A23)</f>
        <v/>
      </c>
      <c r="F23" s="30">
        <f>B23+SUM(C23:E23)</f>
        <v/>
      </c>
      <c r="G23" s="30" t="n">
        <v>-1026810649</v>
      </c>
      <c r="H23" s="30">
        <f>F23-G23</f>
        <v/>
      </c>
      <c r="I23" s="30">
        <f>SUMIFS(Cálculo!$K$5:$K$216,Cálculo!$D$5:$D$216,$A23)</f>
        <v/>
      </c>
      <c r="J23" s="30">
        <f>SUMIFS(Cálculo!$L$5:$L$216,Cálculo!$D$5:$D$216,$A23)</f>
        <v/>
      </c>
      <c r="K23" s="30">
        <f>SUMIFS(Cálculo!$M$5:$M$216,Cálculo!$D$5:$D$216,$A23)</f>
        <v/>
      </c>
      <c r="L23" s="30">
        <f>SUMIFS(Cálculo!$N$5:$N$216,Cálculo!$D$5:$D$216,$A23)</f>
        <v/>
      </c>
      <c r="M23" s="30">
        <f>SUMIFS(Cálculo!$O$5:$O$216,Cálculo!$D$5:$D$216,$A23)</f>
        <v/>
      </c>
      <c r="N23" s="30">
        <f>SUMIFS(Cálculo!$P$5:$P$216,Cálculo!$D$5:$D$216,$A23)</f>
        <v/>
      </c>
      <c r="O23" s="30">
        <f>SUMIFS(Cálculo!$Q$5:$Q$216,Cálculo!$D$5:$D$216,$A23)</f>
        <v/>
      </c>
      <c r="P23" s="30">
        <f>SUMIFS(Cálculo!$R$5:$R$216,Cálculo!$D$5:$D$216,$A23)</f>
        <v/>
      </c>
      <c r="Q23" s="30">
        <f>SUMIFS(Cálculo!$S$5:$S$216,Cálculo!$D$5:$D$216,$A23)</f>
        <v/>
      </c>
      <c r="R23" s="30">
        <f>SUMIFS(Cálculo!$T$5:$T$216,Cálculo!$D$5:$D$216,$A23)</f>
        <v/>
      </c>
      <c r="S23" s="30">
        <f>SUMIFS(Cálculo!$U$5:$U$216,Cálculo!$D$5:$D$216,$A23)</f>
        <v/>
      </c>
      <c r="T23" s="30">
        <f>SUMIFS(Cálculo!$V$5:$V$216,Cálculo!$D$5:$D$216,$A23)</f>
        <v/>
      </c>
      <c r="U23" s="30">
        <f>SUM(I23:T23)</f>
        <v/>
      </c>
      <c r="V23" s="31">
        <f>IFERROR(U23/F23-1,"-")</f>
        <v/>
      </c>
    </row>
    <row r="24">
      <c r="A24" s="6" t="inlineStr">
        <is>
          <t>4.2 Honorarios</t>
        </is>
      </c>
      <c r="B24" s="30" t="n">
        <v>-44643149</v>
      </c>
      <c r="C24" s="30">
        <f>SUMIFS(Cálculo!$H$5:$H$216,Cálculo!$D$5:$D$216,$A24)</f>
        <v/>
      </c>
      <c r="D24" s="30">
        <f>SUMIFS(Cálculo!$I$5:$I$216,Cálculo!$D$5:$D$216,$A24)</f>
        <v/>
      </c>
      <c r="E24" s="30">
        <f>SUMIFS(Cálculo!$J$5:$J$216,Cálculo!$D$5:$D$216,$A24)</f>
        <v/>
      </c>
      <c r="F24" s="30">
        <f>B24+SUM(C24:E24)</f>
        <v/>
      </c>
      <c r="G24" s="30" t="n">
        <v>-64364048</v>
      </c>
      <c r="H24" s="30">
        <f>F24-G24</f>
        <v/>
      </c>
      <c r="I24" s="30">
        <f>SUMIFS(Cálculo!$K$5:$K$216,Cálculo!$D$5:$D$216,$A24)</f>
        <v/>
      </c>
      <c r="J24" s="30">
        <f>SUMIFS(Cálculo!$L$5:$L$216,Cálculo!$D$5:$D$216,$A24)</f>
        <v/>
      </c>
      <c r="K24" s="30">
        <f>SUMIFS(Cálculo!$M$5:$M$216,Cálculo!$D$5:$D$216,$A24)</f>
        <v/>
      </c>
      <c r="L24" s="30">
        <f>SUMIFS(Cálculo!$N$5:$N$216,Cálculo!$D$5:$D$216,$A24)</f>
        <v/>
      </c>
      <c r="M24" s="30">
        <f>SUMIFS(Cálculo!$O$5:$O$216,Cálculo!$D$5:$D$216,$A24)</f>
        <v/>
      </c>
      <c r="N24" s="30">
        <f>SUMIFS(Cálculo!$P$5:$P$216,Cálculo!$D$5:$D$216,$A24)</f>
        <v/>
      </c>
      <c r="O24" s="30">
        <f>SUMIFS(Cálculo!$Q$5:$Q$216,Cálculo!$D$5:$D$216,$A24)</f>
        <v/>
      </c>
      <c r="P24" s="30">
        <f>SUMIFS(Cálculo!$R$5:$R$216,Cálculo!$D$5:$D$216,$A24)</f>
        <v/>
      </c>
      <c r="Q24" s="30">
        <f>SUMIFS(Cálculo!$S$5:$S$216,Cálculo!$D$5:$D$216,$A24)</f>
        <v/>
      </c>
      <c r="R24" s="30">
        <f>SUMIFS(Cálculo!$T$5:$T$216,Cálculo!$D$5:$D$216,$A24)</f>
        <v/>
      </c>
      <c r="S24" s="30">
        <f>SUMIFS(Cálculo!$U$5:$U$216,Cálculo!$D$5:$D$216,$A24)</f>
        <v/>
      </c>
      <c r="T24" s="30">
        <f>SUMIFS(Cálculo!$V$5:$V$216,Cálculo!$D$5:$D$216,$A24)</f>
        <v/>
      </c>
      <c r="U24" s="30">
        <f>SUM(I24:T24)</f>
        <v/>
      </c>
      <c r="V24" s="31">
        <f>IFERROR(U24/F24-1,"-")</f>
        <v/>
      </c>
    </row>
    <row r="25">
      <c r="A25" s="6" t="inlineStr">
        <is>
          <t>4.3 Mantenimiento de Oficina</t>
        </is>
      </c>
      <c r="B25" s="30" t="n">
        <v>-59524200</v>
      </c>
      <c r="C25" s="30">
        <f>SUMIFS(Cálculo!$H$5:$H$216,Cálculo!$D$5:$D$216,$A25)</f>
        <v/>
      </c>
      <c r="D25" s="30">
        <f>SUMIFS(Cálculo!$I$5:$I$216,Cálculo!$D$5:$D$216,$A25)</f>
        <v/>
      </c>
      <c r="E25" s="30">
        <f>SUMIFS(Cálculo!$J$5:$J$216,Cálculo!$D$5:$D$216,$A25)</f>
        <v/>
      </c>
      <c r="F25" s="30">
        <f>B25+SUM(C25:E25)</f>
        <v/>
      </c>
      <c r="G25" s="30" t="n">
        <v>-85818732</v>
      </c>
      <c r="H25" s="30">
        <f>F25-G25</f>
        <v/>
      </c>
      <c r="I25" s="30">
        <f>SUMIFS(Cálculo!$K$5:$K$216,Cálculo!$D$5:$D$216,$A25)</f>
        <v/>
      </c>
      <c r="J25" s="30">
        <f>SUMIFS(Cálculo!$L$5:$L$216,Cálculo!$D$5:$D$216,$A25)</f>
        <v/>
      </c>
      <c r="K25" s="30">
        <f>SUMIFS(Cálculo!$M$5:$M$216,Cálculo!$D$5:$D$216,$A25)</f>
        <v/>
      </c>
      <c r="L25" s="30">
        <f>SUMIFS(Cálculo!$N$5:$N$216,Cálculo!$D$5:$D$216,$A25)</f>
        <v/>
      </c>
      <c r="M25" s="30">
        <f>SUMIFS(Cálculo!$O$5:$O$216,Cálculo!$D$5:$D$216,$A25)</f>
        <v/>
      </c>
      <c r="N25" s="30">
        <f>SUMIFS(Cálculo!$P$5:$P$216,Cálculo!$D$5:$D$216,$A25)</f>
        <v/>
      </c>
      <c r="O25" s="30">
        <f>SUMIFS(Cálculo!$Q$5:$Q$216,Cálculo!$D$5:$D$216,$A25)</f>
        <v/>
      </c>
      <c r="P25" s="30">
        <f>SUMIFS(Cálculo!$R$5:$R$216,Cálculo!$D$5:$D$216,$A25)</f>
        <v/>
      </c>
      <c r="Q25" s="30">
        <f>SUMIFS(Cálculo!$S$5:$S$216,Cálculo!$D$5:$D$216,$A25)</f>
        <v/>
      </c>
      <c r="R25" s="30">
        <f>SUMIFS(Cálculo!$T$5:$T$216,Cálculo!$D$5:$D$216,$A25)</f>
        <v/>
      </c>
      <c r="S25" s="30">
        <f>SUMIFS(Cálculo!$U$5:$U$216,Cálculo!$D$5:$D$216,$A25)</f>
        <v/>
      </c>
      <c r="T25" s="30">
        <f>SUMIFS(Cálculo!$V$5:$V$216,Cálculo!$D$5:$D$216,$A25)</f>
        <v/>
      </c>
      <c r="U25" s="30">
        <f>SUM(I25:T25)</f>
        <v/>
      </c>
      <c r="V25" s="31">
        <f>IFERROR(U25/F25-1,"-")</f>
        <v/>
      </c>
    </row>
    <row r="26">
      <c r="A26" s="6" t="inlineStr">
        <is>
          <t>4.4 Alquileres</t>
        </is>
      </c>
      <c r="B26" s="30" t="n">
        <v>-47206677</v>
      </c>
      <c r="C26" s="30">
        <f>SUMIFS(Cálculo!$H$5:$H$216,Cálculo!$D$5:$D$216,$A26)</f>
        <v/>
      </c>
      <c r="D26" s="30">
        <f>SUMIFS(Cálculo!$I$5:$I$216,Cálculo!$D$5:$D$216,$A26)</f>
        <v/>
      </c>
      <c r="E26" s="30">
        <f>SUMIFS(Cálculo!$J$5:$J$216,Cálculo!$D$5:$D$216,$A26)</f>
        <v/>
      </c>
      <c r="F26" s="30">
        <f>B26+SUM(C26:E26)</f>
        <v/>
      </c>
      <c r="G26" s="30" t="n">
        <v>-71515607</v>
      </c>
      <c r="H26" s="30">
        <f>F26-G26</f>
        <v/>
      </c>
      <c r="I26" s="30">
        <f>SUMIFS(Cálculo!$K$5:$K$216,Cálculo!$D$5:$D$216,$A26)</f>
        <v/>
      </c>
      <c r="J26" s="30">
        <f>SUMIFS(Cálculo!$L$5:$L$216,Cálculo!$D$5:$D$216,$A26)</f>
        <v/>
      </c>
      <c r="K26" s="30">
        <f>SUMIFS(Cálculo!$M$5:$M$216,Cálculo!$D$5:$D$216,$A26)</f>
        <v/>
      </c>
      <c r="L26" s="30">
        <f>SUMIFS(Cálculo!$N$5:$N$216,Cálculo!$D$5:$D$216,$A26)</f>
        <v/>
      </c>
      <c r="M26" s="30">
        <f>SUMIFS(Cálculo!$O$5:$O$216,Cálculo!$D$5:$D$216,$A26)</f>
        <v/>
      </c>
      <c r="N26" s="30">
        <f>SUMIFS(Cálculo!$P$5:$P$216,Cálculo!$D$5:$D$216,$A26)</f>
        <v/>
      </c>
      <c r="O26" s="30">
        <f>SUMIFS(Cálculo!$Q$5:$Q$216,Cálculo!$D$5:$D$216,$A26)</f>
        <v/>
      </c>
      <c r="P26" s="30">
        <f>SUMIFS(Cálculo!$R$5:$R$216,Cálculo!$D$5:$D$216,$A26)</f>
        <v/>
      </c>
      <c r="Q26" s="30">
        <f>SUMIFS(Cálculo!$S$5:$S$216,Cálculo!$D$5:$D$216,$A26)</f>
        <v/>
      </c>
      <c r="R26" s="30">
        <f>SUMIFS(Cálculo!$T$5:$T$216,Cálculo!$D$5:$D$216,$A26)</f>
        <v/>
      </c>
      <c r="S26" s="30">
        <f>SUMIFS(Cálculo!$U$5:$U$216,Cálculo!$D$5:$D$216,$A26)</f>
        <v/>
      </c>
      <c r="T26" s="30">
        <f>SUMIFS(Cálculo!$V$5:$V$216,Cálculo!$D$5:$D$216,$A26)</f>
        <v/>
      </c>
      <c r="U26" s="30">
        <f>SUM(I26:T26)</f>
        <v/>
      </c>
      <c r="V26" s="31">
        <f>IFERROR(U26/F26-1,"-")</f>
        <v/>
      </c>
    </row>
    <row r="27">
      <c r="A27" s="6" t="inlineStr">
        <is>
          <t>4.6 Otros Gastos</t>
        </is>
      </c>
      <c r="B27" s="30" t="n">
        <v>-72290101</v>
      </c>
      <c r="C27" s="30">
        <f>SUMIFS(Cálculo!$H$5:$H$216,Cálculo!$D$5:$D$216,$A27)</f>
        <v/>
      </c>
      <c r="D27" s="30">
        <f>SUMIFS(Cálculo!$I$5:$I$216,Cálculo!$D$5:$D$216,$A27)</f>
        <v/>
      </c>
      <c r="E27" s="30">
        <f>SUMIFS(Cálculo!$J$5:$J$216,Cálculo!$D$5:$D$216,$A27)</f>
        <v/>
      </c>
      <c r="F27" s="30">
        <f>B27+SUM(C27:E27)</f>
        <v/>
      </c>
      <c r="G27" s="30" t="n">
        <v>-98989365</v>
      </c>
      <c r="H27" s="30">
        <f>F27-G27</f>
        <v/>
      </c>
      <c r="I27" s="30">
        <f>SUMIFS(Cálculo!$K$5:$K$216,Cálculo!$D$5:$D$216,$A27)</f>
        <v/>
      </c>
      <c r="J27" s="30">
        <f>SUMIFS(Cálculo!$L$5:$L$216,Cálculo!$D$5:$D$216,$A27)</f>
        <v/>
      </c>
      <c r="K27" s="30">
        <f>SUMIFS(Cálculo!$M$5:$M$216,Cálculo!$D$5:$D$216,$A27)</f>
        <v/>
      </c>
      <c r="L27" s="30">
        <f>SUMIFS(Cálculo!$N$5:$N$216,Cálculo!$D$5:$D$216,$A27)</f>
        <v/>
      </c>
      <c r="M27" s="30">
        <f>SUMIFS(Cálculo!$O$5:$O$216,Cálculo!$D$5:$D$216,$A27)</f>
        <v/>
      </c>
      <c r="N27" s="30">
        <f>SUMIFS(Cálculo!$P$5:$P$216,Cálculo!$D$5:$D$216,$A27)</f>
        <v/>
      </c>
      <c r="O27" s="30">
        <f>SUMIFS(Cálculo!$Q$5:$Q$216,Cálculo!$D$5:$D$216,$A27)</f>
        <v/>
      </c>
      <c r="P27" s="30">
        <f>SUMIFS(Cálculo!$R$5:$R$216,Cálculo!$D$5:$D$216,$A27)</f>
        <v/>
      </c>
      <c r="Q27" s="30">
        <f>SUMIFS(Cálculo!$S$5:$S$216,Cálculo!$D$5:$D$216,$A27)</f>
        <v/>
      </c>
      <c r="R27" s="30">
        <f>SUMIFS(Cálculo!$T$5:$T$216,Cálculo!$D$5:$D$216,$A27)</f>
        <v/>
      </c>
      <c r="S27" s="30">
        <f>SUMIFS(Cálculo!$U$5:$U$216,Cálculo!$D$5:$D$216,$A27)</f>
        <v/>
      </c>
      <c r="T27" s="30">
        <f>SUMIFS(Cálculo!$V$5:$V$216,Cálculo!$D$5:$D$216,$A27)</f>
        <v/>
      </c>
      <c r="U27" s="30">
        <f>SUM(I27:T27)</f>
        <v/>
      </c>
      <c r="V27" s="31">
        <f>IFERROR(U27/F27-1,"-")</f>
        <v/>
      </c>
    </row>
    <row r="28">
      <c r="A28" s="32" t="inlineStr">
        <is>
          <t>Margen operativo</t>
        </is>
      </c>
      <c r="B28" s="33">
        <f>B5+B8+B18+B22</f>
        <v/>
      </c>
      <c r="C28" s="33">
        <f>C5+C8+C18+C22</f>
        <v/>
      </c>
      <c r="D28" s="33">
        <f>D5+D8+D18+D22</f>
        <v/>
      </c>
      <c r="E28" s="33">
        <f>E5+E8+E18+E22</f>
        <v/>
      </c>
      <c r="F28" s="33">
        <f>B28+SUM(C28:E28)</f>
        <v/>
      </c>
      <c r="G28" s="33">
        <f>G5+G8+G18+G22</f>
        <v/>
      </c>
      <c r="H28" s="33">
        <f>F28-G28</f>
        <v/>
      </c>
      <c r="I28" s="33">
        <f>I5+I8+I18+I22</f>
        <v/>
      </c>
      <c r="J28" s="33">
        <f>J5+J8+J18+J22</f>
        <v/>
      </c>
      <c r="K28" s="33">
        <f>K5+K8+K18+K22</f>
        <v/>
      </c>
      <c r="L28" s="33">
        <f>L5+L8+L18+L22</f>
        <v/>
      </c>
      <c r="M28" s="33">
        <f>M5+M8+M18+M22</f>
        <v/>
      </c>
      <c r="N28" s="33">
        <f>N5+N8+N18+N22</f>
        <v/>
      </c>
      <c r="O28" s="33">
        <f>O5+O8+O18+O22</f>
        <v/>
      </c>
      <c r="P28" s="33">
        <f>P5+P8+P18+P22</f>
        <v/>
      </c>
      <c r="Q28" s="33">
        <f>Q5+Q8+Q18+Q22</f>
        <v/>
      </c>
      <c r="R28" s="33">
        <f>R5+R8+R18+R22</f>
        <v/>
      </c>
      <c r="S28" s="33">
        <f>S5+S8+S18+S22</f>
        <v/>
      </c>
      <c r="T28" s="33">
        <f>T5+T8+T18+T22</f>
        <v/>
      </c>
      <c r="U28" s="33">
        <f>SUM(I28:T28)</f>
        <v/>
      </c>
      <c r="V28" s="34">
        <f>IFERROR(U28/F28-1,"-")</f>
        <v/>
      </c>
    </row>
    <row r="29">
      <c r="A29" s="35" t="inlineStr">
        <is>
          <t xml:space="preserve">   % sobre ingresos</t>
        </is>
      </c>
      <c r="B29" s="36">
        <f>IFERROR(B28/B5,0)</f>
        <v/>
      </c>
      <c r="C29" s="36">
        <f>IFERROR(C28/C5,0)</f>
        <v/>
      </c>
      <c r="D29" s="36">
        <f>IFERROR(D28/D5,0)</f>
        <v/>
      </c>
      <c r="E29" s="36">
        <f>IFERROR(E28/E5,0)</f>
        <v/>
      </c>
      <c r="F29" s="36">
        <f>IFERROR(F28/F5,0)</f>
        <v/>
      </c>
      <c r="G29" s="36">
        <f>IFERROR(G28/G5,0)</f>
        <v/>
      </c>
      <c r="I29" s="36">
        <f>IFERROR(I28/I5,0)</f>
        <v/>
      </c>
      <c r="J29" s="36">
        <f>IFERROR(J28/J5,0)</f>
        <v/>
      </c>
      <c r="K29" s="36">
        <f>IFERROR(K28/K5,0)</f>
        <v/>
      </c>
      <c r="L29" s="36">
        <f>IFERROR(L28/L5,0)</f>
        <v/>
      </c>
      <c r="M29" s="36">
        <f>IFERROR(M28/M5,0)</f>
        <v/>
      </c>
      <c r="N29" s="36">
        <f>IFERROR(N28/N5,0)</f>
        <v/>
      </c>
      <c r="O29" s="36">
        <f>IFERROR(O28/O5,0)</f>
        <v/>
      </c>
      <c r="P29" s="36">
        <f>IFERROR(P28/P5,0)</f>
        <v/>
      </c>
      <c r="Q29" s="36">
        <f>IFERROR(Q28/Q5,0)</f>
        <v/>
      </c>
      <c r="R29" s="36">
        <f>IFERROR(R28/R5,0)</f>
        <v/>
      </c>
      <c r="S29" s="36">
        <f>IFERROR(S28/S5,0)</f>
        <v/>
      </c>
      <c r="T29" s="36">
        <f>IFERROR(T28/T5,0)</f>
        <v/>
      </c>
      <c r="U29" s="36">
        <f>IFERROR(U28/U5,0)</f>
        <v/>
      </c>
    </row>
    <row r="30">
      <c r="A30" s="27" t="inlineStr">
        <is>
          <t>5 Resultado No Operacional</t>
        </is>
      </c>
      <c r="B30" s="28">
        <f>B31+B32+B33</f>
        <v/>
      </c>
      <c r="C30" s="28">
        <f>C31+C32+C33</f>
        <v/>
      </c>
      <c r="D30" s="28">
        <f>D31+D32+D33</f>
        <v/>
      </c>
      <c r="E30" s="28">
        <f>E31+E32+E33</f>
        <v/>
      </c>
      <c r="F30" s="28">
        <f>B30+SUM(C30:E30)</f>
        <v/>
      </c>
      <c r="G30" s="28">
        <f>G31+G32+G33</f>
        <v/>
      </c>
      <c r="H30" s="28">
        <f>F30-G30</f>
        <v/>
      </c>
      <c r="I30" s="28">
        <f>I31+I32+I33</f>
        <v/>
      </c>
      <c r="J30" s="28">
        <f>J31+J32+J33</f>
        <v/>
      </c>
      <c r="K30" s="28">
        <f>K31+K32+K33</f>
        <v/>
      </c>
      <c r="L30" s="28">
        <f>L31+L32+L33</f>
        <v/>
      </c>
      <c r="M30" s="28">
        <f>M31+M32+M33</f>
        <v/>
      </c>
      <c r="N30" s="28">
        <f>N31+N32+N33</f>
        <v/>
      </c>
      <c r="O30" s="28">
        <f>O31+O32+O33</f>
        <v/>
      </c>
      <c r="P30" s="28">
        <f>P31+P32+P33</f>
        <v/>
      </c>
      <c r="Q30" s="28">
        <f>Q31+Q32+Q33</f>
        <v/>
      </c>
      <c r="R30" s="28">
        <f>R31+R32+R33</f>
        <v/>
      </c>
      <c r="S30" s="28">
        <f>S31+S32+S33</f>
        <v/>
      </c>
      <c r="T30" s="28">
        <f>T31+T32+T33</f>
        <v/>
      </c>
      <c r="U30" s="28">
        <f>SUM(I30:T30)</f>
        <v/>
      </c>
      <c r="V30" s="29">
        <f>IFERROR(U30/F30-1,"-")</f>
        <v/>
      </c>
    </row>
    <row r="31">
      <c r="A31" s="6" t="inlineStr">
        <is>
          <t>5.1 Amortizaciones</t>
        </is>
      </c>
      <c r="B31" s="30" t="n">
        <v>-22500000</v>
      </c>
      <c r="C31" s="30">
        <f>SUMIFS(Cálculo!$H$5:$H$216,Cálculo!$D$5:$D$216,$A31)</f>
        <v/>
      </c>
      <c r="D31" s="30">
        <f>SUMIFS(Cálculo!$I$5:$I$216,Cálculo!$D$5:$D$216,$A31)</f>
        <v/>
      </c>
      <c r="E31" s="30">
        <f>SUMIFS(Cálculo!$J$5:$J$216,Cálculo!$D$5:$D$216,$A31)</f>
        <v/>
      </c>
      <c r="F31" s="30">
        <f>B31+SUM(C31:E31)</f>
        <v/>
      </c>
      <c r="G31" s="30" t="n">
        <v>-30000000</v>
      </c>
      <c r="H31" s="30">
        <f>F31-G31</f>
        <v/>
      </c>
      <c r="I31" s="30">
        <f>SUMIFS(Cálculo!$K$5:$K$216,Cálculo!$D$5:$D$216,$A31)</f>
        <v/>
      </c>
      <c r="J31" s="30">
        <f>SUMIFS(Cálculo!$L$5:$L$216,Cálculo!$D$5:$D$216,$A31)</f>
        <v/>
      </c>
      <c r="K31" s="30">
        <f>SUMIFS(Cálculo!$M$5:$M$216,Cálculo!$D$5:$D$216,$A31)</f>
        <v/>
      </c>
      <c r="L31" s="30">
        <f>SUMIFS(Cálculo!$N$5:$N$216,Cálculo!$D$5:$D$216,$A31)</f>
        <v/>
      </c>
      <c r="M31" s="30">
        <f>SUMIFS(Cálculo!$O$5:$O$216,Cálculo!$D$5:$D$216,$A31)</f>
        <v/>
      </c>
      <c r="N31" s="30">
        <f>SUMIFS(Cálculo!$P$5:$P$216,Cálculo!$D$5:$D$216,$A31)</f>
        <v/>
      </c>
      <c r="O31" s="30">
        <f>SUMIFS(Cálculo!$Q$5:$Q$216,Cálculo!$D$5:$D$216,$A31)</f>
        <v/>
      </c>
      <c r="P31" s="30">
        <f>SUMIFS(Cálculo!$R$5:$R$216,Cálculo!$D$5:$D$216,$A31)</f>
        <v/>
      </c>
      <c r="Q31" s="30">
        <f>SUMIFS(Cálculo!$S$5:$S$216,Cálculo!$D$5:$D$216,$A31)</f>
        <v/>
      </c>
      <c r="R31" s="30">
        <f>SUMIFS(Cálculo!$T$5:$T$216,Cálculo!$D$5:$D$216,$A31)</f>
        <v/>
      </c>
      <c r="S31" s="30">
        <f>SUMIFS(Cálculo!$U$5:$U$216,Cálculo!$D$5:$D$216,$A31)</f>
        <v/>
      </c>
      <c r="T31" s="30">
        <f>SUMIFS(Cálculo!$V$5:$V$216,Cálculo!$D$5:$D$216,$A31)</f>
        <v/>
      </c>
      <c r="U31" s="30">
        <f>SUM(I31:T31)</f>
        <v/>
      </c>
      <c r="V31" s="31">
        <f>IFERROR(U31/F31-1,"-")</f>
        <v/>
      </c>
    </row>
    <row r="32">
      <c r="A32" s="6" t="inlineStr">
        <is>
          <t>5.2 Resultados Financieros</t>
        </is>
      </c>
      <c r="B32" s="30" t="n">
        <v>-89369808</v>
      </c>
      <c r="C32" s="30">
        <f>SUMIFS(Cálculo!$H$5:$H$216,Cálculo!$D$5:$D$216,$A32)</f>
        <v/>
      </c>
      <c r="D32" s="30">
        <f>SUMIFS(Cálculo!$I$5:$I$216,Cálculo!$D$5:$D$216,$A32)</f>
        <v/>
      </c>
      <c r="E32" s="30">
        <f>SUMIFS(Cálculo!$J$5:$J$216,Cálculo!$D$5:$D$216,$A32)</f>
        <v/>
      </c>
      <c r="F32" s="30">
        <f>B32+SUM(C32:E32)</f>
        <v/>
      </c>
      <c r="G32" s="30" t="n">
        <v>-136334738</v>
      </c>
      <c r="H32" s="30">
        <f>F32-G32</f>
        <v/>
      </c>
      <c r="I32" s="30">
        <f>SUMIFS(Cálculo!$K$5:$K$216,Cálculo!$D$5:$D$216,$A32)</f>
        <v/>
      </c>
      <c r="J32" s="30">
        <f>SUMIFS(Cálculo!$L$5:$L$216,Cálculo!$D$5:$D$216,$A32)</f>
        <v/>
      </c>
      <c r="K32" s="30">
        <f>SUMIFS(Cálculo!$M$5:$M$216,Cálculo!$D$5:$D$216,$A32)</f>
        <v/>
      </c>
      <c r="L32" s="30">
        <f>SUMIFS(Cálculo!$N$5:$N$216,Cálculo!$D$5:$D$216,$A32)</f>
        <v/>
      </c>
      <c r="M32" s="30">
        <f>SUMIFS(Cálculo!$O$5:$O$216,Cálculo!$D$5:$D$216,$A32)</f>
        <v/>
      </c>
      <c r="N32" s="30">
        <f>SUMIFS(Cálculo!$P$5:$P$216,Cálculo!$D$5:$D$216,$A32)</f>
        <v/>
      </c>
      <c r="O32" s="30">
        <f>SUMIFS(Cálculo!$Q$5:$Q$216,Cálculo!$D$5:$D$216,$A32)</f>
        <v/>
      </c>
      <c r="P32" s="30">
        <f>SUMIFS(Cálculo!$R$5:$R$216,Cálculo!$D$5:$D$216,$A32)</f>
        <v/>
      </c>
      <c r="Q32" s="30">
        <f>SUMIFS(Cálculo!$S$5:$S$216,Cálculo!$D$5:$D$216,$A32)</f>
        <v/>
      </c>
      <c r="R32" s="30">
        <f>SUMIFS(Cálculo!$T$5:$T$216,Cálculo!$D$5:$D$216,$A32)</f>
        <v/>
      </c>
      <c r="S32" s="30">
        <f>SUMIFS(Cálculo!$U$5:$U$216,Cálculo!$D$5:$D$216,$A32)</f>
        <v/>
      </c>
      <c r="T32" s="30">
        <f>SUMIFS(Cálculo!$V$5:$V$216,Cálculo!$D$5:$D$216,$A32)</f>
        <v/>
      </c>
      <c r="U32" s="30">
        <f>SUM(I32:T32)</f>
        <v/>
      </c>
      <c r="V32" s="31">
        <f>IFERROR(U32/F32-1,"-")</f>
        <v/>
      </c>
    </row>
    <row r="33">
      <c r="A33" s="6" t="inlineStr">
        <is>
          <t>5.3 Recupero Intercompany</t>
        </is>
      </c>
      <c r="B33" s="30" t="n">
        <v>216440127</v>
      </c>
      <c r="C33" s="30">
        <f>SUMIFS(Cálculo!$H$5:$H$216,Cálculo!$D$5:$D$216,$A33)</f>
        <v/>
      </c>
      <c r="D33" s="30">
        <f>SUMIFS(Cálculo!$I$5:$I$216,Cálculo!$D$5:$D$216,$A33)</f>
        <v/>
      </c>
      <c r="E33" s="30">
        <f>SUMIFS(Cálculo!$J$5:$J$216,Cálculo!$D$5:$D$216,$A33)</f>
        <v/>
      </c>
      <c r="F33" s="30">
        <f>B33+SUM(C33:E33)</f>
        <v/>
      </c>
      <c r="G33" s="30" t="n">
        <v>312042904</v>
      </c>
      <c r="H33" s="30">
        <f>F33-G33</f>
        <v/>
      </c>
      <c r="I33" s="30">
        <f>SUMIFS(Cálculo!$K$5:$K$216,Cálculo!$D$5:$D$216,$A33)</f>
        <v/>
      </c>
      <c r="J33" s="30">
        <f>SUMIFS(Cálculo!$L$5:$L$216,Cálculo!$D$5:$D$216,$A33)</f>
        <v/>
      </c>
      <c r="K33" s="30">
        <f>SUMIFS(Cálculo!$M$5:$M$216,Cálculo!$D$5:$D$216,$A33)</f>
        <v/>
      </c>
      <c r="L33" s="30">
        <f>SUMIFS(Cálculo!$N$5:$N$216,Cálculo!$D$5:$D$216,$A33)</f>
        <v/>
      </c>
      <c r="M33" s="30">
        <f>SUMIFS(Cálculo!$O$5:$O$216,Cálculo!$D$5:$D$216,$A33)</f>
        <v/>
      </c>
      <c r="N33" s="30">
        <f>SUMIFS(Cálculo!$P$5:$P$216,Cálculo!$D$5:$D$216,$A33)</f>
        <v/>
      </c>
      <c r="O33" s="30">
        <f>SUMIFS(Cálculo!$Q$5:$Q$216,Cálculo!$D$5:$D$216,$A33)</f>
        <v/>
      </c>
      <c r="P33" s="30">
        <f>SUMIFS(Cálculo!$R$5:$R$216,Cálculo!$D$5:$D$216,$A33)</f>
        <v/>
      </c>
      <c r="Q33" s="30">
        <f>SUMIFS(Cálculo!$S$5:$S$216,Cálculo!$D$5:$D$216,$A33)</f>
        <v/>
      </c>
      <c r="R33" s="30">
        <f>SUMIFS(Cálculo!$T$5:$T$216,Cálculo!$D$5:$D$216,$A33)</f>
        <v/>
      </c>
      <c r="S33" s="30">
        <f>SUMIFS(Cálculo!$U$5:$U$216,Cálculo!$D$5:$D$216,$A33)</f>
        <v/>
      </c>
      <c r="T33" s="30">
        <f>SUMIFS(Cálculo!$V$5:$V$216,Cálculo!$D$5:$D$216,$A33)</f>
        <v/>
      </c>
      <c r="U33" s="30">
        <f>SUM(I33:T33)</f>
        <v/>
      </c>
      <c r="V33" s="31">
        <f>IFERROR(U33/F33-1,"-")</f>
        <v/>
      </c>
    </row>
    <row r="34">
      <c r="A34" s="32" t="inlineStr">
        <is>
          <t>Resultado antes de impuestos</t>
        </is>
      </c>
      <c r="B34" s="33">
        <f>B5+B8+B18+B22+B30</f>
        <v/>
      </c>
      <c r="C34" s="33">
        <f>C5+C8+C18+C22+C30</f>
        <v/>
      </c>
      <c r="D34" s="33">
        <f>D5+D8+D18+D22+D30</f>
        <v/>
      </c>
      <c r="E34" s="33">
        <f>E5+E8+E18+E22+E30</f>
        <v/>
      </c>
      <c r="F34" s="33">
        <f>B34+SUM(C34:E34)</f>
        <v/>
      </c>
      <c r="G34" s="33">
        <f>G5+G8+G18+G22+G30</f>
        <v/>
      </c>
      <c r="H34" s="33">
        <f>F34-G34</f>
        <v/>
      </c>
      <c r="I34" s="33">
        <f>I5+I8+I18+I22+I30</f>
        <v/>
      </c>
      <c r="J34" s="33">
        <f>J5+J8+J18+J22+J30</f>
        <v/>
      </c>
      <c r="K34" s="33">
        <f>K5+K8+K18+K22+K30</f>
        <v/>
      </c>
      <c r="L34" s="33">
        <f>L5+L8+L18+L22+L30</f>
        <v/>
      </c>
      <c r="M34" s="33">
        <f>M5+M8+M18+M22+M30</f>
        <v/>
      </c>
      <c r="N34" s="33">
        <f>N5+N8+N18+N22+N30</f>
        <v/>
      </c>
      <c r="O34" s="33">
        <f>O5+O8+O18+O22+O30</f>
        <v/>
      </c>
      <c r="P34" s="33">
        <f>P5+P8+P18+P22+P30</f>
        <v/>
      </c>
      <c r="Q34" s="33">
        <f>Q5+Q8+Q18+Q22+Q30</f>
        <v/>
      </c>
      <c r="R34" s="33">
        <f>R5+R8+R18+R22+R30</f>
        <v/>
      </c>
      <c r="S34" s="33">
        <f>S5+S8+S18+S22+S30</f>
        <v/>
      </c>
      <c r="T34" s="33">
        <f>T5+T8+T18+T22+T30</f>
        <v/>
      </c>
      <c r="U34" s="33">
        <f>SUM(I34:T34)</f>
        <v/>
      </c>
      <c r="V34" s="34">
        <f>IFERROR(U34/F34-1,"-")</f>
        <v/>
      </c>
    </row>
    <row r="35">
      <c r="A35" s="35" t="inlineStr">
        <is>
          <t xml:space="preserve">   % sobre ingresos</t>
        </is>
      </c>
      <c r="B35" s="36">
        <f>IFERROR(B34/B5,0)</f>
        <v/>
      </c>
      <c r="C35" s="36">
        <f>IFERROR(C34/C5,0)</f>
        <v/>
      </c>
      <c r="D35" s="36">
        <f>IFERROR(D34/D5,0)</f>
        <v/>
      </c>
      <c r="E35" s="36">
        <f>IFERROR(E34/E5,0)</f>
        <v/>
      </c>
      <c r="F35" s="36">
        <f>IFERROR(F34/F5,0)</f>
        <v/>
      </c>
      <c r="G35" s="36">
        <f>IFERROR(G34/G5,0)</f>
        <v/>
      </c>
      <c r="I35" s="36">
        <f>IFERROR(I34/I5,0)</f>
        <v/>
      </c>
      <c r="J35" s="36">
        <f>IFERROR(J34/J5,0)</f>
        <v/>
      </c>
      <c r="K35" s="36">
        <f>IFERROR(K34/K5,0)</f>
        <v/>
      </c>
      <c r="L35" s="36">
        <f>IFERROR(L34/L5,0)</f>
        <v/>
      </c>
      <c r="M35" s="36">
        <f>IFERROR(M34/M5,0)</f>
        <v/>
      </c>
      <c r="N35" s="36">
        <f>IFERROR(N34/N5,0)</f>
        <v/>
      </c>
      <c r="O35" s="36">
        <f>IFERROR(O34/O5,0)</f>
        <v/>
      </c>
      <c r="P35" s="36">
        <f>IFERROR(P34/P5,0)</f>
        <v/>
      </c>
      <c r="Q35" s="36">
        <f>IFERROR(Q34/Q5,0)</f>
        <v/>
      </c>
      <c r="R35" s="36">
        <f>IFERROR(R34/R5,0)</f>
        <v/>
      </c>
      <c r="S35" s="36">
        <f>IFERROR(S34/S5,0)</f>
        <v/>
      </c>
      <c r="T35" s="36">
        <f>IFERROR(T34/T5,0)</f>
        <v/>
      </c>
      <c r="U35" s="36">
        <f>IFERROR(U34/U5,0)</f>
        <v/>
      </c>
    </row>
    <row r="36">
      <c r="A36" s="27" t="inlineStr">
        <is>
          <t>6 Impuestos</t>
        </is>
      </c>
      <c r="B36" s="28">
        <f>B37</f>
        <v/>
      </c>
      <c r="C36" s="28">
        <f>C37</f>
        <v/>
      </c>
      <c r="D36" s="28">
        <f>D37</f>
        <v/>
      </c>
      <c r="E36" s="28">
        <f>E37</f>
        <v/>
      </c>
      <c r="F36" s="28">
        <f>B36+SUM(C36:E36)</f>
        <v/>
      </c>
      <c r="G36" s="28">
        <f>G37</f>
        <v/>
      </c>
      <c r="H36" s="28">
        <f>F36-G36</f>
        <v/>
      </c>
      <c r="I36" s="28">
        <f>I37</f>
        <v/>
      </c>
      <c r="J36" s="28">
        <f>J37</f>
        <v/>
      </c>
      <c r="K36" s="28">
        <f>K37</f>
        <v/>
      </c>
      <c r="L36" s="28">
        <f>L37</f>
        <v/>
      </c>
      <c r="M36" s="28">
        <f>M37</f>
        <v/>
      </c>
      <c r="N36" s="28">
        <f>N37</f>
        <v/>
      </c>
      <c r="O36" s="28">
        <f>O37</f>
        <v/>
      </c>
      <c r="P36" s="28">
        <f>P37</f>
        <v/>
      </c>
      <c r="Q36" s="28">
        <f>Q37</f>
        <v/>
      </c>
      <c r="R36" s="28">
        <f>R37</f>
        <v/>
      </c>
      <c r="S36" s="28">
        <f>S37</f>
        <v/>
      </c>
      <c r="T36" s="28">
        <f>T37</f>
        <v/>
      </c>
      <c r="U36" s="28">
        <f>SUM(I36:T36)</f>
        <v/>
      </c>
      <c r="V36" s="29">
        <f>IFERROR(U36/F36-1,"-")</f>
        <v/>
      </c>
    </row>
    <row r="37">
      <c r="A37" s="6" t="inlineStr">
        <is>
          <t>6.1 Impuesto a las Ganancias</t>
        </is>
      </c>
      <c r="B37" s="30" t="n">
        <v>-210969473</v>
      </c>
      <c r="C37" s="30">
        <f>SUMIFS(Cálculo!$H$5:$H$216,Cálculo!$D$5:$D$216,$A37)</f>
        <v/>
      </c>
      <c r="D37" s="30">
        <f>SUMIFS(Cálculo!$I$5:$I$216,Cálculo!$D$5:$D$216,$A37)</f>
        <v/>
      </c>
      <c r="E37" s="30">
        <f>SUMIFS(Cálculo!$J$5:$J$216,Cálculo!$D$5:$D$216,$A37)</f>
        <v/>
      </c>
      <c r="F37" s="30">
        <f>B37+SUM(C37:E37)</f>
        <v/>
      </c>
      <c r="G37" s="30" t="n">
        <v>-375077736</v>
      </c>
      <c r="H37" s="30">
        <f>F37-G37</f>
        <v/>
      </c>
      <c r="I37" s="30">
        <f>SUMIFS(Cálculo!$K$5:$K$216,Cálculo!$D$5:$D$216,$A37)</f>
        <v/>
      </c>
      <c r="J37" s="30">
        <f>SUMIFS(Cálculo!$L$5:$L$216,Cálculo!$D$5:$D$216,$A37)</f>
        <v/>
      </c>
      <c r="K37" s="30">
        <f>SUMIFS(Cálculo!$M$5:$M$216,Cálculo!$D$5:$D$216,$A37)</f>
        <v/>
      </c>
      <c r="L37" s="30">
        <f>SUMIFS(Cálculo!$N$5:$N$216,Cálculo!$D$5:$D$216,$A37)</f>
        <v/>
      </c>
      <c r="M37" s="30">
        <f>SUMIFS(Cálculo!$O$5:$O$216,Cálculo!$D$5:$D$216,$A37)</f>
        <v/>
      </c>
      <c r="N37" s="30">
        <f>SUMIFS(Cálculo!$P$5:$P$216,Cálculo!$D$5:$D$216,$A37)</f>
        <v/>
      </c>
      <c r="O37" s="30">
        <f>SUMIFS(Cálculo!$Q$5:$Q$216,Cálculo!$D$5:$D$216,$A37)</f>
        <v/>
      </c>
      <c r="P37" s="30">
        <f>SUMIFS(Cálculo!$R$5:$R$216,Cálculo!$D$5:$D$216,$A37)</f>
        <v/>
      </c>
      <c r="Q37" s="30">
        <f>SUMIFS(Cálculo!$S$5:$S$216,Cálculo!$D$5:$D$216,$A37)</f>
        <v/>
      </c>
      <c r="R37" s="30">
        <f>SUMIFS(Cálculo!$T$5:$T$216,Cálculo!$D$5:$D$216,$A37)</f>
        <v/>
      </c>
      <c r="S37" s="30">
        <f>SUMIFS(Cálculo!$U$5:$U$216,Cálculo!$D$5:$D$216,$A37)</f>
        <v/>
      </c>
      <c r="T37" s="30">
        <f>SUMIFS(Cálculo!$V$5:$V$216,Cálculo!$D$5:$D$216,$A37)</f>
        <v/>
      </c>
      <c r="U37" s="30">
        <f>SUM(I37:T37)</f>
        <v/>
      </c>
      <c r="V37" s="31">
        <f>IFERROR(U37/F37-1,"-")</f>
        <v/>
      </c>
    </row>
    <row r="38">
      <c r="A38" s="32" t="inlineStr">
        <is>
          <t>Utilidad neta</t>
        </is>
      </c>
      <c r="B38" s="33">
        <f>B5+B8+B18+B22+B30+B36</f>
        <v/>
      </c>
      <c r="C38" s="33">
        <f>C5+C8+C18+C22+C30+C36</f>
        <v/>
      </c>
      <c r="D38" s="33">
        <f>D5+D8+D18+D22+D30+D36</f>
        <v/>
      </c>
      <c r="E38" s="33">
        <f>E5+E8+E18+E22+E30+E36</f>
        <v/>
      </c>
      <c r="F38" s="33">
        <f>B38+SUM(C38:E38)</f>
        <v/>
      </c>
      <c r="G38" s="33">
        <f>G5+G8+G18+G22+G30+G36</f>
        <v/>
      </c>
      <c r="H38" s="33">
        <f>F38-G38</f>
        <v/>
      </c>
      <c r="I38" s="33">
        <f>I5+I8+I18+I22+I30+I36</f>
        <v/>
      </c>
      <c r="J38" s="33">
        <f>J5+J8+J18+J22+J30+J36</f>
        <v/>
      </c>
      <c r="K38" s="33">
        <f>K5+K8+K18+K22+K30+K36</f>
        <v/>
      </c>
      <c r="L38" s="33">
        <f>L5+L8+L18+L22+L30+L36</f>
        <v/>
      </c>
      <c r="M38" s="33">
        <f>M5+M8+M18+M22+M30+M36</f>
        <v/>
      </c>
      <c r="N38" s="33">
        <f>N5+N8+N18+N22+N30+N36</f>
        <v/>
      </c>
      <c r="O38" s="33">
        <f>O5+O8+O18+O22+O30+O36</f>
        <v/>
      </c>
      <c r="P38" s="33">
        <f>P5+P8+P18+P22+P30+P36</f>
        <v/>
      </c>
      <c r="Q38" s="33">
        <f>Q5+Q8+Q18+Q22+Q30+Q36</f>
        <v/>
      </c>
      <c r="R38" s="33">
        <f>R5+R8+R18+R22+R30+R36</f>
        <v/>
      </c>
      <c r="S38" s="33">
        <f>S5+S8+S18+S22+S30+S36</f>
        <v/>
      </c>
      <c r="T38" s="33">
        <f>T5+T8+T18+T22+T30+T36</f>
        <v/>
      </c>
      <c r="U38" s="33">
        <f>SUM(I38:T38)</f>
        <v/>
      </c>
      <c r="V38" s="34">
        <f>IFERROR(U38/F38-1,"-")</f>
        <v/>
      </c>
    </row>
    <row r="39">
      <c r="A39" s="35" t="inlineStr">
        <is>
          <t xml:space="preserve">   % sobre ingresos</t>
        </is>
      </c>
      <c r="B39" s="36">
        <f>IFERROR(B38/B5,0)</f>
        <v/>
      </c>
      <c r="C39" s="36">
        <f>IFERROR(C38/C5,0)</f>
        <v/>
      </c>
      <c r="D39" s="36">
        <f>IFERROR(D38/D5,0)</f>
        <v/>
      </c>
      <c r="E39" s="36">
        <f>IFERROR(E38/E5,0)</f>
        <v/>
      </c>
      <c r="F39" s="36">
        <f>IFERROR(F38/F5,0)</f>
        <v/>
      </c>
      <c r="G39" s="36">
        <f>IFERROR(G38/G5,0)</f>
        <v/>
      </c>
      <c r="I39" s="36">
        <f>IFERROR(I38/I5,0)</f>
        <v/>
      </c>
      <c r="J39" s="36">
        <f>IFERROR(J38/J5,0)</f>
        <v/>
      </c>
      <c r="K39" s="36">
        <f>IFERROR(K38/K5,0)</f>
        <v/>
      </c>
      <c r="L39" s="36">
        <f>IFERROR(L38/L5,0)</f>
        <v/>
      </c>
      <c r="M39" s="36">
        <f>IFERROR(M38/M5,0)</f>
        <v/>
      </c>
      <c r="N39" s="36">
        <f>IFERROR(N38/N5,0)</f>
        <v/>
      </c>
      <c r="O39" s="36">
        <f>IFERROR(O38/O5,0)</f>
        <v/>
      </c>
      <c r="P39" s="36">
        <f>IFERROR(P38/P5,0)</f>
        <v/>
      </c>
      <c r="Q39" s="36">
        <f>IFERROR(Q38/Q5,0)</f>
        <v/>
      </c>
      <c r="R39" s="36">
        <f>IFERROR(R38/R5,0)</f>
        <v/>
      </c>
      <c r="S39" s="36">
        <f>IFERROR(S38/S5,0)</f>
        <v/>
      </c>
      <c r="T39" s="36">
        <f>IFERROR(T38/T5,0)</f>
        <v/>
      </c>
      <c r="U39" s="36">
        <f>IFERROR(U38/U5,0)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Por cartera · margen de contribución</t>
        </is>
      </c>
    </row>
    <row r="2">
      <c r="A2" s="2" t="inlineStr">
        <is>
          <t>Ingresos y margen (ingresos menos costos directos y asignados de la cartera). En millones de pesos.</t>
        </is>
      </c>
    </row>
    <row r="4" ht="30" customHeight="1">
      <c r="A4" s="9" t="inlineStr">
        <is>
          <t>Código</t>
        </is>
      </c>
      <c r="B4" s="10" t="inlineStr">
        <is>
          <t>Cartera</t>
        </is>
      </c>
      <c r="C4" s="10" t="inlineStr">
        <is>
          <t>Moneda</t>
        </is>
      </c>
      <c r="D4" s="10" t="inlineStr">
        <is>
          <t>Ingresos oct–dic 25</t>
        </is>
      </c>
      <c r="E4" s="10" t="inlineStr">
        <is>
          <t>Margen oct–dic 25</t>
        </is>
      </c>
      <c r="F4" s="10" t="inlineStr">
        <is>
          <t>Ingresos 2026</t>
        </is>
      </c>
      <c r="G4" s="10" t="inlineStr">
        <is>
          <t>Margen 2026</t>
        </is>
      </c>
      <c r="H4" s="10" t="inlineStr">
        <is>
          <t>Margen % 2026</t>
        </is>
      </c>
      <c r="I4" s="10" t="inlineStr">
        <is>
          <t>Posiciones promedio 2026</t>
        </is>
      </c>
      <c r="J4" s="10" t="inlineStr">
        <is>
          <t>Ingreso mensual por posición 2026</t>
        </is>
      </c>
    </row>
    <row r="5">
      <c r="A5" s="6" t="inlineStr">
        <is>
          <t>TMV</t>
        </is>
      </c>
      <c r="B5" s="6" t="inlineStr">
        <is>
          <t>Telco Móvil · Temprana</t>
        </is>
      </c>
      <c r="C5" s="6" t="inlineStr">
        <is>
          <t>ARS</t>
        </is>
      </c>
      <c r="D5" s="30">
        <f>SUMPRODUCT((Cálculo!$A$5:$A$216=$A5)*(Cálculo!$F$5:$F$216="rev")*Cálculo!$H$5:$J$216)</f>
        <v/>
      </c>
      <c r="E5" s="30">
        <f>SUMPRODUCT((Cálculo!$A$5:$A$216=$A5)*Cálculo!$H$5:$J$216)</f>
        <v/>
      </c>
      <c r="F5" s="30">
        <f>SUMPRODUCT((Cálculo!$A$5:$A$216=$A5)*(Cálculo!$F$5:$F$216="rev")*Cálculo!$K$5:$V$216)</f>
        <v/>
      </c>
      <c r="G5" s="30">
        <f>SUMPRODUCT((Cálculo!$A$5:$A$216=$A5)*Cálculo!$K$5:$V$216)</f>
        <v/>
      </c>
      <c r="H5" s="31">
        <f>IFERROR(G5/F5,0)</f>
        <v/>
      </c>
      <c r="I5" s="18">
        <f>AVERAGE(Drivers!$G$9:$R$9)</f>
        <v/>
      </c>
      <c r="J5" s="30">
        <f>IFERROR(F5/12/I5,0)</f>
        <v/>
      </c>
    </row>
    <row r="6">
      <c r="A6" s="6" t="inlineStr">
        <is>
          <t>TFP</t>
        </is>
      </c>
      <c r="B6" s="6" t="inlineStr">
        <is>
          <t>Tarjeta Federal · Prelegal</t>
        </is>
      </c>
      <c r="C6" s="6" t="inlineStr">
        <is>
          <t>ARS</t>
        </is>
      </c>
      <c r="D6" s="30">
        <f>SUMPRODUCT((Cálculo!$A$5:$A$216=$A6)*(Cálculo!$F$5:$F$216="rev")*Cálculo!$H$5:$J$216)</f>
        <v/>
      </c>
      <c r="E6" s="30">
        <f>SUMPRODUCT((Cálculo!$A$5:$A$216=$A6)*Cálculo!$H$5:$J$216)</f>
        <v/>
      </c>
      <c r="F6" s="30">
        <f>SUMPRODUCT((Cálculo!$A$5:$A$216=$A6)*(Cálculo!$F$5:$F$216="rev")*Cálculo!$K$5:$V$216)</f>
        <v/>
      </c>
      <c r="G6" s="30">
        <f>SUMPRODUCT((Cálculo!$A$5:$A$216=$A6)*Cálculo!$K$5:$V$216)</f>
        <v/>
      </c>
      <c r="H6" s="31">
        <f>IFERROR(G6/F6,0)</f>
        <v/>
      </c>
      <c r="I6" s="18">
        <f>AVERAGE(Drivers!$G$15:$R$15)</f>
        <v/>
      </c>
      <c r="J6" s="30">
        <f>IFERROR(F6/12/I6,0)</f>
        <v/>
      </c>
    </row>
    <row r="7">
      <c r="A7" s="6" t="inlineStr">
        <is>
          <t>RSM</t>
        </is>
      </c>
      <c r="B7" s="6" t="inlineStr">
        <is>
          <t>Retail Sur · Temprana</t>
        </is>
      </c>
      <c r="C7" s="6" t="inlineStr">
        <is>
          <t>ARS</t>
        </is>
      </c>
      <c r="D7" s="30">
        <f>SUMPRODUCT((Cálculo!$A$5:$A$216=$A7)*(Cálculo!$F$5:$F$216="rev")*Cálculo!$H$5:$J$216)</f>
        <v/>
      </c>
      <c r="E7" s="30">
        <f>SUMPRODUCT((Cálculo!$A$5:$A$216=$A7)*Cálculo!$H$5:$J$216)</f>
        <v/>
      </c>
      <c r="F7" s="30">
        <f>SUMPRODUCT((Cálculo!$A$5:$A$216=$A7)*(Cálculo!$F$5:$F$216="rev")*Cálculo!$K$5:$V$216)</f>
        <v/>
      </c>
      <c r="G7" s="30">
        <f>SUMPRODUCT((Cálculo!$A$5:$A$216=$A7)*Cálculo!$K$5:$V$216)</f>
        <v/>
      </c>
      <c r="H7" s="31">
        <f>IFERROR(G7/F7,0)</f>
        <v/>
      </c>
      <c r="I7" s="18">
        <f>AVERAGE(Drivers!$G$21:$R$21)</f>
        <v/>
      </c>
      <c r="J7" s="30">
        <f>IFERROR(F7/12/I7,0)</f>
        <v/>
      </c>
    </row>
    <row r="8">
      <c r="A8" s="6" t="inlineStr">
        <is>
          <t>FPG</t>
        </is>
      </c>
      <c r="B8" s="6" t="inlineStr">
        <is>
          <t>Fintech Pago · Temprana</t>
        </is>
      </c>
      <c r="C8" s="6" t="inlineStr">
        <is>
          <t>ARS</t>
        </is>
      </c>
      <c r="D8" s="30">
        <f>SUMPRODUCT((Cálculo!$A$5:$A$216=$A8)*(Cálculo!$F$5:$F$216="rev")*Cálculo!$H$5:$J$216)</f>
        <v/>
      </c>
      <c r="E8" s="30">
        <f>SUMPRODUCT((Cálculo!$A$5:$A$216=$A8)*Cálculo!$H$5:$J$216)</f>
        <v/>
      </c>
      <c r="F8" s="30">
        <f>SUMPRODUCT((Cálculo!$A$5:$A$216=$A8)*(Cálculo!$F$5:$F$216="rev")*Cálculo!$K$5:$V$216)</f>
        <v/>
      </c>
      <c r="G8" s="30">
        <f>SUMPRODUCT((Cálculo!$A$5:$A$216=$A8)*Cálculo!$K$5:$V$216)</f>
        <v/>
      </c>
      <c r="H8" s="31">
        <f>IFERROR(G8/F8,0)</f>
        <v/>
      </c>
      <c r="I8" s="18">
        <f>AVERAGE(Drivers!$G$27:$R$27)</f>
        <v/>
      </c>
      <c r="J8" s="30">
        <f>IFERROR(F8/12/I8,0)</f>
        <v/>
      </c>
    </row>
    <row r="9">
      <c r="A9" s="6" t="inlineStr">
        <is>
          <t>GNM</t>
        </is>
      </c>
      <c r="B9" s="6" t="inlineStr">
        <is>
          <t>Gas Natural · Masiva</t>
        </is>
      </c>
      <c r="C9" s="6" t="inlineStr">
        <is>
          <t>ARS</t>
        </is>
      </c>
      <c r="D9" s="30">
        <f>SUMPRODUCT((Cálculo!$A$5:$A$216=$A9)*(Cálculo!$F$5:$F$216="rev")*Cálculo!$H$5:$J$216)</f>
        <v/>
      </c>
      <c r="E9" s="30">
        <f>SUMPRODUCT((Cálculo!$A$5:$A$216=$A9)*Cálculo!$H$5:$J$216)</f>
        <v/>
      </c>
      <c r="F9" s="30">
        <f>SUMPRODUCT((Cálculo!$A$5:$A$216=$A9)*(Cálculo!$F$5:$F$216="rev")*Cálculo!$K$5:$V$216)</f>
        <v/>
      </c>
      <c r="G9" s="30">
        <f>SUMPRODUCT((Cálculo!$A$5:$A$216=$A9)*Cálculo!$K$5:$V$216)</f>
        <v/>
      </c>
      <c r="H9" s="31">
        <f>IFERROR(G9/F9,0)</f>
        <v/>
      </c>
      <c r="I9" s="18">
        <f>AVERAGE(Drivers!$G$33:$R$33)</f>
        <v/>
      </c>
      <c r="J9" s="30">
        <f>IFERROR(F9/12/I9,0)</f>
        <v/>
      </c>
    </row>
    <row r="10">
      <c r="A10" s="6" t="inlineStr">
        <is>
          <t>CFM</t>
        </is>
      </c>
      <c r="B10" s="6" t="inlineStr">
        <is>
          <t>Cable &amp; Fibra · Masiva</t>
        </is>
      </c>
      <c r="C10" s="6" t="inlineStr">
        <is>
          <t>ARS</t>
        </is>
      </c>
      <c r="D10" s="30">
        <f>SUMPRODUCT((Cálculo!$A$5:$A$216=$A10)*(Cálculo!$F$5:$F$216="rev")*Cálculo!$H$5:$J$216)</f>
        <v/>
      </c>
      <c r="E10" s="30">
        <f>SUMPRODUCT((Cálculo!$A$5:$A$216=$A10)*Cálculo!$H$5:$J$216)</f>
        <v/>
      </c>
      <c r="F10" s="30">
        <f>SUMPRODUCT((Cálculo!$A$5:$A$216=$A10)*(Cálculo!$F$5:$F$216="rev")*Cálculo!$K$5:$V$216)</f>
        <v/>
      </c>
      <c r="G10" s="30">
        <f>SUMPRODUCT((Cálculo!$A$5:$A$216=$A10)*Cálculo!$K$5:$V$216)</f>
        <v/>
      </c>
      <c r="H10" s="31">
        <f>IFERROR(G10/F10,0)</f>
        <v/>
      </c>
      <c r="I10" s="18">
        <f>AVERAGE(Drivers!$G$39:$R$39)</f>
        <v/>
      </c>
      <c r="J10" s="30">
        <f>IFERROR(F10/12/I10,0)</f>
        <v/>
      </c>
    </row>
    <row r="11">
      <c r="A11" s="6" t="inlineStr">
        <is>
          <t>PUY</t>
        </is>
      </c>
      <c r="B11" s="6" t="inlineStr">
        <is>
          <t>Préstamos Uruguay · Temprana</t>
        </is>
      </c>
      <c r="C11" s="6" t="inlineStr">
        <is>
          <t>USD</t>
        </is>
      </c>
      <c r="D11" s="30">
        <f>SUMPRODUCT((Cálculo!$A$5:$A$216=$A11)*(Cálculo!$F$5:$F$216="rev")*Cálculo!$H$5:$J$216)</f>
        <v/>
      </c>
      <c r="E11" s="30">
        <f>SUMPRODUCT((Cálculo!$A$5:$A$216=$A11)*Cálculo!$H$5:$J$216)</f>
        <v/>
      </c>
      <c r="F11" s="30">
        <f>SUMPRODUCT((Cálculo!$A$5:$A$216=$A11)*(Cálculo!$F$5:$F$216="rev")*Cálculo!$K$5:$V$216)</f>
        <v/>
      </c>
      <c r="G11" s="30">
        <f>SUMPRODUCT((Cálculo!$A$5:$A$216=$A11)*Cálculo!$K$5:$V$216)</f>
        <v/>
      </c>
      <c r="H11" s="31">
        <f>IFERROR(G11/F11,0)</f>
        <v/>
      </c>
      <c r="I11" s="18">
        <f>AVERAGE(Drivers!$G$45:$R$45)</f>
        <v/>
      </c>
      <c r="J11" s="30">
        <f>IFERROR(F11/12/I11,0)</f>
        <v/>
      </c>
    </row>
    <row r="12">
      <c r="A12" s="6" t="inlineStr">
        <is>
          <t>TUY</t>
        </is>
      </c>
      <c r="B12" s="6" t="inlineStr">
        <is>
          <t>Telco Uruguay · Temprana</t>
        </is>
      </c>
      <c r="C12" s="6" t="inlineStr">
        <is>
          <t>USD</t>
        </is>
      </c>
      <c r="D12" s="30">
        <f>SUMPRODUCT((Cálculo!$A$5:$A$216=$A12)*(Cálculo!$F$5:$F$216="rev")*Cálculo!$H$5:$J$216)</f>
        <v/>
      </c>
      <c r="E12" s="30">
        <f>SUMPRODUCT((Cálculo!$A$5:$A$216=$A12)*Cálculo!$H$5:$J$216)</f>
        <v/>
      </c>
      <c r="F12" s="30">
        <f>SUMPRODUCT((Cálculo!$A$5:$A$216=$A12)*(Cálculo!$F$5:$F$216="rev")*Cálculo!$K$5:$V$216)</f>
        <v/>
      </c>
      <c r="G12" s="30">
        <f>SUMPRODUCT((Cálculo!$A$5:$A$216=$A12)*Cálculo!$K$5:$V$216)</f>
        <v/>
      </c>
      <c r="H12" s="31">
        <f>IFERROR(G12/F12,0)</f>
        <v/>
      </c>
      <c r="I12" s="18">
        <f>AVERAGE(Drivers!$G$51:$R$51)</f>
        <v/>
      </c>
      <c r="J12" s="30">
        <f>IFERROR(F12/12/I12,0)</f>
        <v/>
      </c>
    </row>
    <row r="13">
      <c r="A13" s="6" t="inlineStr">
        <is>
          <t>BNP</t>
        </is>
      </c>
      <c r="B13" s="6" t="inlineStr">
        <is>
          <t>Banco Norte · Prelegal</t>
        </is>
      </c>
      <c r="C13" s="6" t="inlineStr">
        <is>
          <t>ARS</t>
        </is>
      </c>
      <c r="D13" s="30">
        <f>SUMPRODUCT((Cálculo!$A$5:$A$216=$A13)*(Cálculo!$F$5:$F$216="rev")*Cálculo!$H$5:$J$216)</f>
        <v/>
      </c>
      <c r="E13" s="30">
        <f>SUMPRODUCT((Cálculo!$A$5:$A$216=$A13)*Cálculo!$H$5:$J$216)</f>
        <v/>
      </c>
      <c r="F13" s="30">
        <f>SUMPRODUCT((Cálculo!$A$5:$A$216=$A13)*(Cálculo!$F$5:$F$216="rev")*Cálculo!$K$5:$V$216)</f>
        <v/>
      </c>
      <c r="G13" s="30">
        <f>SUMPRODUCT((Cálculo!$A$5:$A$216=$A13)*Cálculo!$K$5:$V$216)</f>
        <v/>
      </c>
      <c r="H13" s="31">
        <f>IFERROR(G13/F13,0)</f>
        <v/>
      </c>
      <c r="I13" s="18">
        <f>AVERAGE(Drivers!$G$57:$R$57)</f>
        <v/>
      </c>
      <c r="J13" s="30">
        <f>IFERROR(F13/12/I13,0)</f>
        <v/>
      </c>
    </row>
    <row r="14">
      <c r="A14" s="6" t="inlineStr">
        <is>
          <t>POA</t>
        </is>
      </c>
      <c r="B14" s="6" t="inlineStr">
        <is>
          <t>Pool Argentina · Multicedente</t>
        </is>
      </c>
      <c r="C14" s="6" t="inlineStr">
        <is>
          <t>ARS</t>
        </is>
      </c>
      <c r="D14" s="30">
        <f>SUMPRODUCT((Cálculo!$A$5:$A$216=$A14)*(Cálculo!$F$5:$F$216="rev")*Cálculo!$H$5:$J$216)</f>
        <v/>
      </c>
      <c r="E14" s="30">
        <f>SUMPRODUCT((Cálculo!$A$5:$A$216=$A14)*Cálculo!$H$5:$J$216)</f>
        <v/>
      </c>
      <c r="F14" s="30">
        <f>SUMPRODUCT((Cálculo!$A$5:$A$216=$A14)*(Cálculo!$F$5:$F$216="rev")*Cálculo!$K$5:$V$216)</f>
        <v/>
      </c>
      <c r="G14" s="30">
        <f>SUMPRODUCT((Cálculo!$A$5:$A$216=$A14)*Cálculo!$K$5:$V$216)</f>
        <v/>
      </c>
      <c r="H14" s="31">
        <f>IFERROR(G14/F14,0)</f>
        <v/>
      </c>
      <c r="I14" s="18">
        <f>AVERAGE(Drivers!$G$63:$R$63)</f>
        <v/>
      </c>
      <c r="J14" s="30">
        <f>IFERROR(F14/12/I14,0)</f>
        <v/>
      </c>
    </row>
    <row r="15">
      <c r="A15" s="6" t="inlineStr">
        <is>
          <t>POC</t>
        </is>
      </c>
      <c r="B15" s="6" t="inlineStr">
        <is>
          <t>Pool Judicial · Servicios</t>
        </is>
      </c>
      <c r="C15" s="6" t="inlineStr">
        <is>
          <t>ARS</t>
        </is>
      </c>
      <c r="D15" s="30">
        <f>SUMPRODUCT((Cálculo!$A$5:$A$216=$A15)*(Cálculo!$F$5:$F$216="rev")*Cálculo!$H$5:$J$216)</f>
        <v/>
      </c>
      <c r="E15" s="30">
        <f>SUMPRODUCT((Cálculo!$A$5:$A$216=$A15)*Cálculo!$H$5:$J$216)</f>
        <v/>
      </c>
      <c r="F15" s="30">
        <f>SUMPRODUCT((Cálculo!$A$5:$A$216=$A15)*(Cálculo!$F$5:$F$216="rev")*Cálculo!$K$5:$V$216)</f>
        <v/>
      </c>
      <c r="G15" s="30">
        <f>SUMPRODUCT((Cálculo!$A$5:$A$216=$A15)*Cálculo!$K$5:$V$216)</f>
        <v/>
      </c>
      <c r="H15" s="31">
        <f>IFERROR(G15/F15,0)</f>
        <v/>
      </c>
      <c r="I15" s="18">
        <f>AVERAGE(Drivers!$G$69:$R$69)</f>
        <v/>
      </c>
      <c r="J15" s="30">
        <f>IFERROR(F15/12/I15,0)</f>
        <v/>
      </c>
    </row>
    <row r="16">
      <c r="A16" s="6" t="inlineStr">
        <is>
          <t>TKV</t>
        </is>
      </c>
      <c r="B16" s="6" t="inlineStr">
        <is>
          <t>Telemarketing · Seguros</t>
        </is>
      </c>
      <c r="C16" s="6" t="inlineStr">
        <is>
          <t>ARS</t>
        </is>
      </c>
      <c r="D16" s="30">
        <f>SUMPRODUCT((Cálculo!$A$5:$A$216=$A16)*(Cálculo!$F$5:$F$216="rev")*Cálculo!$H$5:$J$216)</f>
        <v/>
      </c>
      <c r="E16" s="30">
        <f>SUMPRODUCT((Cálculo!$A$5:$A$216=$A16)*Cálculo!$H$5:$J$216)</f>
        <v/>
      </c>
      <c r="F16" s="30">
        <f>SUMPRODUCT((Cálculo!$A$5:$A$216=$A16)*(Cálculo!$F$5:$F$216="rev")*Cálculo!$K$5:$V$216)</f>
        <v/>
      </c>
      <c r="G16" s="30">
        <f>SUMPRODUCT((Cálculo!$A$5:$A$216=$A16)*Cálculo!$K$5:$V$216)</f>
        <v/>
      </c>
      <c r="H16" s="31">
        <f>IFERROR(G16/F16,0)</f>
        <v/>
      </c>
      <c r="I16" s="18">
        <f>AVERAGE(Drivers!$G$75:$R$75)</f>
        <v/>
      </c>
      <c r="J16" s="30">
        <f>IFERROR(F16/12/I16,0)</f>
        <v/>
      </c>
    </row>
    <row r="17">
      <c r="A17" s="32" t="n"/>
      <c r="B17" s="32" t="inlineStr">
        <is>
          <t>Total carteras</t>
        </is>
      </c>
      <c r="C17" s="32" t="n"/>
      <c r="D17" s="33">
        <f>SUM(D5:D16)</f>
        <v/>
      </c>
      <c r="E17" s="33">
        <f>SUM(E5:E16)</f>
        <v/>
      </c>
      <c r="F17" s="33">
        <f>SUM(F5:F16)</f>
        <v/>
      </c>
      <c r="G17" s="33">
        <f>SUM(G5:G16)</f>
        <v/>
      </c>
      <c r="H17" s="34">
        <f>IFERROR(G17/F17,0)</f>
        <v/>
      </c>
      <c r="I17" s="37">
        <f>SUM(I5:I16)</f>
        <v/>
      </c>
      <c r="J17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Dotación y remuneraciones operativas</t>
        </is>
      </c>
    </row>
    <row r="2">
      <c r="A2" s="38" t="inlineStr">
        <is>
          <t>Información sensible: solo RRHH, Gerencia y Control de Gestión.</t>
        </is>
      </c>
    </row>
    <row r="4" ht="30" customHeight="1">
      <c r="A4" s="9" t="inlineStr">
        <is>
          <t>Cartera</t>
        </is>
      </c>
      <c r="B4" s="10" t="inlineStr"/>
      <c r="C4" s="10" t="inlineStr">
        <is>
          <t>Sep-25</t>
        </is>
      </c>
      <c r="D4" s="10" t="inlineStr">
        <is>
          <t>oct-25</t>
        </is>
      </c>
      <c r="E4" s="10" t="inlineStr">
        <is>
          <t>nov-25</t>
        </is>
      </c>
      <c r="F4" s="10" t="inlineStr">
        <is>
          <t>dic-25</t>
        </is>
      </c>
      <c r="G4" s="10" t="inlineStr">
        <is>
          <t>ene-26</t>
        </is>
      </c>
      <c r="H4" s="10" t="inlineStr">
        <is>
          <t>feb-26</t>
        </is>
      </c>
      <c r="I4" s="10" t="inlineStr">
        <is>
          <t>mar-26</t>
        </is>
      </c>
      <c r="J4" s="10" t="inlineStr">
        <is>
          <t>abr-26</t>
        </is>
      </c>
      <c r="K4" s="10" t="inlineStr">
        <is>
          <t>may-26</t>
        </is>
      </c>
      <c r="L4" s="10" t="inlineStr">
        <is>
          <t>jun-26</t>
        </is>
      </c>
      <c r="M4" s="10" t="inlineStr">
        <is>
          <t>jul-26</t>
        </is>
      </c>
      <c r="N4" s="10" t="inlineStr">
        <is>
          <t>ago-26</t>
        </is>
      </c>
      <c r="O4" s="10" t="inlineStr">
        <is>
          <t>sep-26</t>
        </is>
      </c>
      <c r="P4" s="10" t="inlineStr">
        <is>
          <t>oct-26</t>
        </is>
      </c>
      <c r="Q4" s="10" t="inlineStr">
        <is>
          <t>nov-26</t>
        </is>
      </c>
      <c r="R4" s="10" t="inlineStr">
        <is>
          <t>dic-26</t>
        </is>
      </c>
    </row>
    <row r="5">
      <c r="A5" s="6" t="inlineStr">
        <is>
          <t>TMV · Telco Móvil · Temprana</t>
        </is>
      </c>
      <c r="C5" s="8">
        <f>Drivers!C9</f>
        <v/>
      </c>
      <c r="D5" s="39">
        <f>Drivers!D9</f>
        <v/>
      </c>
      <c r="E5" s="39">
        <f>Drivers!E9</f>
        <v/>
      </c>
      <c r="F5" s="39">
        <f>Drivers!F9</f>
        <v/>
      </c>
      <c r="G5" s="39">
        <f>Drivers!G9</f>
        <v/>
      </c>
      <c r="H5" s="39">
        <f>Drivers!H9</f>
        <v/>
      </c>
      <c r="I5" s="39">
        <f>Drivers!I9</f>
        <v/>
      </c>
      <c r="J5" s="39">
        <f>Drivers!J9</f>
        <v/>
      </c>
      <c r="K5" s="39">
        <f>Drivers!K9</f>
        <v/>
      </c>
      <c r="L5" s="39">
        <f>Drivers!L9</f>
        <v/>
      </c>
      <c r="M5" s="39">
        <f>Drivers!M9</f>
        <v/>
      </c>
      <c r="N5" s="39">
        <f>Drivers!N9</f>
        <v/>
      </c>
      <c r="O5" s="39">
        <f>Drivers!O9</f>
        <v/>
      </c>
      <c r="P5" s="39">
        <f>Drivers!P9</f>
        <v/>
      </c>
      <c r="Q5" s="39">
        <f>Drivers!Q9</f>
        <v/>
      </c>
      <c r="R5" s="39">
        <f>Drivers!R9</f>
        <v/>
      </c>
    </row>
    <row r="6">
      <c r="A6" s="6" t="inlineStr">
        <is>
          <t>TFP · Tarjeta Federal · Prelegal</t>
        </is>
      </c>
      <c r="C6" s="8">
        <f>Drivers!C15</f>
        <v/>
      </c>
      <c r="D6" s="39">
        <f>Drivers!D15</f>
        <v/>
      </c>
      <c r="E6" s="39">
        <f>Drivers!E15</f>
        <v/>
      </c>
      <c r="F6" s="39">
        <f>Drivers!F15</f>
        <v/>
      </c>
      <c r="G6" s="39">
        <f>Drivers!G15</f>
        <v/>
      </c>
      <c r="H6" s="39">
        <f>Drivers!H15</f>
        <v/>
      </c>
      <c r="I6" s="39">
        <f>Drivers!I15</f>
        <v/>
      </c>
      <c r="J6" s="39">
        <f>Drivers!J15</f>
        <v/>
      </c>
      <c r="K6" s="39">
        <f>Drivers!K15</f>
        <v/>
      </c>
      <c r="L6" s="39">
        <f>Drivers!L15</f>
        <v/>
      </c>
      <c r="M6" s="39">
        <f>Drivers!M15</f>
        <v/>
      </c>
      <c r="N6" s="39">
        <f>Drivers!N15</f>
        <v/>
      </c>
      <c r="O6" s="39">
        <f>Drivers!O15</f>
        <v/>
      </c>
      <c r="P6" s="39">
        <f>Drivers!P15</f>
        <v/>
      </c>
      <c r="Q6" s="39">
        <f>Drivers!Q15</f>
        <v/>
      </c>
      <c r="R6" s="39">
        <f>Drivers!R15</f>
        <v/>
      </c>
    </row>
    <row r="7">
      <c r="A7" s="6" t="inlineStr">
        <is>
          <t>RSM · Retail Sur · Temprana</t>
        </is>
      </c>
      <c r="C7" s="8">
        <f>Drivers!C21</f>
        <v/>
      </c>
      <c r="D7" s="39">
        <f>Drivers!D21</f>
        <v/>
      </c>
      <c r="E7" s="39">
        <f>Drivers!E21</f>
        <v/>
      </c>
      <c r="F7" s="39">
        <f>Drivers!F21</f>
        <v/>
      </c>
      <c r="G7" s="39">
        <f>Drivers!G21</f>
        <v/>
      </c>
      <c r="H7" s="39">
        <f>Drivers!H21</f>
        <v/>
      </c>
      <c r="I7" s="39">
        <f>Drivers!I21</f>
        <v/>
      </c>
      <c r="J7" s="39">
        <f>Drivers!J21</f>
        <v/>
      </c>
      <c r="K7" s="39">
        <f>Drivers!K21</f>
        <v/>
      </c>
      <c r="L7" s="39">
        <f>Drivers!L21</f>
        <v/>
      </c>
      <c r="M7" s="39">
        <f>Drivers!M21</f>
        <v/>
      </c>
      <c r="N7" s="39">
        <f>Drivers!N21</f>
        <v/>
      </c>
      <c r="O7" s="39">
        <f>Drivers!O21</f>
        <v/>
      </c>
      <c r="P7" s="39">
        <f>Drivers!P21</f>
        <v/>
      </c>
      <c r="Q7" s="39">
        <f>Drivers!Q21</f>
        <v/>
      </c>
      <c r="R7" s="39">
        <f>Drivers!R21</f>
        <v/>
      </c>
    </row>
    <row r="8">
      <c r="A8" s="6" t="inlineStr">
        <is>
          <t>FPG · Fintech Pago · Temprana</t>
        </is>
      </c>
      <c r="C8" s="8">
        <f>Drivers!C27</f>
        <v/>
      </c>
      <c r="D8" s="39">
        <f>Drivers!D27</f>
        <v/>
      </c>
      <c r="E8" s="39">
        <f>Drivers!E27</f>
        <v/>
      </c>
      <c r="F8" s="39">
        <f>Drivers!F27</f>
        <v/>
      </c>
      <c r="G8" s="39">
        <f>Drivers!G27</f>
        <v/>
      </c>
      <c r="H8" s="39">
        <f>Drivers!H27</f>
        <v/>
      </c>
      <c r="I8" s="39">
        <f>Drivers!I27</f>
        <v/>
      </c>
      <c r="J8" s="39">
        <f>Drivers!J27</f>
        <v/>
      </c>
      <c r="K8" s="39">
        <f>Drivers!K27</f>
        <v/>
      </c>
      <c r="L8" s="39">
        <f>Drivers!L27</f>
        <v/>
      </c>
      <c r="M8" s="39">
        <f>Drivers!M27</f>
        <v/>
      </c>
      <c r="N8" s="39">
        <f>Drivers!N27</f>
        <v/>
      </c>
      <c r="O8" s="39">
        <f>Drivers!O27</f>
        <v/>
      </c>
      <c r="P8" s="39">
        <f>Drivers!P27</f>
        <v/>
      </c>
      <c r="Q8" s="39">
        <f>Drivers!Q27</f>
        <v/>
      </c>
      <c r="R8" s="39">
        <f>Drivers!R27</f>
        <v/>
      </c>
    </row>
    <row r="9">
      <c r="A9" s="6" t="inlineStr">
        <is>
          <t>GNM · Gas Natural · Masiva</t>
        </is>
      </c>
      <c r="C9" s="8">
        <f>Drivers!C33</f>
        <v/>
      </c>
      <c r="D9" s="39">
        <f>Drivers!D33</f>
        <v/>
      </c>
      <c r="E9" s="39">
        <f>Drivers!E33</f>
        <v/>
      </c>
      <c r="F9" s="39">
        <f>Drivers!F33</f>
        <v/>
      </c>
      <c r="G9" s="39">
        <f>Drivers!G33</f>
        <v/>
      </c>
      <c r="H9" s="39">
        <f>Drivers!H33</f>
        <v/>
      </c>
      <c r="I9" s="39">
        <f>Drivers!I33</f>
        <v/>
      </c>
      <c r="J9" s="39">
        <f>Drivers!J33</f>
        <v/>
      </c>
      <c r="K9" s="39">
        <f>Drivers!K33</f>
        <v/>
      </c>
      <c r="L9" s="39">
        <f>Drivers!L33</f>
        <v/>
      </c>
      <c r="M9" s="39">
        <f>Drivers!M33</f>
        <v/>
      </c>
      <c r="N9" s="39">
        <f>Drivers!N33</f>
        <v/>
      </c>
      <c r="O9" s="39">
        <f>Drivers!O33</f>
        <v/>
      </c>
      <c r="P9" s="39">
        <f>Drivers!P33</f>
        <v/>
      </c>
      <c r="Q9" s="39">
        <f>Drivers!Q33</f>
        <v/>
      </c>
      <c r="R9" s="39">
        <f>Drivers!R33</f>
        <v/>
      </c>
    </row>
    <row r="10">
      <c r="A10" s="6" t="inlineStr">
        <is>
          <t>CFM · Cable &amp; Fibra · Masiva</t>
        </is>
      </c>
      <c r="C10" s="8">
        <f>Drivers!C39</f>
        <v/>
      </c>
      <c r="D10" s="39">
        <f>Drivers!D39</f>
        <v/>
      </c>
      <c r="E10" s="39">
        <f>Drivers!E39</f>
        <v/>
      </c>
      <c r="F10" s="39">
        <f>Drivers!F39</f>
        <v/>
      </c>
      <c r="G10" s="39">
        <f>Drivers!G39</f>
        <v/>
      </c>
      <c r="H10" s="39">
        <f>Drivers!H39</f>
        <v/>
      </c>
      <c r="I10" s="39">
        <f>Drivers!I39</f>
        <v/>
      </c>
      <c r="J10" s="39">
        <f>Drivers!J39</f>
        <v/>
      </c>
      <c r="K10" s="39">
        <f>Drivers!K39</f>
        <v/>
      </c>
      <c r="L10" s="39">
        <f>Drivers!L39</f>
        <v/>
      </c>
      <c r="M10" s="39">
        <f>Drivers!M39</f>
        <v/>
      </c>
      <c r="N10" s="39">
        <f>Drivers!N39</f>
        <v/>
      </c>
      <c r="O10" s="39">
        <f>Drivers!O39</f>
        <v/>
      </c>
      <c r="P10" s="39">
        <f>Drivers!P39</f>
        <v/>
      </c>
      <c r="Q10" s="39">
        <f>Drivers!Q39</f>
        <v/>
      </c>
      <c r="R10" s="39">
        <f>Drivers!R39</f>
        <v/>
      </c>
    </row>
    <row r="11">
      <c r="A11" s="6" t="inlineStr">
        <is>
          <t>PUY · Préstamos Uruguay · Temprana</t>
        </is>
      </c>
      <c r="C11" s="8">
        <f>Drivers!C45</f>
        <v/>
      </c>
      <c r="D11" s="39">
        <f>Drivers!D45</f>
        <v/>
      </c>
      <c r="E11" s="39">
        <f>Drivers!E45</f>
        <v/>
      </c>
      <c r="F11" s="39">
        <f>Drivers!F45</f>
        <v/>
      </c>
      <c r="G11" s="39">
        <f>Drivers!G45</f>
        <v/>
      </c>
      <c r="H11" s="39">
        <f>Drivers!H45</f>
        <v/>
      </c>
      <c r="I11" s="39">
        <f>Drivers!I45</f>
        <v/>
      </c>
      <c r="J11" s="39">
        <f>Drivers!J45</f>
        <v/>
      </c>
      <c r="K11" s="39">
        <f>Drivers!K45</f>
        <v/>
      </c>
      <c r="L11" s="39">
        <f>Drivers!L45</f>
        <v/>
      </c>
      <c r="M11" s="39">
        <f>Drivers!M45</f>
        <v/>
      </c>
      <c r="N11" s="39">
        <f>Drivers!N45</f>
        <v/>
      </c>
      <c r="O11" s="39">
        <f>Drivers!O45</f>
        <v/>
      </c>
      <c r="P11" s="39">
        <f>Drivers!P45</f>
        <v/>
      </c>
      <c r="Q11" s="39">
        <f>Drivers!Q45</f>
        <v/>
      </c>
      <c r="R11" s="39">
        <f>Drivers!R45</f>
        <v/>
      </c>
    </row>
    <row r="12">
      <c r="A12" s="6" t="inlineStr">
        <is>
          <t>TUY · Telco Uruguay · Temprana</t>
        </is>
      </c>
      <c r="C12" s="8">
        <f>Drivers!C51</f>
        <v/>
      </c>
      <c r="D12" s="39">
        <f>Drivers!D51</f>
        <v/>
      </c>
      <c r="E12" s="39">
        <f>Drivers!E51</f>
        <v/>
      </c>
      <c r="F12" s="39">
        <f>Drivers!F51</f>
        <v/>
      </c>
      <c r="G12" s="39">
        <f>Drivers!G51</f>
        <v/>
      </c>
      <c r="H12" s="39">
        <f>Drivers!H51</f>
        <v/>
      </c>
      <c r="I12" s="39">
        <f>Drivers!I51</f>
        <v/>
      </c>
      <c r="J12" s="39">
        <f>Drivers!J51</f>
        <v/>
      </c>
      <c r="K12" s="39">
        <f>Drivers!K51</f>
        <v/>
      </c>
      <c r="L12" s="39">
        <f>Drivers!L51</f>
        <v/>
      </c>
      <c r="M12" s="39">
        <f>Drivers!M51</f>
        <v/>
      </c>
      <c r="N12" s="39">
        <f>Drivers!N51</f>
        <v/>
      </c>
      <c r="O12" s="39">
        <f>Drivers!O51</f>
        <v/>
      </c>
      <c r="P12" s="39">
        <f>Drivers!P51</f>
        <v/>
      </c>
      <c r="Q12" s="39">
        <f>Drivers!Q51</f>
        <v/>
      </c>
      <c r="R12" s="39">
        <f>Drivers!R51</f>
        <v/>
      </c>
    </row>
    <row r="13">
      <c r="A13" s="6" t="inlineStr">
        <is>
          <t>BNP · Banco Norte · Prelegal</t>
        </is>
      </c>
      <c r="C13" s="8">
        <f>Drivers!C57</f>
        <v/>
      </c>
      <c r="D13" s="39">
        <f>Drivers!D57</f>
        <v/>
      </c>
      <c r="E13" s="39">
        <f>Drivers!E57</f>
        <v/>
      </c>
      <c r="F13" s="39">
        <f>Drivers!F57</f>
        <v/>
      </c>
      <c r="G13" s="39">
        <f>Drivers!G57</f>
        <v/>
      </c>
      <c r="H13" s="39">
        <f>Drivers!H57</f>
        <v/>
      </c>
      <c r="I13" s="39">
        <f>Drivers!I57</f>
        <v/>
      </c>
      <c r="J13" s="39">
        <f>Drivers!J57</f>
        <v/>
      </c>
      <c r="K13" s="39">
        <f>Drivers!K57</f>
        <v/>
      </c>
      <c r="L13" s="39">
        <f>Drivers!L57</f>
        <v/>
      </c>
      <c r="M13" s="39">
        <f>Drivers!M57</f>
        <v/>
      </c>
      <c r="N13" s="39">
        <f>Drivers!N57</f>
        <v/>
      </c>
      <c r="O13" s="39">
        <f>Drivers!O57</f>
        <v/>
      </c>
      <c r="P13" s="39">
        <f>Drivers!P57</f>
        <v/>
      </c>
      <c r="Q13" s="39">
        <f>Drivers!Q57</f>
        <v/>
      </c>
      <c r="R13" s="39">
        <f>Drivers!R57</f>
        <v/>
      </c>
    </row>
    <row r="14">
      <c r="A14" s="6" t="inlineStr">
        <is>
          <t>POA · Pool Argentina · Multicedente</t>
        </is>
      </c>
      <c r="C14" s="8">
        <f>Drivers!C63</f>
        <v/>
      </c>
      <c r="D14" s="39">
        <f>Drivers!D63</f>
        <v/>
      </c>
      <c r="E14" s="39">
        <f>Drivers!E63</f>
        <v/>
      </c>
      <c r="F14" s="39">
        <f>Drivers!F63</f>
        <v/>
      </c>
      <c r="G14" s="39">
        <f>Drivers!G63</f>
        <v/>
      </c>
      <c r="H14" s="39">
        <f>Drivers!H63</f>
        <v/>
      </c>
      <c r="I14" s="39">
        <f>Drivers!I63</f>
        <v/>
      </c>
      <c r="J14" s="39">
        <f>Drivers!J63</f>
        <v/>
      </c>
      <c r="K14" s="39">
        <f>Drivers!K63</f>
        <v/>
      </c>
      <c r="L14" s="39">
        <f>Drivers!L63</f>
        <v/>
      </c>
      <c r="M14" s="39">
        <f>Drivers!M63</f>
        <v/>
      </c>
      <c r="N14" s="39">
        <f>Drivers!N63</f>
        <v/>
      </c>
      <c r="O14" s="39">
        <f>Drivers!O63</f>
        <v/>
      </c>
      <c r="P14" s="39">
        <f>Drivers!P63</f>
        <v/>
      </c>
      <c r="Q14" s="39">
        <f>Drivers!Q63</f>
        <v/>
      </c>
      <c r="R14" s="39">
        <f>Drivers!R63</f>
        <v/>
      </c>
    </row>
    <row r="15">
      <c r="A15" s="6" t="inlineStr">
        <is>
          <t>POC · Pool Judicial · Servicios</t>
        </is>
      </c>
      <c r="C15" s="8">
        <f>Drivers!C69</f>
        <v/>
      </c>
      <c r="D15" s="39">
        <f>Drivers!D69</f>
        <v/>
      </c>
      <c r="E15" s="39">
        <f>Drivers!E69</f>
        <v/>
      </c>
      <c r="F15" s="39">
        <f>Drivers!F69</f>
        <v/>
      </c>
      <c r="G15" s="39">
        <f>Drivers!G69</f>
        <v/>
      </c>
      <c r="H15" s="39">
        <f>Drivers!H69</f>
        <v/>
      </c>
      <c r="I15" s="39">
        <f>Drivers!I69</f>
        <v/>
      </c>
      <c r="J15" s="39">
        <f>Drivers!J69</f>
        <v/>
      </c>
      <c r="K15" s="39">
        <f>Drivers!K69</f>
        <v/>
      </c>
      <c r="L15" s="39">
        <f>Drivers!L69</f>
        <v/>
      </c>
      <c r="M15" s="39">
        <f>Drivers!M69</f>
        <v/>
      </c>
      <c r="N15" s="39">
        <f>Drivers!N69</f>
        <v/>
      </c>
      <c r="O15" s="39">
        <f>Drivers!O69</f>
        <v/>
      </c>
      <c r="P15" s="39">
        <f>Drivers!P69</f>
        <v/>
      </c>
      <c r="Q15" s="39">
        <f>Drivers!Q69</f>
        <v/>
      </c>
      <c r="R15" s="39">
        <f>Drivers!R69</f>
        <v/>
      </c>
    </row>
    <row r="16">
      <c r="A16" s="6" t="inlineStr">
        <is>
          <t>TKV · Telemarketing · Seguros</t>
        </is>
      </c>
      <c r="C16" s="8">
        <f>Drivers!C75</f>
        <v/>
      </c>
      <c r="D16" s="39">
        <f>Drivers!D75</f>
        <v/>
      </c>
      <c r="E16" s="39">
        <f>Drivers!E75</f>
        <v/>
      </c>
      <c r="F16" s="39">
        <f>Drivers!F75</f>
        <v/>
      </c>
      <c r="G16" s="39">
        <f>Drivers!G75</f>
        <v/>
      </c>
      <c r="H16" s="39">
        <f>Drivers!H75</f>
        <v/>
      </c>
      <c r="I16" s="39">
        <f>Drivers!I75</f>
        <v/>
      </c>
      <c r="J16" s="39">
        <f>Drivers!J75</f>
        <v/>
      </c>
      <c r="K16" s="39">
        <f>Drivers!K75</f>
        <v/>
      </c>
      <c r="L16" s="39">
        <f>Drivers!L75</f>
        <v/>
      </c>
      <c r="M16" s="39">
        <f>Drivers!M75</f>
        <v/>
      </c>
      <c r="N16" s="39">
        <f>Drivers!N75</f>
        <v/>
      </c>
      <c r="O16" s="39">
        <f>Drivers!O75</f>
        <v/>
      </c>
      <c r="P16" s="39">
        <f>Drivers!P75</f>
        <v/>
      </c>
      <c r="Q16" s="39">
        <f>Drivers!Q75</f>
        <v/>
      </c>
      <c r="R16" s="39">
        <f>Drivers!R75</f>
        <v/>
      </c>
    </row>
    <row r="17">
      <c r="A17" s="3" t="inlineStr">
        <is>
          <t>Total posiciones</t>
        </is>
      </c>
      <c r="C17" s="40">
        <f>SUM(C5:C16)</f>
        <v/>
      </c>
      <c r="D17" s="40">
        <f>SUM(D5:D16)</f>
        <v/>
      </c>
      <c r="E17" s="40">
        <f>SUM(E5:E16)</f>
        <v/>
      </c>
      <c r="F17" s="40">
        <f>SUM(F5:F16)</f>
        <v/>
      </c>
      <c r="G17" s="40">
        <f>SUM(G5:G16)</f>
        <v/>
      </c>
      <c r="H17" s="40">
        <f>SUM(H5:H16)</f>
        <v/>
      </c>
      <c r="I17" s="40">
        <f>SUM(I5:I16)</f>
        <v/>
      </c>
      <c r="J17" s="40">
        <f>SUM(J5:J16)</f>
        <v/>
      </c>
      <c r="K17" s="40">
        <f>SUM(K5:K16)</f>
        <v/>
      </c>
      <c r="L17" s="40">
        <f>SUM(L5:L16)</f>
        <v/>
      </c>
      <c r="M17" s="40">
        <f>SUM(M5:M16)</f>
        <v/>
      </c>
      <c r="N17" s="40">
        <f>SUM(N5:N16)</f>
        <v/>
      </c>
      <c r="O17" s="40">
        <f>SUM(O5:O16)</f>
        <v/>
      </c>
      <c r="P17" s="40">
        <f>SUM(P5:P16)</f>
        <v/>
      </c>
      <c r="Q17" s="40">
        <f>SUM(Q5:Q16)</f>
        <v/>
      </c>
      <c r="R17" s="40">
        <f>SUM(R5:R16)</f>
        <v/>
      </c>
    </row>
    <row r="19">
      <c r="A19" s="3" t="inlineStr">
        <is>
          <t>Remuneraciones operativas ($)</t>
        </is>
      </c>
      <c r="D19" s="30">
        <f>-SUMIFS(Cálculo!$H$5:$H$216,Cálculo!$F$5:$F$216,"pos_sal")</f>
        <v/>
      </c>
      <c r="E19" s="30">
        <f>-SUMIFS(Cálculo!$I$5:$I$216,Cálculo!$F$5:$F$216,"pos_sal")</f>
        <v/>
      </c>
      <c r="F19" s="30">
        <f>-SUMIFS(Cálculo!$J$5:$J$216,Cálculo!$F$5:$F$216,"pos_sal")</f>
        <v/>
      </c>
      <c r="G19" s="30">
        <f>-SUMIFS(Cálculo!$K$5:$K$216,Cálculo!$F$5:$F$216,"pos_sal")</f>
        <v/>
      </c>
      <c r="H19" s="30">
        <f>-SUMIFS(Cálculo!$L$5:$L$216,Cálculo!$F$5:$F$216,"pos_sal")</f>
        <v/>
      </c>
      <c r="I19" s="30">
        <f>-SUMIFS(Cálculo!$M$5:$M$216,Cálculo!$F$5:$F$216,"pos_sal")</f>
        <v/>
      </c>
      <c r="J19" s="30">
        <f>-SUMIFS(Cálculo!$N$5:$N$216,Cálculo!$F$5:$F$216,"pos_sal")</f>
        <v/>
      </c>
      <c r="K19" s="30">
        <f>-SUMIFS(Cálculo!$O$5:$O$216,Cálculo!$F$5:$F$216,"pos_sal")</f>
        <v/>
      </c>
      <c r="L19" s="30">
        <f>-SUMIFS(Cálculo!$P$5:$P$216,Cálculo!$F$5:$F$216,"pos_sal")</f>
        <v/>
      </c>
      <c r="M19" s="30">
        <f>-SUMIFS(Cálculo!$Q$5:$Q$216,Cálculo!$F$5:$F$216,"pos_sal")</f>
        <v/>
      </c>
      <c r="N19" s="30">
        <f>-SUMIFS(Cálculo!$R$5:$R$216,Cálculo!$F$5:$F$216,"pos_sal")</f>
        <v/>
      </c>
      <c r="O19" s="30">
        <f>-SUMIFS(Cálculo!$S$5:$S$216,Cálculo!$F$5:$F$216,"pos_sal")</f>
        <v/>
      </c>
      <c r="P19" s="30">
        <f>-SUMIFS(Cálculo!$T$5:$T$216,Cálculo!$F$5:$F$216,"pos_sal")</f>
        <v/>
      </c>
      <c r="Q19" s="30">
        <f>-SUMIFS(Cálculo!$U$5:$U$216,Cálculo!$F$5:$F$216,"pos_sal")</f>
        <v/>
      </c>
      <c r="R19" s="30">
        <f>-SUMIFS(Cálculo!$V$5:$V$216,Cálculo!$F$5:$F$216,"pos_sal")</f>
        <v/>
      </c>
    </row>
    <row r="20">
      <c r="A20" s="6" t="inlineStr">
        <is>
          <t>Costo mensual por posición ($)</t>
        </is>
      </c>
      <c r="D20" s="24">
        <f>IFERROR(D19/D17,0)</f>
        <v/>
      </c>
      <c r="E20" s="24">
        <f>IFERROR(E19/E17,0)</f>
        <v/>
      </c>
      <c r="F20" s="24">
        <f>IFERROR(F19/F17,0)</f>
        <v/>
      </c>
      <c r="G20" s="24">
        <f>IFERROR(G19/G17,0)</f>
        <v/>
      </c>
      <c r="H20" s="24">
        <f>IFERROR(H19/H17,0)</f>
        <v/>
      </c>
      <c r="I20" s="24">
        <f>IFERROR(I19/I17,0)</f>
        <v/>
      </c>
      <c r="J20" s="24">
        <f>IFERROR(J19/J17,0)</f>
        <v/>
      </c>
      <c r="K20" s="24">
        <f>IFERROR(K19/K17,0)</f>
        <v/>
      </c>
      <c r="L20" s="24">
        <f>IFERROR(L19/L17,0)</f>
        <v/>
      </c>
      <c r="M20" s="24">
        <f>IFERROR(M19/M17,0)</f>
        <v/>
      </c>
      <c r="N20" s="24">
        <f>IFERROR(N19/N17,0)</f>
        <v/>
      </c>
      <c r="O20" s="24">
        <f>IFERROR(O19/O17,0)</f>
        <v/>
      </c>
      <c r="P20" s="24">
        <f>IFERROR(P19/P17,0)</f>
        <v/>
      </c>
      <c r="Q20" s="24">
        <f>IFERROR(Q19/Q17,0)</f>
        <v/>
      </c>
      <c r="R20" s="24">
        <f>IFERROR(R19/R17,0)</f>
        <v/>
      </c>
    </row>
    <row r="21">
      <c r="A21" s="6" t="inlineStr">
        <is>
          <t>Índice salarial (sep-25 = 1)</t>
        </is>
      </c>
      <c r="D21" s="41">
        <f>Supuestos!D10</f>
        <v/>
      </c>
      <c r="E21" s="41">
        <f>Supuestos!E10</f>
        <v/>
      </c>
      <c r="F21" s="41">
        <f>Supuestos!F10</f>
        <v/>
      </c>
      <c r="G21" s="41">
        <f>Supuestos!G10</f>
        <v/>
      </c>
      <c r="H21" s="41">
        <f>Supuestos!H10</f>
        <v/>
      </c>
      <c r="I21" s="41">
        <f>Supuestos!I10</f>
        <v/>
      </c>
      <c r="J21" s="41">
        <f>Supuestos!J10</f>
        <v/>
      </c>
      <c r="K21" s="41">
        <f>Supuestos!K10</f>
        <v/>
      </c>
      <c r="L21" s="41">
        <f>Supuestos!L10</f>
        <v/>
      </c>
      <c r="M21" s="41">
        <f>Supuestos!M10</f>
        <v/>
      </c>
      <c r="N21" s="41">
        <f>Supuestos!N10</f>
        <v/>
      </c>
      <c r="O21" s="41">
        <f>Supuestos!O10</f>
        <v/>
      </c>
      <c r="P21" s="41">
        <f>Supuestos!P10</f>
        <v/>
      </c>
      <c r="Q21" s="41">
        <f>Supuestos!Q10</f>
        <v/>
      </c>
      <c r="R21" s="41">
        <f>Supuestos!R10</f>
        <v/>
      </c>
    </row>
    <row r="23">
      <c r="A23" s="12" t="inlineStr">
        <is>
          <t>Remuneraciones operativas: operadores, supervisión, calidad, back office, ejecutivos de cuenta y gerencia de operaciones (categoría pos_sal), en millones.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2026-10-04T09:13:49Z</dcterms:created>
  <dcterms:modified xmlns:dcterms="http://purl.org/dc/terms/" xmlns:xsi="http://www.w3.org/2001/XMLSchema-instance" xsi:type="dcterms:W3CDTF">2026-10-04T09:13:49Z</dcterms:modified>
</cp:coreProperties>
</file>