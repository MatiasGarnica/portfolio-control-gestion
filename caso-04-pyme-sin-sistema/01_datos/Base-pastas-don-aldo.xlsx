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Resumen mensual" sheetId="2" state="visible" r:id="rId4"/>
    <sheet name="Fiado" sheetId="3" state="visible" r:id="rId5"/>
    <sheet name="Cierres" sheetId="4" state="visible" r:id="rId6"/>
    <sheet name="Pedidos" sheetId="5" state="visible" r:id="rId7"/>
    <sheet name="Cobros" sheetId="6" state="visible" r:id="rId8"/>
    <sheet name="Problemas del Excel" sheetId="7" state="visible" r:id="rId9"/>
  </sheets>
  <definedNames>
    <definedName function="false" hidden="true" localSheetId="3" name="_xlnm._FilterDatabase" vbProcedure="false">Cierres!$A$1:$T$478</definedName>
    <definedName function="false" hidden="true" localSheetId="5" name="_xlnm._FilterDatabase" vbProcedure="false">Cobros!$A$1:$F$353</definedName>
    <definedName function="false" hidden="true" localSheetId="2" name="_xlnm._FilterDatabase" vbProcedure="false">Fiado!$A$1:$L$25</definedName>
    <definedName function="false" hidden="true" localSheetId="4" name="_xlnm._FilterDatabase" vbProcedure="false">Pedidos!$A$1:$F$732</definedName>
    <definedName function="false" hidden="true" localSheetId="6" name="_xlnm._FilterDatabase" vbProcedure="false">'Problemas del Excel'!$A$1:$E$1213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Saldo calculado por indicadores.py (igual que la vista v_saldo_mayoristas de Supabase). La columna Control lo compara con la fórmula.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Fondo + efectivo − gasto con la caja − retiro del dueño. Los cierres del Excel no tienen fondo ni efectivo contado.</t>
        </r>
      </text>
    </comment>
  </commentList>
</comments>
</file>

<file path=xl/sharedStrings.xml><?xml version="1.0" encoding="utf-8"?>
<sst xmlns="http://schemas.openxmlformats.org/spreadsheetml/2006/main" count="10110" uniqueCount="887">
  <si>
    <t xml:space="preserve">Base de caja y clientes · Pastas Don Aldo</t>
  </si>
  <si>
    <t xml:space="preserve">Datos 100% ficticios (generate_pyme.py, semilla fija). Enero a mayo: Excel compartido limpiado con limpiar_excel.py. Junio en adelante: formulario.</t>
  </si>
  <si>
    <t xml:space="preserve">Hojas</t>
  </si>
  <si>
    <t xml:space="preserve">Cierres: un cierre por local y día, con el arqueo en fórmulas (efectivo esperado, diferencia y si cuadra).</t>
  </si>
  <si>
    <t xml:space="preserve">Resumen mensual: venta, efectivo, tickets, costo de plataformas y caja por mes y local, con SUMIFS y COUNTIFS sobre Cierres.</t>
  </si>
  <si>
    <t xml:space="preserve">Fiado: lo comprado a cuenta menos lo cobrado, por restaurante; la columna Control compara la fórmula con el motor del tablero.</t>
  </si>
  <si>
    <t xml:space="preserve">Pedidos, Cobros y Problemas del Excel: los datos y el registro de cada arreglo de la limpieza.</t>
  </si>
  <si>
    <t xml:space="preserve">Supuestos (azul = valor cargado)</t>
  </si>
  <si>
    <t xml:space="preserve">Corte de los datos</t>
  </si>
  <si>
    <t xml:space="preserve">Tolerancia para que la caja cuadre ($)</t>
  </si>
  <si>
    <t xml:space="preserve">Comisión débito</t>
  </si>
  <si>
    <t xml:space="preserve">Comisión crédito</t>
  </si>
  <si>
    <t xml:space="preserve">Comisión billetera virtual</t>
  </si>
  <si>
    <t xml:space="preserve">Colores: azul = valor cargado · verde = fórmula que lee otra hoja · negro = fórmula de la misma hoja.</t>
  </si>
  <si>
    <t xml:space="preserve">Mes</t>
  </si>
  <si>
    <t xml:space="preserve">Local</t>
  </si>
  <si>
    <t xml:space="preserve">Venta</t>
  </si>
  <si>
    <t xml:space="preserve">Efectivo</t>
  </si>
  <si>
    <t xml:space="preserve">% efectivo</t>
  </si>
  <si>
    <t xml:space="preserve">Tickets</t>
  </si>
  <si>
    <t xml:space="preserve">Ticket promedio</t>
  </si>
  <si>
    <t xml:space="preserve">Costo plataformas</t>
  </si>
  <si>
    <t xml:space="preserve">Cierres con arqueo</t>
  </si>
  <si>
    <t xml:space="preserve">Cierres que cuadran</t>
  </si>
  <si>
    <t xml:space="preserve">% que cuadra</t>
  </si>
  <si>
    <t xml:space="preserve">Faltó en la caja</t>
  </si>
  <si>
    <t xml:space="preserve">2025-01</t>
  </si>
  <si>
    <t xml:space="preserve">Centro</t>
  </si>
  <si>
    <t xml:space="preserve">Jardín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</si>
  <si>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</si>
  <si>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</si>
  <si>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</si>
  <si>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</si>
  <si>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</si>
  <si>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</si>
  <si>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</si>
  <si>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</si>
  <si>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</si>
  <si>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Fórmulas sobre la hoja Cierres. Hasta mayo (Excel) no hay tickets ni arqueo; hasta marzo la billetera está dentro de transferencia.</t>
  </si>
  <si>
    <t xml:space="preserve">Cliente</t>
  </si>
  <si>
    <t xml:space="preserve">Nombre</t>
  </si>
  <si>
    <t xml:space="preserve">Condición</t>
  </si>
  <si>
    <t xml:space="preserve">Comprado a cuenta</t>
  </si>
  <si>
    <t xml:space="preserve">Cobrado</t>
  </si>
  <si>
    <t xml:space="preserve">Saldo</t>
  </si>
  <si>
    <t xml:space="preserve">Saldo del motor</t>
  </si>
  <si>
    <t xml:space="preserve">Control</t>
  </si>
  <si>
    <t xml:space="preserve">Comprado a cuenta (90 d)</t>
  </si>
  <si>
    <t xml:space="preserve">Cobrado (90 d)</t>
  </si>
  <si>
    <t xml:space="preserve">Pagó de lo comprado</t>
  </si>
  <si>
    <t xml:space="preserve">Estado</t>
  </si>
  <si>
    <t xml:space="preserve">Restaurante La Esquina</t>
  </si>
  <si>
    <t xml:space="preserve">Cuenta corriente</t>
  </si>
  <si>
    <t xml:space="preserve">Activo</t>
  </si>
  <si>
    <t xml:space="preserve">Rotisería El Buen Gusto</t>
  </si>
  <si>
    <t xml:space="preserve">Contado</t>
  </si>
  <si>
    <t xml:space="preserve">Almacén Doña Rosa</t>
  </si>
  <si>
    <t xml:space="preserve">Dejó de comprar</t>
  </si>
  <si>
    <t xml:space="preserve">Bodegón Los Abuelos</t>
  </si>
  <si>
    <t xml:space="preserve">Cantina del Puerto</t>
  </si>
  <si>
    <t xml:space="preserve">Rotisería Sabores</t>
  </si>
  <si>
    <t xml:space="preserve">Compra menos seguido</t>
  </si>
  <si>
    <t xml:space="preserve">Restaurante Il Forno</t>
  </si>
  <si>
    <t xml:space="preserve">Almacén San Martín</t>
  </si>
  <si>
    <t xml:space="preserve">Club Atlético Villa Sur</t>
  </si>
  <si>
    <t xml:space="preserve">Parrilla El Fogón</t>
  </si>
  <si>
    <t xml:space="preserve">Bar La Plaza</t>
  </si>
  <si>
    <t xml:space="preserve">Rotisería La Nonna</t>
  </si>
  <si>
    <t xml:space="preserve">Restaurante Mediterráneo</t>
  </si>
  <si>
    <t xml:space="preserve">Activo · paga menos</t>
  </si>
  <si>
    <t xml:space="preserve">Almacén El Trébol</t>
  </si>
  <si>
    <t xml:space="preserve">Comedor Escolar Norte</t>
  </si>
  <si>
    <t xml:space="preserve">Trattoria Bella Vista</t>
  </si>
  <si>
    <t xml:space="preserve">Rotisería Don Pepe</t>
  </si>
  <si>
    <t xml:space="preserve">Restaurante Las Tinajas</t>
  </si>
  <si>
    <t xml:space="preserve">Bar del Centro</t>
  </si>
  <si>
    <t xml:space="preserve">Almacén Los Pinos</t>
  </si>
  <si>
    <t xml:space="preserve">Restaurante Tierra Nuestra</t>
  </si>
  <si>
    <t xml:space="preserve">En riesgo</t>
  </si>
  <si>
    <t xml:space="preserve">Rotisería La Familia</t>
  </si>
  <si>
    <t xml:space="preserve">Hotel Cerro Azul</t>
  </si>
  <si>
    <t xml:space="preserve">Restaurante El Molino</t>
  </si>
  <si>
    <t xml:space="preserve">Nuevo</t>
  </si>
  <si>
    <t xml:space="preserve">Fecha</t>
  </si>
  <si>
    <t xml:space="preserve">Responsable</t>
  </si>
  <si>
    <t xml:space="preserve">Fuente</t>
  </si>
  <si>
    <t xml:space="preserve">Débito</t>
  </si>
  <si>
    <t xml:space="preserve">Crédito</t>
  </si>
  <si>
    <t xml:space="preserve">Billetera virtual</t>
  </si>
  <si>
    <t xml:space="preserve">Transferencia</t>
  </si>
  <si>
    <t xml:space="preserve">Venta total</t>
  </si>
  <si>
    <t xml:space="preserve">Gasto con la caja</t>
  </si>
  <si>
    <t xml:space="preserve">Concepto</t>
  </si>
  <si>
    <t xml:space="preserve">Retiro del dueño</t>
  </si>
  <si>
    <t xml:space="preserve">Fondo</t>
  </si>
  <si>
    <t xml:space="preserve">Efectivo esperado</t>
  </si>
  <si>
    <t xml:space="preserve">Efectivo contado</t>
  </si>
  <si>
    <t xml:space="preserve">Diferencia</t>
  </si>
  <si>
    <t xml:space="preserve">Caja</t>
  </si>
  <si>
    <t xml:space="preserve">Incompleta</t>
  </si>
  <si>
    <t xml:space="preserve">Excel</t>
  </si>
  <si>
    <t xml:space="preserve">No</t>
  </si>
  <si>
    <t xml:space="preserve">Envases</t>
  </si>
  <si>
    <t xml:space="preserve">Verdulería</t>
  </si>
  <si>
    <t xml:space="preserve">Limpieza</t>
  </si>
  <si>
    <t xml:space="preserve">Delivery</t>
  </si>
  <si>
    <t xml:space="preserve">Sí</t>
  </si>
  <si>
    <t xml:space="preserve">Marcos</t>
  </si>
  <si>
    <t xml:space="preserve">Formulario</t>
  </si>
  <si>
    <t xml:space="preserve">Lucía</t>
  </si>
  <si>
    <t xml:space="preserve">Sofía</t>
  </si>
  <si>
    <t xml:space="preserve">Diego</t>
  </si>
  <si>
    <t xml:space="preserve">Importe</t>
  </si>
  <si>
    <t xml:space="preserve">Medio</t>
  </si>
  <si>
    <t xml:space="preserve">Sin dato</t>
  </si>
  <si>
    <t xml:space="preserve">Cheque</t>
  </si>
  <si>
    <t xml:space="preserve">Hoja</t>
  </si>
  <si>
    <t xml:space="preserve">Fila</t>
  </si>
  <si>
    <t xml:space="preserve">Problema</t>
  </si>
  <si>
    <t xml:space="preserve">Lo que decía</t>
  </si>
  <si>
    <t xml:space="preserve">Qué se hizo</t>
  </si>
  <si>
    <t xml:space="preserve">Enero</t>
  </si>
  <si>
    <t xml:space="preserve">Billetera y transferencia juntas</t>
  </si>
  <si>
    <t xml:space="preserve">La columna de billetera virtual recién aparece en abril</t>
  </si>
  <si>
    <t xml:space="preserve">Todo queda como transferencia</t>
  </si>
  <si>
    <t xml:space="preserve">Fecha como texto</t>
  </si>
  <si>
    <t xml:space="preserve">Jue 2/1</t>
  </si>
  <si>
    <t xml:space="preserve">Convertida a fecha (año 2025)</t>
  </si>
  <si>
    <t xml:space="preserve">Monto como texto</t>
  </si>
  <si>
    <t xml:space="preserve">Débito: $ 35.160</t>
  </si>
  <si>
    <t xml:space="preserve">Convertido a número</t>
  </si>
  <si>
    <t xml:space="preserve">Transferencia: $ 19.770</t>
  </si>
  <si>
    <t xml:space="preserve">Local escrito distinto</t>
  </si>
  <si>
    <t xml:space="preserve">'Jardin'</t>
  </si>
  <si>
    <t xml:space="preserve">Unificado como Jardín</t>
  </si>
  <si>
    <t xml:space="preserve">Transferencia: $ 21.370</t>
  </si>
  <si>
    <t xml:space="preserve">Gastos: 12950.-</t>
  </si>
  <si>
    <t xml:space="preserve">Crédito: 10270.-</t>
  </si>
  <si>
    <t xml:space="preserve">Efectivo: 368.810,00</t>
  </si>
  <si>
    <t xml:space="preserve">Débito: $ 47.260</t>
  </si>
  <si>
    <t xml:space="preserve">Gastos: 3280.-</t>
  </si>
  <si>
    <t xml:space="preserve">05-01-25</t>
  </si>
  <si>
    <t xml:space="preserve">Efectivo: 646200.-</t>
  </si>
  <si>
    <t xml:space="preserve">5/1</t>
  </si>
  <si>
    <t xml:space="preserve">Efectivo: 511.510,00</t>
  </si>
  <si>
    <t xml:space="preserve">Débito: $ 57.830</t>
  </si>
  <si>
    <t xml:space="preserve">Retiro: $ 447.000</t>
  </si>
  <si>
    <t xml:space="preserve">Fila de total en medio de los datos</t>
  </si>
  <si>
    <t xml:space="preserve">TOTAL SEMANA</t>
  </si>
  <si>
    <t xml:space="preserve">Fila descartada</t>
  </si>
  <si>
    <t xml:space="preserve">'centro'</t>
  </si>
  <si>
    <t xml:space="preserve">Unificado como Centro</t>
  </si>
  <si>
    <t xml:space="preserve">Efectivo: $ 241.600</t>
  </si>
  <si>
    <t xml:space="preserve">7/1</t>
  </si>
  <si>
    <t xml:space="preserve">Efectivo: 191.030,00</t>
  </si>
  <si>
    <t xml:space="preserve">Crédito: $ 12.110</t>
  </si>
  <si>
    <t xml:space="preserve">8/1</t>
  </si>
  <si>
    <t xml:space="preserve">Crédito: $ 12.380</t>
  </si>
  <si>
    <t xml:space="preserve">'B° Jardín'</t>
  </si>
  <si>
    <t xml:space="preserve">Retiro: $ 139.000</t>
  </si>
  <si>
    <t xml:space="preserve">'CENTRO '</t>
  </si>
  <si>
    <t xml:space="preserve">Crédito: $ 15.140</t>
  </si>
  <si>
    <t xml:space="preserve">10/1</t>
  </si>
  <si>
    <t xml:space="preserve">'jardin'</t>
  </si>
  <si>
    <t xml:space="preserve">Débito: $ 38.210</t>
  </si>
  <si>
    <t xml:space="preserve">Efectivo: $ 627.890</t>
  </si>
  <si>
    <t xml:space="preserve">Débito: 89190.-</t>
  </si>
  <si>
    <t xml:space="preserve">Transferencia: 55850.-</t>
  </si>
  <si>
    <t xml:space="preserve">Crédito: $ 23.300</t>
  </si>
  <si>
    <t xml:space="preserve">Transferencia: $ 36.330</t>
  </si>
  <si>
    <t xml:space="preserve">Retiro: $ 438.000</t>
  </si>
  <si>
    <t xml:space="preserve">Crédito: $ 12.680</t>
  </si>
  <si>
    <t xml:space="preserve">Transferencia: 20.030,00</t>
  </si>
  <si>
    <t xml:space="preserve">Débito: $ 28.630</t>
  </si>
  <si>
    <t xml:space="preserve">Débito: $ 27.670</t>
  </si>
  <si>
    <t xml:space="preserve">Transferencia: 17760.-</t>
  </si>
  <si>
    <t xml:space="preserve">Jue 16/1</t>
  </si>
  <si>
    <t xml:space="preserve">Débito: $ 25.770</t>
  </si>
  <si>
    <t xml:space="preserve">Transferencia: $ 15.330</t>
  </si>
  <si>
    <t xml:space="preserve">Efectivo: 262370.-</t>
  </si>
  <si>
    <t xml:space="preserve">Débito: $ 32.630</t>
  </si>
  <si>
    <t xml:space="preserve">Transferencia: 19.820,00</t>
  </si>
  <si>
    <t xml:space="preserve">Débito: $ 25.380</t>
  </si>
  <si>
    <t xml:space="preserve">Crédito: $ 10.640</t>
  </si>
  <si>
    <t xml:space="preserve">Efectivo: 421.020,00</t>
  </si>
  <si>
    <t xml:space="preserve">Crédito: $ 18.660</t>
  </si>
  <si>
    <t xml:space="preserve">Efectivo: 310.530,00</t>
  </si>
  <si>
    <t xml:space="preserve">Débito: $ 40.050</t>
  </si>
  <si>
    <t xml:space="preserve">Efectivo: $ 686.850</t>
  </si>
  <si>
    <t xml:space="preserve">Débito: 88.470,00</t>
  </si>
  <si>
    <t xml:space="preserve">Transferencia: $ 57.080</t>
  </si>
  <si>
    <t xml:space="preserve">19/1</t>
  </si>
  <si>
    <t xml:space="preserve">Débito: $ 57.390</t>
  </si>
  <si>
    <t xml:space="preserve">Efectivo: $ 255.110</t>
  </si>
  <si>
    <t xml:space="preserve">Débito: $ 32.000</t>
  </si>
  <si>
    <t xml:space="preserve">Débito: $ 25.710</t>
  </si>
  <si>
    <t xml:space="preserve">Crédito: 11.030,00</t>
  </si>
  <si>
    <t xml:space="preserve">Efectivo: $ 277.260</t>
  </si>
  <si>
    <t xml:space="preserve">Retiro: 196.000,00</t>
  </si>
  <si>
    <t xml:space="preserve">Débito: 26.130,00</t>
  </si>
  <si>
    <t xml:space="preserve">Efectivo: 244130.-</t>
  </si>
  <si>
    <t xml:space="preserve">Débito: $ 30.160</t>
  </si>
  <si>
    <t xml:space="preserve">Débito: $ 25.910</t>
  </si>
  <si>
    <t xml:space="preserve">24-01-25</t>
  </si>
  <si>
    <t xml:space="preserve">Transferencia: 16410.-</t>
  </si>
  <si>
    <t xml:space="preserve">Efectivo: 414.940,00</t>
  </si>
  <si>
    <t xml:space="preserve">26/1</t>
  </si>
  <si>
    <t xml:space="preserve">Débito: 60.420,00</t>
  </si>
  <si>
    <t xml:space="preserve">Transferencia: 22790.-</t>
  </si>
  <si>
    <t xml:space="preserve">Retiro: 241.000,00</t>
  </si>
  <si>
    <t xml:space="preserve">Efectivo: $ 209.840</t>
  </si>
  <si>
    <t xml:space="preserve">Crédito: 12.380,00</t>
  </si>
  <si>
    <t xml:space="preserve">Transferencia: 19350.-</t>
  </si>
  <si>
    <t xml:space="preserve">Débito: $ 34.180</t>
  </si>
  <si>
    <t xml:space="preserve">29/1</t>
  </si>
  <si>
    <t xml:space="preserve">Crédito: 10.700,00</t>
  </si>
  <si>
    <t xml:space="preserve">Retiro: 133.000,00</t>
  </si>
  <si>
    <t xml:space="preserve">Efectivo: 174460.-</t>
  </si>
  <si>
    <t xml:space="preserve">Crédito: 10.780,00</t>
  </si>
  <si>
    <t xml:space="preserve">Transferencia: $ 16.690</t>
  </si>
  <si>
    <t xml:space="preserve">Transferencia: 20.480,00</t>
  </si>
  <si>
    <t xml:space="preserve">TOTAL MES</t>
  </si>
  <si>
    <t xml:space="preserve">Febrero</t>
  </si>
  <si>
    <t xml:space="preserve">Efectivo: 422.290,00</t>
  </si>
  <si>
    <t xml:space="preserve">Débito: 58.300,00</t>
  </si>
  <si>
    <t xml:space="preserve">Gastos: 15.520,00</t>
  </si>
  <si>
    <t xml:space="preserve">01-02-25</t>
  </si>
  <si>
    <t xml:space="preserve">Retiro: 420000.-</t>
  </si>
  <si>
    <t xml:space="preserve">Débito: 63.920,00</t>
  </si>
  <si>
    <t xml:space="preserve">Crédito: $ 29.320</t>
  </si>
  <si>
    <t xml:space="preserve">Retiro: $ 374.000</t>
  </si>
  <si>
    <t xml:space="preserve">Efectivo: 285.320,00</t>
  </si>
  <si>
    <t xml:space="preserve">Transferencia: $ 29.210</t>
  </si>
  <si>
    <t xml:space="preserve">Débito: 26120.-</t>
  </si>
  <si>
    <t xml:space="preserve">Transferencia: 16.230,00</t>
  </si>
  <si>
    <t xml:space="preserve">5/2</t>
  </si>
  <si>
    <t xml:space="preserve">Crédito: 12730.-</t>
  </si>
  <si>
    <t xml:space="preserve">Transferencia: 19150.-</t>
  </si>
  <si>
    <t xml:space="preserve">Efectivo: 252140.-</t>
  </si>
  <si>
    <t xml:space="preserve">Débito: 32.930,00</t>
  </si>
  <si>
    <t xml:space="preserve">Transferencia: 21.240,00</t>
  </si>
  <si>
    <t xml:space="preserve">6/2</t>
  </si>
  <si>
    <t xml:space="preserve">Efectivo: $ 220.580</t>
  </si>
  <si>
    <t xml:space="preserve">Gastos: 22540.-</t>
  </si>
  <si>
    <t xml:space="preserve">Efectivo: 406.770,00</t>
  </si>
  <si>
    <t xml:space="preserve">Crédito: $ 20.190</t>
  </si>
  <si>
    <t xml:space="preserve">Retiro: 261000.-</t>
  </si>
  <si>
    <t xml:space="preserve">Transferencia: $ 24.840</t>
  </si>
  <si>
    <t xml:space="preserve">Débito: $ 105.960</t>
  </si>
  <si>
    <t xml:space="preserve">Transferencia: 69860.-</t>
  </si>
  <si>
    <t xml:space="preserve">Efectivo: $ 544.280</t>
  </si>
  <si>
    <t xml:space="preserve">Crédito: 13.610,00</t>
  </si>
  <si>
    <t xml:space="preserve">Transferencia: $ 23.420</t>
  </si>
  <si>
    <t xml:space="preserve">Crédito: 10.400,00</t>
  </si>
  <si>
    <t xml:space="preserve">Efectivo: $ 250.340</t>
  </si>
  <si>
    <t xml:space="preserve">Mie 12/2</t>
  </si>
  <si>
    <t xml:space="preserve">Efectivo: $ 188.540</t>
  </si>
  <si>
    <t xml:space="preserve">Crédito: $ 9.520</t>
  </si>
  <si>
    <t xml:space="preserve">Transferencia: 16100.-</t>
  </si>
  <si>
    <t xml:space="preserve">Efectivo: $ 284.300</t>
  </si>
  <si>
    <t xml:space="preserve">Transferencia: 25.300,00</t>
  </si>
  <si>
    <t xml:space="preserve">Retiro: 209000.-</t>
  </si>
  <si>
    <t xml:space="preserve">13/2</t>
  </si>
  <si>
    <t xml:space="preserve">Crédito: $ 12.200</t>
  </si>
  <si>
    <t xml:space="preserve">Transferencia: 26100.-</t>
  </si>
  <si>
    <t xml:space="preserve">Vie 14/2</t>
  </si>
  <si>
    <t xml:space="preserve">Débito: 30.550,00</t>
  </si>
  <si>
    <t xml:space="preserve">Crédito: $ 12.160</t>
  </si>
  <si>
    <t xml:space="preserve">Efectivo: 423.320,00</t>
  </si>
  <si>
    <t xml:space="preserve">Débito: $ 36.020</t>
  </si>
  <si>
    <t xml:space="preserve">Gastos: $ 4.890</t>
  </si>
  <si>
    <t xml:space="preserve">16-02-25</t>
  </si>
  <si>
    <t xml:space="preserve">Crédito: $ 36.730</t>
  </si>
  <si>
    <t xml:space="preserve">Transferencia: $ 52.210</t>
  </si>
  <si>
    <t xml:space="preserve">Efectivo: 259270.-</t>
  </si>
  <si>
    <t xml:space="preserve">Gastos: $ 16.880</t>
  </si>
  <si>
    <t xml:space="preserve">Efectivo: $ 220.540</t>
  </si>
  <si>
    <t xml:space="preserve">19/2</t>
  </si>
  <si>
    <t xml:space="preserve">Débito: 38.320,00</t>
  </si>
  <si>
    <t xml:space="preserve">Débito: $ 28.360</t>
  </si>
  <si>
    <t xml:space="preserve">20-02-25</t>
  </si>
  <si>
    <t xml:space="preserve">Transferencia: 18.100,00</t>
  </si>
  <si>
    <t xml:space="preserve">21/2</t>
  </si>
  <si>
    <t xml:space="preserve">Efectivo: 233.050,00</t>
  </si>
  <si>
    <t xml:space="preserve">Transferencia: 24.170,00</t>
  </si>
  <si>
    <t xml:space="preserve">Efectivo: 448.380,00</t>
  </si>
  <si>
    <t xml:space="preserve">Crédito: $ 23.340</t>
  </si>
  <si>
    <t xml:space="preserve">Sab 22/2</t>
  </si>
  <si>
    <t xml:space="preserve">Crédito: 45.290,00</t>
  </si>
  <si>
    <t xml:space="preserve">Transferencia: 73.550,00</t>
  </si>
  <si>
    <t xml:space="preserve">Retiro: 573.000,00</t>
  </si>
  <si>
    <t xml:space="preserve">Dom 23/2</t>
  </si>
  <si>
    <t xml:space="preserve">Efectivo: 520.190,00</t>
  </si>
  <si>
    <t xml:space="preserve">Crédito: 29080.-</t>
  </si>
  <si>
    <t xml:space="preserve">Mar 25/2</t>
  </si>
  <si>
    <t xml:space="preserve">Efectivo: $ 257.450</t>
  </si>
  <si>
    <t xml:space="preserve">Transferencia: 27.380,00</t>
  </si>
  <si>
    <t xml:space="preserve">Retiro: $ 157.000</t>
  </si>
  <si>
    <t xml:space="preserve">Efectivo: $ 209.190</t>
  </si>
  <si>
    <t xml:space="preserve">Débito: 30.280,00</t>
  </si>
  <si>
    <t xml:space="preserve">Transferencia: 20.560,00</t>
  </si>
  <si>
    <t xml:space="preserve">Mie 26/2</t>
  </si>
  <si>
    <t xml:space="preserve">Débito: $ 42.570</t>
  </si>
  <si>
    <t xml:space="preserve">Transferencia: $ 29.450</t>
  </si>
  <si>
    <t xml:space="preserve">Débito: 25710.-</t>
  </si>
  <si>
    <t xml:space="preserve">Débito: $ 45.540</t>
  </si>
  <si>
    <t xml:space="preserve">Crédito: 16920.-</t>
  </si>
  <si>
    <t xml:space="preserve">Crédito: $ 13.510</t>
  </si>
  <si>
    <t xml:space="preserve">Marzo</t>
  </si>
  <si>
    <t xml:space="preserve">Crédito: 24.360,00</t>
  </si>
  <si>
    <t xml:space="preserve">Efectivo: $ 385.220</t>
  </si>
  <si>
    <t xml:space="preserve">Retiro: 213.000,00</t>
  </si>
  <si>
    <t xml:space="preserve">Dom 2/3</t>
  </si>
  <si>
    <t xml:space="preserve">Débito: $ 129.080</t>
  </si>
  <si>
    <t xml:space="preserve">Retiro: 691.000,00</t>
  </si>
  <si>
    <t xml:space="preserve">Crédito: 34.830,00</t>
  </si>
  <si>
    <t xml:space="preserve">Transferencia: 62.470,00</t>
  </si>
  <si>
    <t xml:space="preserve">Mar 4/3</t>
  </si>
  <si>
    <t xml:space="preserve">Efectivo: 339.280,00</t>
  </si>
  <si>
    <t xml:space="preserve">Crédito: 17.970,00</t>
  </si>
  <si>
    <t xml:space="preserve">Retiro: $ 250.000</t>
  </si>
  <si>
    <t xml:space="preserve">Débito: 40890.-</t>
  </si>
  <si>
    <t xml:space="preserve">Efectivo: $ 313.340</t>
  </si>
  <si>
    <t xml:space="preserve">Vie 7/3</t>
  </si>
  <si>
    <t xml:space="preserve">Débito: $ 39.130</t>
  </si>
  <si>
    <t xml:space="preserve">Efectivo: $ 516.580</t>
  </si>
  <si>
    <t xml:space="preserve">Débito: 73.310,00</t>
  </si>
  <si>
    <t xml:space="preserve">Crédito: 28600.-</t>
  </si>
  <si>
    <t xml:space="preserve">8/3</t>
  </si>
  <si>
    <t xml:space="preserve">Efectivo: $ 408.340</t>
  </si>
  <si>
    <t xml:space="preserve">Débito: 52590.-</t>
  </si>
  <si>
    <t xml:space="preserve">Transferencia: 36.390,00</t>
  </si>
  <si>
    <t xml:space="preserve">Transferencia: $ 63.200</t>
  </si>
  <si>
    <t xml:space="preserve">Efectivo: $ 312.200</t>
  </si>
  <si>
    <t xml:space="preserve">Débito: $ 46.960</t>
  </si>
  <si>
    <t xml:space="preserve">Crédito: $ 19.280</t>
  </si>
  <si>
    <t xml:space="preserve">Efectivo: 231050.-</t>
  </si>
  <si>
    <t xml:space="preserve">Débito: 30410.-</t>
  </si>
  <si>
    <t xml:space="preserve">Crédito: 13190.-</t>
  </si>
  <si>
    <t xml:space="preserve">Débito: $ 45.120</t>
  </si>
  <si>
    <t xml:space="preserve">Gastos: 3.040,00</t>
  </si>
  <si>
    <t xml:space="preserve">Débito: 54520.-</t>
  </si>
  <si>
    <t xml:space="preserve">Crédito: $ 20.500</t>
  </si>
  <si>
    <t xml:space="preserve">Transferencia: $ 36.090</t>
  </si>
  <si>
    <t xml:space="preserve">Vie 14/3</t>
  </si>
  <si>
    <t xml:space="preserve">Transferencia: $ 32.810</t>
  </si>
  <si>
    <t xml:space="preserve">Gastos: $ 4.630</t>
  </si>
  <si>
    <t xml:space="preserve">Débito: 60870.-</t>
  </si>
  <si>
    <t xml:space="preserve">Crédito: $ 24.890</t>
  </si>
  <si>
    <t xml:space="preserve">Transferencia: 34.980,00</t>
  </si>
  <si>
    <t xml:space="preserve">16-03-25</t>
  </si>
  <si>
    <t xml:space="preserve">Transferencia: $ 78.890</t>
  </si>
  <si>
    <t xml:space="preserve">Retiro: 514.000,00</t>
  </si>
  <si>
    <t xml:space="preserve">Efectivo: 653160.-</t>
  </si>
  <si>
    <t xml:space="preserve">Gastos: $ 4.520</t>
  </si>
  <si>
    <t xml:space="preserve">Efectivo: 250920.-</t>
  </si>
  <si>
    <t xml:space="preserve">Débito: $ 44.530</t>
  </si>
  <si>
    <t xml:space="preserve">Crédito: 18850.-</t>
  </si>
  <si>
    <t xml:space="preserve">Transferencia: 35100.-</t>
  </si>
  <si>
    <t xml:space="preserve">20/3</t>
  </si>
  <si>
    <t xml:space="preserve">Crédito: $ 15.630</t>
  </si>
  <si>
    <t xml:space="preserve">Retiro: $ 207.000</t>
  </si>
  <si>
    <t xml:space="preserve">Efectivo: 245.250,00</t>
  </si>
  <si>
    <t xml:space="preserve">Débito: $ 35.500</t>
  </si>
  <si>
    <t xml:space="preserve">Vie 21/3</t>
  </si>
  <si>
    <t xml:space="preserve">Efectivo: 310030.-</t>
  </si>
  <si>
    <t xml:space="preserve">Transferencia: 35.880,00</t>
  </si>
  <si>
    <t xml:space="preserve">Efectivo: 252.970,00</t>
  </si>
  <si>
    <t xml:space="preserve">Débito: $ 57.540</t>
  </si>
  <si>
    <t xml:space="preserve">Efectivo: 342.540,00</t>
  </si>
  <si>
    <t xml:space="preserve">Transferencia: $ 36.560</t>
  </si>
  <si>
    <t xml:space="preserve">Retiro: $ 216.000</t>
  </si>
  <si>
    <t xml:space="preserve">Efectivo: $ 730.030</t>
  </si>
  <si>
    <t xml:space="preserve">Crédito: 44.240,00</t>
  </si>
  <si>
    <t xml:space="preserve">Débito: $ 100.700</t>
  </si>
  <si>
    <t xml:space="preserve">Mar 25/3</t>
  </si>
  <si>
    <t xml:space="preserve">Efectivo: 213.950,00</t>
  </si>
  <si>
    <t xml:space="preserve">Crédito: 13910.-</t>
  </si>
  <si>
    <t xml:space="preserve">Transferencia: 24490.-</t>
  </si>
  <si>
    <t xml:space="preserve">26-03-25</t>
  </si>
  <si>
    <t xml:space="preserve">Crédito: 17.370,00</t>
  </si>
  <si>
    <t xml:space="preserve">Mie 26/3</t>
  </si>
  <si>
    <t xml:space="preserve">Efectivo: 234650.-</t>
  </si>
  <si>
    <t xml:space="preserve">Jue 27/3</t>
  </si>
  <si>
    <t xml:space="preserve">Efectivo: 309690.-</t>
  </si>
  <si>
    <t xml:space="preserve">Efectivo: $ 270.070</t>
  </si>
  <si>
    <t xml:space="preserve">Débito: $ 32.090</t>
  </si>
  <si>
    <t xml:space="preserve">Transferencia: $ 26.060</t>
  </si>
  <si>
    <t xml:space="preserve">Débito: $ 68.270</t>
  </si>
  <si>
    <t xml:space="preserve">Transferencia: $ 50.700</t>
  </si>
  <si>
    <t xml:space="preserve">Efectivo: $ 326.390</t>
  </si>
  <si>
    <t xml:space="preserve">Débito: $ 51.830</t>
  </si>
  <si>
    <t xml:space="preserve">Crédito: $ 20.280</t>
  </si>
  <si>
    <t xml:space="preserve">Transferencia: 36.400,00</t>
  </si>
  <si>
    <t xml:space="preserve">30/3</t>
  </si>
  <si>
    <t xml:space="preserve">Crédito: $ 49.220</t>
  </si>
  <si>
    <t xml:space="preserve">Transferencia: 92.260,00</t>
  </si>
  <si>
    <t xml:space="preserve">Abril</t>
  </si>
  <si>
    <t xml:space="preserve">Mar 1/4</t>
  </si>
  <si>
    <t xml:space="preserve">Efectivo: 288310.-</t>
  </si>
  <si>
    <t xml:space="preserve">Débito: 45090.-</t>
  </si>
  <si>
    <t xml:space="preserve">Crédito: $ 17.900</t>
  </si>
  <si>
    <t xml:space="preserve">Efectivo: 220.080,00</t>
  </si>
  <si>
    <t xml:space="preserve">Gastos: 23.660,00</t>
  </si>
  <si>
    <t xml:space="preserve">Retiro: $ 172.000</t>
  </si>
  <si>
    <t xml:space="preserve">Crédito: $ 20.340</t>
  </si>
  <si>
    <t xml:space="preserve">Billetera virtual: $ 24.300</t>
  </si>
  <si>
    <t xml:space="preserve">Mie 2/4</t>
  </si>
  <si>
    <t xml:space="preserve">Débito: $ 34.450</t>
  </si>
  <si>
    <t xml:space="preserve">Crédito: $ 14.810</t>
  </si>
  <si>
    <t xml:space="preserve">5/4</t>
  </si>
  <si>
    <t xml:space="preserve">Crédito: $ 25.950</t>
  </si>
  <si>
    <t xml:space="preserve">Billetera virtual: 36110.-</t>
  </si>
  <si>
    <t xml:space="preserve">Retiro: $ 300.000</t>
  </si>
  <si>
    <t xml:space="preserve">Efectivo: 561.720,00</t>
  </si>
  <si>
    <t xml:space="preserve">Billetera virtual: $ 27.560</t>
  </si>
  <si>
    <t xml:space="preserve">9/4</t>
  </si>
  <si>
    <t xml:space="preserve">Débito: 42560.-</t>
  </si>
  <si>
    <t xml:space="preserve">Billetera virtual: 22.290,00</t>
  </si>
  <si>
    <t xml:space="preserve">Crédito: $ 14.770</t>
  </si>
  <si>
    <t xml:space="preserve">Vie 11/4</t>
  </si>
  <si>
    <t xml:space="preserve">Débito: 33.180,00</t>
  </si>
  <si>
    <t xml:space="preserve">Billetera virtual: $ 17.630</t>
  </si>
  <si>
    <t xml:space="preserve">Efectivo: 492170.-</t>
  </si>
  <si>
    <t xml:space="preserve">Billetera virtual: $ 35.320</t>
  </si>
  <si>
    <t xml:space="preserve">Transferencia: $ 18.480</t>
  </si>
  <si>
    <t xml:space="preserve">12-04-25</t>
  </si>
  <si>
    <t xml:space="preserve">Débito: 49.060,00</t>
  </si>
  <si>
    <t xml:space="preserve">Crédito: $ 23.890</t>
  </si>
  <si>
    <t xml:space="preserve">Débito: 104530.-</t>
  </si>
  <si>
    <t xml:space="preserve">Crédito: $ 38.810</t>
  </si>
  <si>
    <t xml:space="preserve">Transferencia: $ 26.470</t>
  </si>
  <si>
    <t xml:space="preserve">Efectivo: 562440.-</t>
  </si>
  <si>
    <t xml:space="preserve">Débito: $ 82.950</t>
  </si>
  <si>
    <t xml:space="preserve">15/4</t>
  </si>
  <si>
    <t xml:space="preserve">Billetera virtual: $ 26.560</t>
  </si>
  <si>
    <t xml:space="preserve">Billetera virtual: 23320.-</t>
  </si>
  <si>
    <t xml:space="preserve">Mie 16/4</t>
  </si>
  <si>
    <t xml:space="preserve">Efectivo: 328.460,00</t>
  </si>
  <si>
    <t xml:space="preserve">Crédito: 22.360,00</t>
  </si>
  <si>
    <t xml:space="preserve">Billetera virtual: $ 21.760</t>
  </si>
  <si>
    <t xml:space="preserve">Transferencia: 10.400,00</t>
  </si>
  <si>
    <t xml:space="preserve">17-04-25</t>
  </si>
  <si>
    <t xml:space="preserve">Débito: $ 46.370</t>
  </si>
  <si>
    <t xml:space="preserve">Crédito: $ 19.580</t>
  </si>
  <si>
    <t xml:space="preserve">17/4</t>
  </si>
  <si>
    <t xml:space="preserve">Débito: 36.420,00</t>
  </si>
  <si>
    <t xml:space="preserve">Billetera virtual: $ 25.470</t>
  </si>
  <si>
    <t xml:space="preserve">Vie 18/4</t>
  </si>
  <si>
    <t xml:space="preserve">Débito: 32820.-</t>
  </si>
  <si>
    <t xml:space="preserve">Billetera virtual: 18820.-</t>
  </si>
  <si>
    <t xml:space="preserve">Gastos: $ 10.050</t>
  </si>
  <si>
    <t xml:space="preserve">Billetera virtual: 61980.-</t>
  </si>
  <si>
    <t xml:space="preserve">Billetera virtual: $ 53.130</t>
  </si>
  <si>
    <t xml:space="preserve">Transferencia: 9.680,00</t>
  </si>
  <si>
    <t xml:space="preserve">Débito: 29.830,00</t>
  </si>
  <si>
    <t xml:space="preserve">Billetera virtual: 19.340,00</t>
  </si>
  <si>
    <t xml:space="preserve">Crédito: 22380.-</t>
  </si>
  <si>
    <t xml:space="preserve">Gastos: $ 6.260</t>
  </si>
  <si>
    <t xml:space="preserve">23-04-25</t>
  </si>
  <si>
    <t xml:space="preserve">Débito: $ 37.970</t>
  </si>
  <si>
    <t xml:space="preserve">Transferencia: 8360.-</t>
  </si>
  <si>
    <t xml:space="preserve">24/4</t>
  </si>
  <si>
    <t xml:space="preserve">Transferencia: 11.030,00</t>
  </si>
  <si>
    <t xml:space="preserve">Efectivo: 248.980,00</t>
  </si>
  <si>
    <t xml:space="preserve">Billetera virtual: 23.040,00</t>
  </si>
  <si>
    <t xml:space="preserve">Débito: $ 51.480</t>
  </si>
  <si>
    <t xml:space="preserve">Débito: 84.400,00</t>
  </si>
  <si>
    <t xml:space="preserve">Crédito: 36.880,00</t>
  </si>
  <si>
    <t xml:space="preserve">Billetera virtual: 51160.-</t>
  </si>
  <si>
    <t xml:space="preserve">Gastos: $ 25.680</t>
  </si>
  <si>
    <t xml:space="preserve">Efectivo: 409190.-</t>
  </si>
  <si>
    <t xml:space="preserve">27-04-25</t>
  </si>
  <si>
    <t xml:space="preserve">Efectivo: $ 733.250</t>
  </si>
  <si>
    <t xml:space="preserve">Débito: 113.750,00</t>
  </si>
  <si>
    <t xml:space="preserve">Retiro: $ 553.000</t>
  </si>
  <si>
    <t xml:space="preserve">Efectivo: 538.860,00</t>
  </si>
  <si>
    <t xml:space="preserve">Crédito: 35.270,00</t>
  </si>
  <si>
    <t xml:space="preserve">Billetera virtual: 45470.-</t>
  </si>
  <si>
    <t xml:space="preserve">Débito: 46280.-</t>
  </si>
  <si>
    <t xml:space="preserve">Crédito: $ 22.500</t>
  </si>
  <si>
    <t xml:space="preserve">Crédito: 14.400,00</t>
  </si>
  <si>
    <t xml:space="preserve">Crédito: $ 19.520</t>
  </si>
  <si>
    <t xml:space="preserve">Mayo</t>
  </si>
  <si>
    <t xml:space="preserve">Transferencia: $ 12.400</t>
  </si>
  <si>
    <t xml:space="preserve">Débito: $ 32.070</t>
  </si>
  <si>
    <t xml:space="preserve">2/5</t>
  </si>
  <si>
    <t xml:space="preserve">Crédito: 23.910,00</t>
  </si>
  <si>
    <t xml:space="preserve">Billetera virtual: 32140.-</t>
  </si>
  <si>
    <t xml:space="preserve">Gastos: $ 2.820</t>
  </si>
  <si>
    <t xml:space="preserve">Débito: 83.160,00</t>
  </si>
  <si>
    <t xml:space="preserve">Crédito: $ 31.300</t>
  </si>
  <si>
    <t xml:space="preserve">Billetera virtual: 45810.-</t>
  </si>
  <si>
    <t xml:space="preserve">Gastos: 23.100,00</t>
  </si>
  <si>
    <t xml:space="preserve">Monto ilegible</t>
  </si>
  <si>
    <t xml:space="preserve">Efectivo: ver cuaderno</t>
  </si>
  <si>
    <t xml:space="preserve">Queda sin dato; se marca la fila</t>
  </si>
  <si>
    <t xml:space="preserve">Débito: $ 65.140</t>
  </si>
  <si>
    <t xml:space="preserve">Crédito: $ 27.630</t>
  </si>
  <si>
    <t xml:space="preserve">Transferencia: $ 13.870</t>
  </si>
  <si>
    <t xml:space="preserve">Retiro: 217.000,00</t>
  </si>
  <si>
    <t xml:space="preserve">04-05-25</t>
  </si>
  <si>
    <t xml:space="preserve">Efectivo: $ 772.670</t>
  </si>
  <si>
    <t xml:space="preserve">Débito: 94.870,00</t>
  </si>
  <si>
    <t xml:space="preserve">Efectivo: 297500.-</t>
  </si>
  <si>
    <t xml:space="preserve">Débito: $ 51.430</t>
  </si>
  <si>
    <t xml:space="preserve">Efectivo: $ 211.370</t>
  </si>
  <si>
    <t xml:space="preserve">7/5</t>
  </si>
  <si>
    <t xml:space="preserve">Efectivo: $ 285.040</t>
  </si>
  <si>
    <t xml:space="preserve">Transferencia: 11490.-</t>
  </si>
  <si>
    <t xml:space="preserve">Efectivo: 239.970,00</t>
  </si>
  <si>
    <t xml:space="preserve">Crédito: $ 17.490</t>
  </si>
  <si>
    <t xml:space="preserve">Transferencia: 9.180,00</t>
  </si>
  <si>
    <t xml:space="preserve">Efectivo: $ 314.500</t>
  </si>
  <si>
    <t xml:space="preserve">Jue 8/5</t>
  </si>
  <si>
    <t xml:space="preserve">Débito: 38.870,00</t>
  </si>
  <si>
    <t xml:space="preserve">Billetera virtual: 22.830,00</t>
  </si>
  <si>
    <t xml:space="preserve">9/5</t>
  </si>
  <si>
    <t xml:space="preserve">Efectivo: $ 238.030</t>
  </si>
  <si>
    <t xml:space="preserve">Transferencia: 9770.-</t>
  </si>
  <si>
    <t xml:space="preserve">Sab 10/5</t>
  </si>
  <si>
    <t xml:space="preserve">Crédito: 38510.-</t>
  </si>
  <si>
    <t xml:space="preserve">Gastos: 6.720,00</t>
  </si>
  <si>
    <t xml:space="preserve">Efectivo: $ 370.630</t>
  </si>
  <si>
    <t xml:space="preserve">Billetera virtual: $ 39.320</t>
  </si>
  <si>
    <t xml:space="preserve">Transferencia: $ 15.090</t>
  </si>
  <si>
    <t xml:space="preserve">Dom 11/5</t>
  </si>
  <si>
    <t xml:space="preserve">Débito: $ 126.910</t>
  </si>
  <si>
    <t xml:space="preserve">Gastos: $ 20.640</t>
  </si>
  <si>
    <t xml:space="preserve">Transferencia: 22.590,00</t>
  </si>
  <si>
    <t xml:space="preserve">Retiro: $ 393.000</t>
  </si>
  <si>
    <t xml:space="preserve">13/5</t>
  </si>
  <si>
    <t xml:space="preserve">Efectivo: 277.930,00</t>
  </si>
  <si>
    <t xml:space="preserve">Transferencia: $ 10.120</t>
  </si>
  <si>
    <t xml:space="preserve">Billetera virtual: $ 20.970</t>
  </si>
  <si>
    <t xml:space="preserve">Transferencia: 9.580,00</t>
  </si>
  <si>
    <t xml:space="preserve">Efectivo: $ 326.080</t>
  </si>
  <si>
    <t xml:space="preserve">Crédito: 24.110,00</t>
  </si>
  <si>
    <t xml:space="preserve">Efectivo: 216.340,00</t>
  </si>
  <si>
    <t xml:space="preserve">Crédito: 15000.-</t>
  </si>
  <si>
    <t xml:space="preserve">Efectivo: 311.000,00</t>
  </si>
  <si>
    <t xml:space="preserve">Crédito: $ 13.940</t>
  </si>
  <si>
    <t xml:space="preserve">Billetera virtual: $ 30.670</t>
  </si>
  <si>
    <t xml:space="preserve">Transferencia: $ 11.620</t>
  </si>
  <si>
    <t xml:space="preserve">16/5</t>
  </si>
  <si>
    <t xml:space="preserve">Transferencia: $ 8.820</t>
  </si>
  <si>
    <t xml:space="preserve">Billetera virtual: 48910.-</t>
  </si>
  <si>
    <t xml:space="preserve">Retiro: 392.000,00</t>
  </si>
  <si>
    <t xml:space="preserve">Sab 17/5</t>
  </si>
  <si>
    <t xml:space="preserve">Efectivo: 403.020,00</t>
  </si>
  <si>
    <t xml:space="preserve">Crédito: $ 28.660</t>
  </si>
  <si>
    <t xml:space="preserve">Retiro: 242.000,00</t>
  </si>
  <si>
    <t xml:space="preserve">Billetera virtual: $ 73.440</t>
  </si>
  <si>
    <t xml:space="preserve">Transferencia: 29500.-</t>
  </si>
  <si>
    <t xml:space="preserve">Retiro: $ 459.000</t>
  </si>
  <si>
    <t xml:space="preserve">Efectivo: 581.020,00</t>
  </si>
  <si>
    <t xml:space="preserve">Débito: $ 87.670</t>
  </si>
  <si>
    <t xml:space="preserve">Billetera virtual: $ 54.800</t>
  </si>
  <si>
    <t xml:space="preserve">Crédito: $ 21.740</t>
  </si>
  <si>
    <t xml:space="preserve">Billetera virtual: 26920.-</t>
  </si>
  <si>
    <t xml:space="preserve">Transferencia: $ 13.560</t>
  </si>
  <si>
    <t xml:space="preserve">Efectivo: 231.380,00</t>
  </si>
  <si>
    <t xml:space="preserve">Billetera virtual: 19870.-</t>
  </si>
  <si>
    <t xml:space="preserve">21/5</t>
  </si>
  <si>
    <t xml:space="preserve">Efectivo: $ 343.090</t>
  </si>
  <si>
    <t xml:space="preserve">Billetera virtual: $ 28.120</t>
  </si>
  <si>
    <t xml:space="preserve">Débito: 36070.-</t>
  </si>
  <si>
    <t xml:space="preserve">Crédito: $ 16.580</t>
  </si>
  <si>
    <t xml:space="preserve">Billetera virtual: $ 22.500</t>
  </si>
  <si>
    <t xml:space="preserve">Gastos: $ 3.820</t>
  </si>
  <si>
    <t xml:space="preserve">Retiro: $ 140.000</t>
  </si>
  <si>
    <t xml:space="preserve">22/5</t>
  </si>
  <si>
    <t xml:space="preserve">Débito: 41.090,00</t>
  </si>
  <si>
    <t xml:space="preserve">Transferencia: $ 11.780</t>
  </si>
  <si>
    <t xml:space="preserve">Crédito: 15220.-</t>
  </si>
  <si>
    <t xml:space="preserve">Débito: $ 54.960</t>
  </si>
  <si>
    <t xml:space="preserve">23-05-25</t>
  </si>
  <si>
    <t xml:space="preserve">Crédito: 17300.-</t>
  </si>
  <si>
    <t xml:space="preserve">Sab 24/5</t>
  </si>
  <si>
    <t xml:space="preserve">Transferencia: 21460.-</t>
  </si>
  <si>
    <t xml:space="preserve">Gastos: 3.740,00</t>
  </si>
  <si>
    <t xml:space="preserve">Crédito: $ 26.120</t>
  </si>
  <si>
    <t xml:space="preserve">Transferencia: 13280.-</t>
  </si>
  <si>
    <t xml:space="preserve">Billetera virtual: $ 79.040</t>
  </si>
  <si>
    <t xml:space="preserve">Crédito: 40540.-</t>
  </si>
  <si>
    <t xml:space="preserve">Billetera virtual: $ 62.110</t>
  </si>
  <si>
    <t xml:space="preserve">Billetera virtual: $ 22.650</t>
  </si>
  <si>
    <t xml:space="preserve">Transferencia: 11160.-</t>
  </si>
  <si>
    <t xml:space="preserve">27/5</t>
  </si>
  <si>
    <t xml:space="preserve">Crédito: 14.720,00</t>
  </si>
  <si>
    <t xml:space="preserve">Transferencia: $ 9.880</t>
  </si>
  <si>
    <t xml:space="preserve">Débito: 47.830,00</t>
  </si>
  <si>
    <t xml:space="preserve">Efectivo: 231500.-</t>
  </si>
  <si>
    <t xml:space="preserve">Billetera virtual: 25.040,00</t>
  </si>
  <si>
    <t xml:space="preserve">Débito: 54990.-</t>
  </si>
  <si>
    <t xml:space="preserve">Crédito: 22.140,00</t>
  </si>
  <si>
    <t xml:space="preserve">Efectivo: $ 249.630</t>
  </si>
  <si>
    <t xml:space="preserve">Crédito: 16.630,00</t>
  </si>
  <si>
    <t xml:space="preserve">Vie 30/5</t>
  </si>
  <si>
    <t xml:space="preserve">Efectivo: 231.780,00</t>
  </si>
  <si>
    <t xml:space="preserve">Débito: 37490.-</t>
  </si>
  <si>
    <t xml:space="preserve">Transferencia: $ 11.000</t>
  </si>
  <si>
    <t xml:space="preserve">Sab 31/5</t>
  </si>
  <si>
    <t xml:space="preserve">Efectivo: 496380.-</t>
  </si>
  <si>
    <t xml:space="preserve">Débito: 92.640,00</t>
  </si>
  <si>
    <t xml:space="preserve">Transferencia: 17.280,00</t>
  </si>
  <si>
    <t xml:space="preserve">Fila duplicada</t>
  </si>
  <si>
    <t xml:space="preserve">14/01 Centro</t>
  </si>
  <si>
    <t xml:space="preserve">Se dejó una sola</t>
  </si>
  <si>
    <t xml:space="preserve">04/02 Centro</t>
  </si>
  <si>
    <t xml:space="preserve">15/03 Centro</t>
  </si>
  <si>
    <t xml:space="preserve">16/03 Centro</t>
  </si>
  <si>
    <t xml:space="preserve">29/03 Jardín</t>
  </si>
  <si>
    <t xml:space="preserve">30/03 Centro</t>
  </si>
  <si>
    <t xml:space="preserve">22/04 Jardín</t>
  </si>
  <si>
    <t xml:space="preserve">13/05 Jardín</t>
  </si>
  <si>
    <t xml:space="preserve">Fiado</t>
  </si>
  <si>
    <t xml:space="preserve">Cliente escrito distinto</t>
  </si>
  <si>
    <t xml:space="preserve">DOÑA ROSA</t>
  </si>
  <si>
    <t xml:space="preserve">Unificado como Almacén Doña Rosa</t>
  </si>
  <si>
    <t xml:space="preserve">EL TRÉBOL</t>
  </si>
  <si>
    <t xml:space="preserve">Unificado como Almacén El Trébol</t>
  </si>
  <si>
    <t xml:space="preserve">SABORES</t>
  </si>
  <si>
    <t xml:space="preserve">Unificado como Rotisería Sabores</t>
  </si>
  <si>
    <t xml:space="preserve">Pedido: 40.600,00</t>
  </si>
  <si>
    <t xml:space="preserve">Vie 3/1</t>
  </si>
  <si>
    <t xml:space="preserve">EL FOGÓN</t>
  </si>
  <si>
    <t xml:space="preserve">Unificado como Parrilla El Fogón</t>
  </si>
  <si>
    <t xml:space="preserve">Pedido: 53.900,00</t>
  </si>
  <si>
    <t xml:space="preserve">Don Pepe</t>
  </si>
  <si>
    <t xml:space="preserve">Unificado como Rotisería Don Pepe</t>
  </si>
  <si>
    <t xml:space="preserve">4/1</t>
  </si>
  <si>
    <t xml:space="preserve">DEL PUERTO</t>
  </si>
  <si>
    <t xml:space="preserve">Unificado como Cantina del Puerto</t>
  </si>
  <si>
    <t xml:space="preserve">Escolar Norte</t>
  </si>
  <si>
    <t xml:space="preserve">Unificado como Comedor Escolar Norte</t>
  </si>
  <si>
    <t xml:space="preserve">Pedido: 126300.-</t>
  </si>
  <si>
    <t xml:space="preserve">del centro</t>
  </si>
  <si>
    <t xml:space="preserve">Unificado como Bar del Centro</t>
  </si>
  <si>
    <t xml:space="preserve">Pedido: $ 72.500</t>
  </si>
  <si>
    <t xml:space="preserve">Doña Rosa</t>
  </si>
  <si>
    <t xml:space="preserve">Rotis. Don Pepe</t>
  </si>
  <si>
    <t xml:space="preserve">10-01-25</t>
  </si>
  <si>
    <t xml:space="preserve">los abuelos</t>
  </si>
  <si>
    <t xml:space="preserve">Unificado como Bodegón Los Abuelos</t>
  </si>
  <si>
    <t xml:space="preserve">Pedido: $ 109.700</t>
  </si>
  <si>
    <t xml:space="preserve">Rest. Tierra Nuestra</t>
  </si>
  <si>
    <t xml:space="preserve">Unificado como Restaurante Tierra Nuestra</t>
  </si>
  <si>
    <t xml:space="preserve">11-01-25</t>
  </si>
  <si>
    <t xml:space="preserve">La Esquina</t>
  </si>
  <si>
    <t xml:space="preserve">Unificado como Restaurante La Esquina</t>
  </si>
  <si>
    <t xml:space="preserve">Pedido: $ 59.300</t>
  </si>
  <si>
    <t xml:space="preserve">Pedido: $ 123.200</t>
  </si>
  <si>
    <t xml:space="preserve">12/1</t>
  </si>
  <si>
    <t xml:space="preserve">El Trébol</t>
  </si>
  <si>
    <t xml:space="preserve">Pedido: $ 97.000</t>
  </si>
  <si>
    <t xml:space="preserve">los pinos</t>
  </si>
  <si>
    <t xml:space="preserve">Unificado como Almacén Los Pinos</t>
  </si>
  <si>
    <t xml:space="preserve">doña rosa</t>
  </si>
  <si>
    <t xml:space="preserve">Pedido: $ 122.200</t>
  </si>
  <si>
    <t xml:space="preserve">15/1</t>
  </si>
  <si>
    <t xml:space="preserve">del Centro</t>
  </si>
  <si>
    <t xml:space="preserve">Tierra Nuestra</t>
  </si>
  <si>
    <t xml:space="preserve">17-01-25</t>
  </si>
  <si>
    <t xml:space="preserve">il forno</t>
  </si>
  <si>
    <t xml:space="preserve">Unificado como Restaurante Il Forno</t>
  </si>
  <si>
    <t xml:space="preserve">Alm. El Trébol</t>
  </si>
  <si>
    <t xml:space="preserve">Sab 18/1</t>
  </si>
  <si>
    <t xml:space="preserve">Rest. La Esquina</t>
  </si>
  <si>
    <t xml:space="preserve">Pedido: 107.500,00</t>
  </si>
  <si>
    <t xml:space="preserve">Pagó: 384300.-</t>
  </si>
  <si>
    <t xml:space="preserve">Pedido: 74100.-</t>
  </si>
  <si>
    <t xml:space="preserve">21/1</t>
  </si>
  <si>
    <t xml:space="preserve">Pedido: 54500.-</t>
  </si>
  <si>
    <t xml:space="preserve">21-01-25</t>
  </si>
  <si>
    <t xml:space="preserve">Mar 21/1</t>
  </si>
  <si>
    <t xml:space="preserve">Pedido: $ 154.900</t>
  </si>
  <si>
    <t xml:space="preserve">22/1</t>
  </si>
  <si>
    <t xml:space="preserve">Alm. Doña Rosa</t>
  </si>
  <si>
    <t xml:space="preserve">Pedido: 129.400,00</t>
  </si>
  <si>
    <t xml:space="preserve">LOS ABUELOS</t>
  </si>
  <si>
    <t xml:space="preserve">Pedido: 106200.-</t>
  </si>
  <si>
    <t xml:space="preserve">24/1</t>
  </si>
  <si>
    <t xml:space="preserve">IL FORNO</t>
  </si>
  <si>
    <t xml:space="preserve">Vie 24/1</t>
  </si>
  <si>
    <t xml:space="preserve">Pagó: $ 260.100</t>
  </si>
  <si>
    <t xml:space="preserve">LA ESQUINA</t>
  </si>
  <si>
    <t xml:space="preserve">Pedido: $ 102.500</t>
  </si>
  <si>
    <t xml:space="preserve">Pedido: 65600.-</t>
  </si>
  <si>
    <t xml:space="preserve">25/1</t>
  </si>
  <si>
    <t xml:space="preserve">Pedido: 56600.-</t>
  </si>
  <si>
    <t xml:space="preserve">Sab 25/1</t>
  </si>
  <si>
    <t xml:space="preserve">Sabores</t>
  </si>
  <si>
    <t xml:space="preserve">Pagó: $ 131.600</t>
  </si>
  <si>
    <t xml:space="preserve">27-01-25</t>
  </si>
  <si>
    <t xml:space="preserve">28/1</t>
  </si>
  <si>
    <t xml:space="preserve">escolar norte</t>
  </si>
  <si>
    <t xml:space="preserve">Pedido: 48400.-</t>
  </si>
  <si>
    <t xml:space="preserve">30/1</t>
  </si>
  <si>
    <t xml:space="preserve">30-01-25</t>
  </si>
  <si>
    <t xml:space="preserve">Los Pinos</t>
  </si>
  <si>
    <t xml:space="preserve">tierra nuestra</t>
  </si>
  <si>
    <t xml:space="preserve">Pagó: 515900.-</t>
  </si>
  <si>
    <t xml:space="preserve">31-01-25</t>
  </si>
  <si>
    <t xml:space="preserve">Pedido: $ 139.700</t>
  </si>
  <si>
    <t xml:space="preserve">1/2</t>
  </si>
  <si>
    <t xml:space="preserve">Mie 5/2</t>
  </si>
  <si>
    <t xml:space="preserve">Pedido: $ 140.100</t>
  </si>
  <si>
    <t xml:space="preserve">Pedido: 52400.-</t>
  </si>
  <si>
    <t xml:space="preserve">Pedido: $ 103.900</t>
  </si>
  <si>
    <t xml:space="preserve">Pedido: 161.500,00</t>
  </si>
  <si>
    <t xml:space="preserve">TIERRA NUESTRA</t>
  </si>
  <si>
    <t xml:space="preserve">Il Forno</t>
  </si>
  <si>
    <t xml:space="preserve">7/2</t>
  </si>
  <si>
    <t xml:space="preserve">8/2</t>
  </si>
  <si>
    <t xml:space="preserve">Pedido: 92800.-</t>
  </si>
  <si>
    <t xml:space="preserve">Pedido: $ 82.800</t>
  </si>
  <si>
    <t xml:space="preserve">12-02-25</t>
  </si>
  <si>
    <t xml:space="preserve">DEL CENTRO</t>
  </si>
  <si>
    <t xml:space="preserve">DON PEPE</t>
  </si>
  <si>
    <t xml:space="preserve">14/2</t>
  </si>
  <si>
    <t xml:space="preserve">El Fogón</t>
  </si>
  <si>
    <t xml:space="preserve">Pagó: $ 181.600</t>
  </si>
  <si>
    <t xml:space="preserve">Pedido: 34500.-</t>
  </si>
  <si>
    <t xml:space="preserve">Pedido: 56900.-</t>
  </si>
  <si>
    <t xml:space="preserve">el trébol</t>
  </si>
  <si>
    <t xml:space="preserve">Pedido: $ 63.700</t>
  </si>
  <si>
    <t xml:space="preserve">LOS PINOS</t>
  </si>
  <si>
    <t xml:space="preserve">Pedido: $ 114.200</t>
  </si>
  <si>
    <t xml:space="preserve">Rotis. Sabores</t>
  </si>
  <si>
    <t xml:space="preserve">Pagó: 5.200,00</t>
  </si>
  <si>
    <t xml:space="preserve">mediterráneo</t>
  </si>
  <si>
    <t xml:space="preserve">Unificado como Restaurante Mediterráneo</t>
  </si>
  <si>
    <t xml:space="preserve">Pagó: 446.300,00</t>
  </si>
  <si>
    <t xml:space="preserve">Pedido: 80100.-</t>
  </si>
  <si>
    <t xml:space="preserve">Pagó: 181.600,00</t>
  </si>
  <si>
    <t xml:space="preserve">Los Abuelos</t>
  </si>
  <si>
    <t xml:space="preserve">Pedido: 73.800,00</t>
  </si>
  <si>
    <t xml:space="preserve">Pedido: 50400.-</t>
  </si>
  <si>
    <t xml:space="preserve">21-02-25</t>
  </si>
  <si>
    <t xml:space="preserve">el fogón</t>
  </si>
  <si>
    <t xml:space="preserve">Pedido: 65.400,00</t>
  </si>
  <si>
    <t xml:space="preserve">22-02-25</t>
  </si>
  <si>
    <t xml:space="preserve">23/2</t>
  </si>
  <si>
    <t xml:space="preserve">Pedido: $ 141.200</t>
  </si>
  <si>
    <t xml:space="preserve">24/2</t>
  </si>
  <si>
    <t xml:space="preserve">26-02-25</t>
  </si>
  <si>
    <t xml:space="preserve">Pedido: $ 47.100</t>
  </si>
  <si>
    <t xml:space="preserve">del puerto</t>
  </si>
  <si>
    <t xml:space="preserve">Pedido: $ 164.100</t>
  </si>
  <si>
    <t xml:space="preserve">Jue 27/2</t>
  </si>
  <si>
    <t xml:space="preserve">27-02-25</t>
  </si>
  <si>
    <t xml:space="preserve">28-02-25</t>
  </si>
  <si>
    <t xml:space="preserve">02-03-25</t>
  </si>
  <si>
    <t xml:space="preserve">Pedido: $ 177.800</t>
  </si>
  <si>
    <t xml:space="preserve">Pedido: $ 51.200</t>
  </si>
  <si>
    <t xml:space="preserve">6/3</t>
  </si>
  <si>
    <t xml:space="preserve">Pagó: 276000.-</t>
  </si>
  <si>
    <t xml:space="preserve">del Puerto</t>
  </si>
  <si>
    <t xml:space="preserve">Pedido: 187400.-</t>
  </si>
  <si>
    <t xml:space="preserve">07-03-25</t>
  </si>
  <si>
    <t xml:space="preserve">Pedido: 89.000,00</t>
  </si>
  <si>
    <t xml:space="preserve">09-03-25</t>
  </si>
  <si>
    <t xml:space="preserve">la esquina</t>
  </si>
  <si>
    <t xml:space="preserve">Pedido: 127.600,00</t>
  </si>
  <si>
    <t xml:space="preserve">Rest. Mediterráneo</t>
  </si>
  <si>
    <t xml:space="preserve">Pedido: $ 73.700</t>
  </si>
  <si>
    <t xml:space="preserve">13/3</t>
  </si>
  <si>
    <t xml:space="preserve">13-03-25</t>
  </si>
  <si>
    <t xml:space="preserve">Pedido: 59000.-</t>
  </si>
  <si>
    <t xml:space="preserve">Pedido: $ 62.300</t>
  </si>
  <si>
    <t xml:space="preserve">Pagó: $ 164.400</t>
  </si>
  <si>
    <t xml:space="preserve">Pedido: $ 36.000</t>
  </si>
  <si>
    <t xml:space="preserve">Dom 16/3</t>
  </si>
  <si>
    <t xml:space="preserve">Pagó: $ 445.800</t>
  </si>
  <si>
    <t xml:space="preserve">Pagó: 374800.-</t>
  </si>
  <si>
    <t xml:space="preserve">16/3</t>
  </si>
  <si>
    <t xml:space="preserve">Pedido: $ 89.600</t>
  </si>
  <si>
    <t xml:space="preserve">Pedido: $ 90.100</t>
  </si>
  <si>
    <t xml:space="preserve">Pedido: 167.200,00</t>
  </si>
  <si>
    <t xml:space="preserve">19-03-25</t>
  </si>
  <si>
    <t xml:space="preserve">Pedido: $ 42.500</t>
  </si>
  <si>
    <t xml:space="preserve">Jue 20/3</t>
  </si>
  <si>
    <t xml:space="preserve">Pedido: $ 121.100</t>
  </si>
  <si>
    <t xml:space="preserve">21-03-25</t>
  </si>
  <si>
    <t xml:space="preserve">Pedido: 84.600,00</t>
  </si>
  <si>
    <t xml:space="preserve">22-03-25</t>
  </si>
  <si>
    <t xml:space="preserve">Sab 22/3</t>
  </si>
  <si>
    <t xml:space="preserve">23-03-25</t>
  </si>
  <si>
    <t xml:space="preserve">Dom 23/3</t>
  </si>
  <si>
    <t xml:space="preserve">Pedido: 137100.-</t>
  </si>
  <si>
    <t xml:space="preserve">Pagó: 695.400,00</t>
  </si>
  <si>
    <t xml:space="preserve">27-03-25</t>
  </si>
  <si>
    <t xml:space="preserve">Mediterráneo</t>
  </si>
  <si>
    <t xml:space="preserve">Pedido: $ 54.300</t>
  </si>
  <si>
    <t xml:space="preserve">27/3</t>
  </si>
  <si>
    <t xml:space="preserve">Sab 29/3</t>
  </si>
  <si>
    <t xml:space="preserve">Pedido: 109000.-</t>
  </si>
  <si>
    <t xml:space="preserve">Pedido: 103.400,00</t>
  </si>
  <si>
    <t xml:space="preserve">Pedido: 138.300,00</t>
  </si>
  <si>
    <t xml:space="preserve">Vie 4/4</t>
  </si>
  <si>
    <t xml:space="preserve">Pagó: 130.600,00</t>
  </si>
  <si>
    <t xml:space="preserve">05-04-25</t>
  </si>
  <si>
    <t xml:space="preserve">Pedido: 44600.-</t>
  </si>
  <si>
    <t xml:space="preserve">Pedido: 77.700,00</t>
  </si>
  <si>
    <t xml:space="preserve">06-04-25</t>
  </si>
  <si>
    <t xml:space="preserve">6/4</t>
  </si>
  <si>
    <t xml:space="preserve">Pedido: 42.200,00</t>
  </si>
  <si>
    <t xml:space="preserve">Mar 8/4</t>
  </si>
  <si>
    <t xml:space="preserve">Pedido: $ 63.800</t>
  </si>
  <si>
    <t xml:space="preserve">11-04-25</t>
  </si>
  <si>
    <t xml:space="preserve">Sab 12/4</t>
  </si>
  <si>
    <t xml:space="preserve">12/4</t>
  </si>
  <si>
    <t xml:space="preserve">15-04-25</t>
  </si>
  <si>
    <t xml:space="preserve">Pedido: 99.700,00</t>
  </si>
  <si>
    <t xml:space="preserve">16/4</t>
  </si>
  <si>
    <t xml:space="preserve">Pagó: 135.200,00</t>
  </si>
  <si>
    <t xml:space="preserve">Pagó: $ 469.500</t>
  </si>
  <si>
    <t xml:space="preserve">Rest. Il Forno</t>
  </si>
  <si>
    <t xml:space="preserve">Pedido: 48.500,00</t>
  </si>
  <si>
    <t xml:space="preserve">Pedido: $ 152.300</t>
  </si>
  <si>
    <t xml:space="preserve">19/4</t>
  </si>
  <si>
    <t xml:space="preserve">Pedido: $ 54.600</t>
  </si>
  <si>
    <t xml:space="preserve">Pagó: $ 209.300</t>
  </si>
  <si>
    <t xml:space="preserve">22/4</t>
  </si>
  <si>
    <t xml:space="preserve">Pedido: $ 142.600</t>
  </si>
  <si>
    <t xml:space="preserve">23/4</t>
  </si>
  <si>
    <t xml:space="preserve">Pedido: 71400.-</t>
  </si>
  <si>
    <t xml:space="preserve">Pagó: 147.500,00</t>
  </si>
  <si>
    <t xml:space="preserve">25/4</t>
  </si>
  <si>
    <t xml:space="preserve">26-04-25</t>
  </si>
  <si>
    <t xml:space="preserve">sabores</t>
  </si>
  <si>
    <t xml:space="preserve">Pedido: $ 61.000</t>
  </si>
  <si>
    <t xml:space="preserve">Pedido: 94.800,00</t>
  </si>
  <si>
    <t xml:space="preserve">Pedido: $ 76.500</t>
  </si>
  <si>
    <t xml:space="preserve">Pedido: $ 90.000</t>
  </si>
  <si>
    <t xml:space="preserve">Sab 3/5</t>
  </si>
  <si>
    <t xml:space="preserve">Pedido: $ 64.700</t>
  </si>
  <si>
    <t xml:space="preserve">4/5</t>
  </si>
  <si>
    <t xml:space="preserve">6/5</t>
  </si>
  <si>
    <t xml:space="preserve">Pagó: 91000.-</t>
  </si>
  <si>
    <t xml:space="preserve">Mar 6/5</t>
  </si>
  <si>
    <t xml:space="preserve">Pedido: 183000.-</t>
  </si>
  <si>
    <t xml:space="preserve">Pagó: 418.100,00</t>
  </si>
  <si>
    <t xml:space="preserve">Pedido: 97.500,00</t>
  </si>
  <si>
    <t xml:space="preserve">Pagó: 501.400,00</t>
  </si>
  <si>
    <t xml:space="preserve">Pedido: $ 107.500</t>
  </si>
  <si>
    <t xml:space="preserve">10/5</t>
  </si>
  <si>
    <t xml:space="preserve">Pedido: $ 52.400</t>
  </si>
  <si>
    <t xml:space="preserve">Pedido: 81.600,00</t>
  </si>
  <si>
    <t xml:space="preserve">14/5</t>
  </si>
  <si>
    <t xml:space="preserve">Vie 16/5</t>
  </si>
  <si>
    <t xml:space="preserve">17-05-25</t>
  </si>
  <si>
    <t xml:space="preserve">18-05-25</t>
  </si>
  <si>
    <t xml:space="preserve">Pedido: $ 93.000</t>
  </si>
  <si>
    <t xml:space="preserve">Dom 18/5</t>
  </si>
  <si>
    <t xml:space="preserve">Pedido: 63.700,00</t>
  </si>
  <si>
    <t xml:space="preserve">Mar 20/5</t>
  </si>
  <si>
    <t xml:space="preserve">Pedido: 89900.-</t>
  </si>
  <si>
    <t xml:space="preserve">22-05-25</t>
  </si>
  <si>
    <t xml:space="preserve">Pedido: 80.400,00</t>
  </si>
  <si>
    <t xml:space="preserve">Pedido: $ 112.100</t>
  </si>
  <si>
    <t xml:space="preserve">don pepe</t>
  </si>
  <si>
    <t xml:space="preserve">Pedido: 52.100,00</t>
  </si>
  <si>
    <t xml:space="preserve">Pedido: 98.100,00</t>
  </si>
  <si>
    <t xml:space="preserve">Dom 25/5</t>
  </si>
  <si>
    <t xml:space="preserve">Lun 26/5</t>
  </si>
  <si>
    <t xml:space="preserve">28-05-25</t>
  </si>
  <si>
    <t xml:space="preserve">28/5</t>
  </si>
  <si>
    <t xml:space="preserve">30/5</t>
  </si>
  <si>
    <t xml:space="preserve">Pedido: $ 102.400</t>
  </si>
  <si>
    <t xml:space="preserve">Pedido: $ 120.300</t>
  </si>
  <si>
    <t xml:space="preserve">31/5</t>
  </si>
  <si>
    <t xml:space="preserve">Pedido: 76900.-</t>
  </si>
  <si>
    <t xml:space="preserve">Saldo mal arrastrado</t>
  </si>
  <si>
    <t xml:space="preserve">Rotisería Don Pepe 09/01: diferencia de −$ 29.000</t>
  </si>
  <si>
    <t xml:space="preserve">Se recalcula el saldo desde los movimientos</t>
  </si>
  <si>
    <t xml:space="preserve">Restaurante Il Forno 10/01: diferencia de +$ 40.000</t>
  </si>
  <si>
    <t xml:space="preserve">Restaurante Tierra Nuestra 10/01: diferencia de −$ 37.000</t>
  </si>
  <si>
    <t xml:space="preserve">Restaurante La Esquina 11/01: diferencia de −$ 21.000</t>
  </si>
  <si>
    <t xml:space="preserve">Comedor Escolar Norte 27/02: diferencia de +$ 25.000</t>
  </si>
  <si>
    <t xml:space="preserve">Rotisería Don Pepe 06/03: diferencia de −$ 54.000</t>
  </si>
  <si>
    <t xml:space="preserve">Parrilla El Fogón 07/03: diferencia de −$ 37.000</t>
  </si>
  <si>
    <t xml:space="preserve">Restaurante Tierra Nuestra 19/03: diferencia de −$ 63.000</t>
  </si>
  <si>
    <t xml:space="preserve">Parrilla El Fogón 29/03: diferencia de −$ 26.000</t>
  </si>
  <si>
    <t xml:space="preserve">Bodegón Los Abuelos 12/04: diferencia de −$ 6.000</t>
  </si>
  <si>
    <t xml:space="preserve">Almacén Los Pinos 22/05: diferencia de −$ 27.000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</si>
</sst>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$ &quot;#,##0;&quot;-$ &quot;#,##0;\-"/>
    <numFmt numFmtId="167" formatCode="0.0%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7C2D1B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C2D1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D9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7C2D1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D9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C2D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  <c r="B11" s="4" t="n">
        <v>45939</v>
      </c>
    </row>
    <row r="12" customFormat="false" ht="15" hidden="false" customHeight="false" outlineLevel="0" collapsed="false">
      <c r="A12" s="2" t="s">
        <v>9</v>
      </c>
      <c r="B12" s="5" t="n">
        <v>500</v>
      </c>
    </row>
    <row r="13" customFormat="false" ht="15" hidden="false" customHeight="false" outlineLevel="0" collapsed="false">
      <c r="A13" s="2" t="s">
        <v>10</v>
      </c>
      <c r="B13" s="6" t="n">
        <v>0.015</v>
      </c>
    </row>
    <row r="14" customFormat="false" ht="15" hidden="false" customHeight="false" outlineLevel="0" collapsed="false">
      <c r="A14" s="2" t="s">
        <v>11</v>
      </c>
      <c r="B14" s="6" t="n">
        <v>0.035</v>
      </c>
    </row>
    <row r="15" customFormat="false" ht="15" hidden="false" customHeight="false" outlineLevel="0" collapsed="false">
      <c r="A15" s="2" t="s">
        <v>12</v>
      </c>
      <c r="B15" s="6" t="n">
        <v>0.008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13"/>
  </cols>
  <sheetData>
    <row r="1" customFormat="false" ht="31.5" hidden="false" customHeight="true" outlineLevel="0" collapsed="false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</row>
    <row r="2" customFormat="false" ht="15" hidden="false" customHeight="false" outlineLevel="0" collapsed="false">
      <c r="A2" s="8" t="s">
        <v>26</v>
      </c>
      <c r="B2" s="8" t="s">
        <v>27</v>
      </c>
      <c r="C2" s="9" t="n">
        <f aca="false">SUMIFS(Cierres!$J$2:$J$478,Cierres!$A$2:$A$478,"&gt;="&amp;DATE(2025,1,1),Cierres!$A$2:$A$478,"&lt;="&amp;EOMONTH(DATE(2025,1,1),0),Cierres!$B$2:$B$478,$B2)</f>
        <v>11314270</v>
      </c>
      <c r="D2" s="9" t="n">
        <f aca="false">SUMIFS(Cierres!$E$2:$E$478,Cierres!$A$2:$A$478,"&gt;="&amp;DATE(2025,1,1),Cierres!$A$2:$A$478,"&lt;="&amp;EOMONTH(DATE(2025,1,1),0),Cierres!$B$2:$B$478,$B2)</f>
        <v>8964820</v>
      </c>
      <c r="E2" s="10" t="n">
        <f aca="false">IF(C2=0,"",D2/C2)</f>
        <v>0.792346302501178</v>
      </c>
      <c r="F2" s="11" t="n">
        <f aca="false">SUMIFS(Cierres!$K$2:$K$478,Cierres!$A$2:$A$478,"&gt;="&amp;DATE(2025,1,1),Cierres!$A$2:$A$478,"&lt;="&amp;EOMONTH(DATE(2025,1,1),0),Cierres!$B$2:$B$478,$B2)</f>
        <v>0</v>
      </c>
      <c r="G2" s="9" t="str">
        <f aca="false">IF(F2=0,"",SUMIFS(Cierres!$J$2:$J$478,Cierres!$A$2:$A$478,"&gt;="&amp;DATE(2025,1,1),Cierres!$A$2:$A$478,"&lt;="&amp;EOMONTH(DATE(2025,1,1),0),Cierres!$B$2:$B$478,$B2,Cierres!$K$2:$K$478,"&gt;0")/F2)</f>
        <v/>
      </c>
      <c r="H2" s="9" t="n">
        <f aca="false">ROUND(SUMIFS(Cierres!$F$2:$F$478,Cierres!$A$2:$A$478,"&gt;="&amp;DATE(2025,1,1),Cierres!$A$2:$A$478,"&lt;="&amp;EOMONTH(DATE(2025,1,1),0),Cierres!$B$2:$B$478,$B2)*Léeme!$B$13+SUMIFS(Cierres!$G$2:$G$478,Cierres!$A$2:$A$478,"&gt;="&amp;DATE(2025,1,1),Cierres!$A$2:$A$478,"&lt;="&amp;EOMONTH(DATE(2025,1,1),0),Cierres!$B$2:$B$478,$B2)*Léeme!$B$14+SUMIFS(Cierres!$H$2:$H$478,Cierres!$A$2:$A$478,"&gt;="&amp;DATE(2025,1,1),Cierres!$A$2:$A$478,"&lt;="&amp;EOMONTH(DATE(2025,1,1),0),Cierres!$B$2:$B$478,$B2)*Léeme!$B$15,0)</f>
        <v>33430</v>
      </c>
      <c r="I2" s="11" t="n">
        <f aca="false">COUNTIFS(Cierres!$A$2:$A$478,"&gt;="&amp;DATE(2025,1,1),Cierres!$A$2:$A$478,"&lt;="&amp;EOMONTH(DATE(2025,1,1),0),Cierres!$B$2:$B$478,$B2,Cierres!$Q$2:$Q$478,"&lt;&gt;")</f>
        <v>0</v>
      </c>
      <c r="J2" s="11" t="n">
        <f aca="false">COUNTIFS(Cierres!$A$2:$A$478,"&gt;="&amp;DATE(2025,1,1),Cierres!$A$2:$A$478,"&lt;="&amp;EOMONTH(DATE(2025,1,1),0),Cierres!$B$2:$B$478,$B2,Cierres!$S$2:$S$478,"Cuadra")</f>
        <v>0</v>
      </c>
      <c r="K2" s="10" t="str">
        <f aca="false">IF(I2=0,"",J2/I2)</f>
        <v/>
      </c>
      <c r="L2" s="9" t="n">
        <f aca="false">-SUMIFS(Cierres!$R$2:$R$478,Cierres!$A$2:$A$478,"&gt;="&amp;DATE(2025,1,1),Cierres!$A$2:$A$478,"&lt;="&amp;EOMONTH(DATE(2025,1,1),0),Cierres!$B$2:$B$478,$B2,Cierres!$R$2:$R$478,"&lt;"&amp;-Léeme!$B$12)</f>
        <v>-0</v>
      </c>
    </row>
    <row r="3" customFormat="false" ht="15" hidden="false" customHeight="false" outlineLevel="0" collapsed="false">
      <c r="A3" s="8" t="s">
        <v>26</v>
      </c>
      <c r="B3" s="8" t="s">
        <v>28</v>
      </c>
      <c r="C3" s="9" t="n">
        <f aca="false">SUMIFS(Cierres!$J$2:$J$478,Cierres!$A$2:$A$478,"&gt;="&amp;DATE(2025,1,1),Cierres!$A$2:$A$478,"&lt;="&amp;EOMONTH(DATE(2025,1,1),0),Cierres!$B$2:$B$478,$B3)</f>
        <v>8599530</v>
      </c>
      <c r="D3" s="9" t="n">
        <f aca="false">SUMIFS(Cierres!$E$2:$E$478,Cierres!$A$2:$A$478,"&gt;="&amp;DATE(2025,1,1),Cierres!$A$2:$A$478,"&lt;="&amp;EOMONTH(DATE(2025,1,1),0),Cierres!$B$2:$B$478,$B3)</f>
        <v>6836090</v>
      </c>
      <c r="E3" s="10" t="n">
        <f aca="false">IF(C3=0,"",D3/C3)</f>
        <v>0.794937630312354</v>
      </c>
      <c r="F3" s="11" t="n">
        <f aca="false">SUMIFS(Cierres!$K$2:$K$478,Cierres!$A$2:$A$478,"&gt;="&amp;DATE(2025,1,1),Cierres!$A$2:$A$478,"&lt;="&amp;EOMONTH(DATE(2025,1,1),0),Cierres!$B$2:$B$478,$B3)</f>
        <v>0</v>
      </c>
      <c r="G3" s="9" t="str">
        <f aca="false">IF(F3=0,"",SUMIFS(Cierres!$J$2:$J$478,Cierres!$A$2:$A$478,"&gt;="&amp;DATE(2025,1,1),Cierres!$A$2:$A$478,"&lt;="&amp;EOMONTH(DATE(2025,1,1),0),Cierres!$B$2:$B$478,$B3,Cierres!$K$2:$K$478,"&gt;0")/F3)</f>
        <v/>
      </c>
      <c r="H3" s="9" t="n">
        <f aca="false">ROUND(SUMIFS(Cierres!$F$2:$F$478,Cierres!$A$2:$A$478,"&gt;="&amp;DATE(2025,1,1),Cierres!$A$2:$A$478,"&lt;="&amp;EOMONTH(DATE(2025,1,1),0),Cierres!$B$2:$B$478,$B3)*Léeme!$B$13+SUMIFS(Cierres!$G$2:$G$478,Cierres!$A$2:$A$478,"&gt;="&amp;DATE(2025,1,1),Cierres!$A$2:$A$478,"&lt;="&amp;EOMONTH(DATE(2025,1,1),0),Cierres!$B$2:$B$478,$B3)*Léeme!$B$14+SUMIFS(Cierres!$H$2:$H$478,Cierres!$A$2:$A$478,"&gt;="&amp;DATE(2025,1,1),Cierres!$A$2:$A$478,"&lt;="&amp;EOMONTH(DATE(2025,1,1),0),Cierres!$B$2:$B$478,$B3)*Léeme!$B$15,0)</f>
        <v>25183</v>
      </c>
      <c r="I3" s="11" t="n">
        <f aca="false">COUNTIFS(Cierres!$A$2:$A$478,"&gt;="&amp;DATE(2025,1,1),Cierres!$A$2:$A$478,"&lt;="&amp;EOMONTH(DATE(2025,1,1),0),Cierres!$B$2:$B$478,$B3,Cierres!$Q$2:$Q$478,"&lt;&gt;")</f>
        <v>0</v>
      </c>
      <c r="J3" s="11" t="n">
        <f aca="false">COUNTIFS(Cierres!$A$2:$A$478,"&gt;="&amp;DATE(2025,1,1),Cierres!$A$2:$A$478,"&lt;="&amp;EOMONTH(DATE(2025,1,1),0),Cierres!$B$2:$B$478,$B3,Cierres!$S$2:$S$478,"Cuadra")</f>
        <v>0</v>
      </c>
      <c r="K3" s="10" t="str">
        <f aca="false">IF(I3=0,"",J3/I3)</f>
        <v/>
      </c>
      <c r="L3" s="9" t="n">
        <f aca="false">-SUMIFS(Cierres!$R$2:$R$478,Cierres!$A$2:$A$478,"&gt;="&amp;DATE(2025,1,1),Cierres!$A$2:$A$478,"&lt;="&amp;EOMONTH(DATE(2025,1,1),0),Cierres!$B$2:$B$478,$B3,Cierres!$R$2:$R$478,"&lt;"&amp;-Léeme!$B$12)</f>
        <v>-0</v>
      </c>
    </row>
    <row r="4" customFormat="false" ht="15" hidden="false" customHeight="false" outlineLevel="0" collapsed="false">
      <c r="A4" s="8" t="s">
        <v>29</v>
      </c>
      <c r="B4" s="8" t="s">
        <v>27</v>
      </c>
      <c r="C4" s="9" t="n">
        <f aca="false">SUMIFS(Cierres!$J$2:$J$478,Cierres!$A$2:$A$478,"&gt;="&amp;DATE(2025,2,1),Cierres!$A$2:$A$478,"&lt;="&amp;EOMONTH(DATE(2025,2,1),0),Cierres!$B$2:$B$478,$B4)</f>
        <v>11221780</v>
      </c>
      <c r="D4" s="9" t="n">
        <f aca="false">SUMIFS(Cierres!$E$2:$E$478,Cierres!$A$2:$A$478,"&gt;="&amp;DATE(2025,2,1),Cierres!$A$2:$A$478,"&lt;="&amp;EOMONTH(DATE(2025,2,1),0),Cierres!$B$2:$B$478,$B4)</f>
        <v>8696910</v>
      </c>
      <c r="E4" s="10" t="n">
        <f aca="false">IF(C4=0,"",D4/C4)</f>
        <v>0.775002717928885</v>
      </c>
      <c r="F4" s="11" t="n">
        <f aca="false">SUMIFS(Cierres!$K$2:$K$478,Cierres!$A$2:$A$478,"&gt;="&amp;DATE(2025,2,1),Cierres!$A$2:$A$478,"&lt;="&amp;EOMONTH(DATE(2025,2,1),0),Cierres!$B$2:$B$478,$B4)</f>
        <v>0</v>
      </c>
      <c r="G4" s="9" t="str">
        <f aca="false">IF(F4=0,"",SUMIFS(Cierres!$J$2:$J$478,Cierres!$A$2:$A$478,"&gt;="&amp;DATE(2025,2,1),Cierres!$A$2:$A$478,"&lt;="&amp;EOMONTH(DATE(2025,2,1),0),Cierres!$B$2:$B$478,$B4,Cierres!$K$2:$K$478,"&gt;0")/F4)</f>
        <v/>
      </c>
      <c r="H4" s="9" t="n">
        <f aca="false">ROUND(SUMIFS(Cierres!$F$2:$F$478,Cierres!$A$2:$A$478,"&gt;="&amp;DATE(2025,2,1),Cierres!$A$2:$A$478,"&lt;="&amp;EOMONTH(DATE(2025,2,1),0),Cierres!$B$2:$B$478,$B4)*Léeme!$B$13+SUMIFS(Cierres!$G$2:$G$478,Cierres!$A$2:$A$478,"&gt;="&amp;DATE(2025,2,1),Cierres!$A$2:$A$478,"&lt;="&amp;EOMONTH(DATE(2025,2,1),0),Cierres!$B$2:$B$478,$B4)*Léeme!$B$14+SUMIFS(Cierres!$H$2:$H$478,Cierres!$A$2:$A$478,"&gt;="&amp;DATE(2025,2,1),Cierres!$A$2:$A$478,"&lt;="&amp;EOMONTH(DATE(2025,2,1),0),Cierres!$B$2:$B$478,$B4)*Léeme!$B$15,0)</f>
        <v>35168</v>
      </c>
      <c r="I4" s="11" t="n">
        <f aca="false">COUNTIFS(Cierres!$A$2:$A$478,"&gt;="&amp;DATE(2025,2,1),Cierres!$A$2:$A$478,"&lt;="&amp;EOMONTH(DATE(2025,2,1),0),Cierres!$B$2:$B$478,$B4,Cierres!$Q$2:$Q$478,"&lt;&gt;")</f>
        <v>0</v>
      </c>
      <c r="J4" s="11" t="n">
        <f aca="false">COUNTIFS(Cierres!$A$2:$A$478,"&gt;="&amp;DATE(2025,2,1),Cierres!$A$2:$A$478,"&lt;="&amp;EOMONTH(DATE(2025,2,1),0),Cierres!$B$2:$B$478,$B4,Cierres!$S$2:$S$478,"Cuadra")</f>
        <v>0</v>
      </c>
      <c r="K4" s="10" t="str">
        <f aca="false">IF(I4=0,"",J4/I4)</f>
        <v/>
      </c>
      <c r="L4" s="9" t="n">
        <f aca="false">-SUMIFS(Cierres!$R$2:$R$478,Cierres!$A$2:$A$478,"&gt;="&amp;DATE(2025,2,1),Cierres!$A$2:$A$478,"&lt;="&amp;EOMONTH(DATE(2025,2,1),0),Cierres!$B$2:$B$478,$B4,Cierres!$R$2:$R$478,"&lt;"&amp;-Léeme!$B$12)</f>
        <v>-0</v>
      </c>
    </row>
    <row r="5" customFormat="false" ht="15" hidden="false" customHeight="false" outlineLevel="0" collapsed="false">
      <c r="A5" s="8" t="s">
        <v>29</v>
      </c>
      <c r="B5" s="8" t="s">
        <v>28</v>
      </c>
      <c r="C5" s="9" t="n">
        <f aca="false">SUMIFS(Cierres!$J$2:$J$478,Cierres!$A$2:$A$478,"&gt;="&amp;DATE(2025,2,1),Cierres!$A$2:$A$478,"&lt;="&amp;EOMONTH(DATE(2025,2,1),0),Cierres!$B$2:$B$478,$B5)</f>
        <v>8567530</v>
      </c>
      <c r="D5" s="9" t="n">
        <f aca="false">SUMIFS(Cierres!$E$2:$E$478,Cierres!$A$2:$A$478,"&gt;="&amp;DATE(2025,2,1),Cierres!$A$2:$A$478,"&lt;="&amp;EOMONTH(DATE(2025,2,1),0),Cierres!$B$2:$B$478,$B5)</f>
        <v>6665180</v>
      </c>
      <c r="E5" s="10" t="n">
        <f aca="false">IF(C5=0,"",D5/C5)</f>
        <v>0.7779581746431</v>
      </c>
      <c r="F5" s="11" t="n">
        <f aca="false">SUMIFS(Cierres!$K$2:$K$478,Cierres!$A$2:$A$478,"&gt;="&amp;DATE(2025,2,1),Cierres!$A$2:$A$478,"&lt;="&amp;EOMONTH(DATE(2025,2,1),0),Cierres!$B$2:$B$478,$B5)</f>
        <v>0</v>
      </c>
      <c r="G5" s="9" t="str">
        <f aca="false">IF(F5=0,"",SUMIFS(Cierres!$J$2:$J$478,Cierres!$A$2:$A$478,"&gt;="&amp;DATE(2025,2,1),Cierres!$A$2:$A$478,"&lt;="&amp;EOMONTH(DATE(2025,2,1),0),Cierres!$B$2:$B$478,$B5,Cierres!$K$2:$K$478,"&gt;0")/F5)</f>
        <v/>
      </c>
      <c r="H5" s="9" t="n">
        <f aca="false">ROUND(SUMIFS(Cierres!$F$2:$F$478,Cierres!$A$2:$A$478,"&gt;="&amp;DATE(2025,2,1),Cierres!$A$2:$A$478,"&lt;="&amp;EOMONTH(DATE(2025,2,1),0),Cierres!$B$2:$B$478,$B5)*Léeme!$B$13+SUMIFS(Cierres!$G$2:$G$478,Cierres!$A$2:$A$478,"&gt;="&amp;DATE(2025,2,1),Cierres!$A$2:$A$478,"&lt;="&amp;EOMONTH(DATE(2025,2,1),0),Cierres!$B$2:$B$478,$B5)*Léeme!$B$14+SUMIFS(Cierres!$H$2:$H$478,Cierres!$A$2:$A$478,"&gt;="&amp;DATE(2025,2,1),Cierres!$A$2:$A$478,"&lt;="&amp;EOMONTH(DATE(2025,2,1),0),Cierres!$B$2:$B$478,$B5)*Léeme!$B$15,0)</f>
        <v>26805</v>
      </c>
      <c r="I5" s="11" t="n">
        <f aca="false">COUNTIFS(Cierres!$A$2:$A$478,"&gt;="&amp;DATE(2025,2,1),Cierres!$A$2:$A$478,"&lt;="&amp;EOMONTH(DATE(2025,2,1),0),Cierres!$B$2:$B$478,$B5,Cierres!$Q$2:$Q$478,"&lt;&gt;")</f>
        <v>0</v>
      </c>
      <c r="J5" s="11" t="n">
        <f aca="false">COUNTIFS(Cierres!$A$2:$A$478,"&gt;="&amp;DATE(2025,2,1),Cierres!$A$2:$A$478,"&lt;="&amp;EOMONTH(DATE(2025,2,1),0),Cierres!$B$2:$B$478,$B5,Cierres!$S$2:$S$478,"Cuadra")</f>
        <v>0</v>
      </c>
      <c r="K5" s="10" t="str">
        <f aca="false">IF(I5=0,"",J5/I5)</f>
        <v/>
      </c>
      <c r="L5" s="9" t="n">
        <f aca="false">-SUMIFS(Cierres!$R$2:$R$478,Cierres!$A$2:$A$478,"&gt;="&amp;DATE(2025,2,1),Cierres!$A$2:$A$478,"&lt;="&amp;EOMONTH(DATE(2025,2,1),0),Cierres!$B$2:$B$478,$B5,Cierres!$R$2:$R$478,"&lt;"&amp;-Léeme!$B$12)</f>
        <v>-0</v>
      </c>
    </row>
    <row r="6" customFormat="false" ht="15" hidden="false" customHeight="false" outlineLevel="0" collapsed="false">
      <c r="A6" s="8" t="s">
        <v>30</v>
      </c>
      <c r="B6" s="8" t="s">
        <v>27</v>
      </c>
      <c r="C6" s="9" t="n">
        <f aca="false">SUMIFS(Cierres!$J$2:$J$478,Cierres!$A$2:$A$478,"&gt;="&amp;DATE(2025,3,1),Cierres!$A$2:$A$478,"&lt;="&amp;EOMONTH(DATE(2025,3,1),0),Cierres!$B$2:$B$478,$B6)</f>
        <v>14655980</v>
      </c>
      <c r="D6" s="9" t="n">
        <f aca="false">SUMIFS(Cierres!$E$2:$E$478,Cierres!$A$2:$A$478,"&gt;="&amp;DATE(2025,3,1),Cierres!$A$2:$A$478,"&lt;="&amp;EOMONTH(DATE(2025,3,1),0),Cierres!$B$2:$B$478,$B6)</f>
        <v>11256980</v>
      </c>
      <c r="E6" s="10" t="n">
        <f aca="false">IF(C6=0,"",D6/C6)</f>
        <v>0.768081015394399</v>
      </c>
      <c r="F6" s="11" t="n">
        <f aca="false">SUMIFS(Cierres!$K$2:$K$478,Cierres!$A$2:$A$478,"&gt;="&amp;DATE(2025,3,1),Cierres!$A$2:$A$478,"&lt;="&amp;EOMONTH(DATE(2025,3,1),0),Cierres!$B$2:$B$478,$B6)</f>
        <v>0</v>
      </c>
      <c r="G6" s="9" t="str">
        <f aca="false">IF(F6=0,"",SUMIFS(Cierres!$J$2:$J$478,Cierres!$A$2:$A$478,"&gt;="&amp;DATE(2025,3,1),Cierres!$A$2:$A$478,"&lt;="&amp;EOMONTH(DATE(2025,3,1),0),Cierres!$B$2:$B$478,$B6,Cierres!$K$2:$K$478,"&gt;0")/F6)</f>
        <v/>
      </c>
      <c r="H6" s="9" t="n">
        <f aca="false">ROUND(SUMIFS(Cierres!$F$2:$F$478,Cierres!$A$2:$A$478,"&gt;="&amp;DATE(2025,3,1),Cierres!$A$2:$A$478,"&lt;="&amp;EOMONTH(DATE(2025,3,1),0),Cierres!$B$2:$B$478,$B6)*Léeme!$B$13+SUMIFS(Cierres!$G$2:$G$478,Cierres!$A$2:$A$478,"&gt;="&amp;DATE(2025,3,1),Cierres!$A$2:$A$478,"&lt;="&amp;EOMONTH(DATE(2025,3,1),0),Cierres!$B$2:$B$478,$B6)*Léeme!$B$14+SUMIFS(Cierres!$H$2:$H$478,Cierres!$A$2:$A$478,"&gt;="&amp;DATE(2025,3,1),Cierres!$A$2:$A$478,"&lt;="&amp;EOMONTH(DATE(2025,3,1),0),Cierres!$B$2:$B$478,$B6)*Léeme!$B$15,0)</f>
        <v>46400</v>
      </c>
      <c r="I6" s="11" t="n">
        <f aca="false">COUNTIFS(Cierres!$A$2:$A$478,"&gt;="&amp;DATE(2025,3,1),Cierres!$A$2:$A$478,"&lt;="&amp;EOMONTH(DATE(2025,3,1),0),Cierres!$B$2:$B$478,$B6,Cierres!$Q$2:$Q$478,"&lt;&gt;")</f>
        <v>0</v>
      </c>
      <c r="J6" s="11" t="n">
        <f aca="false">COUNTIFS(Cierres!$A$2:$A$478,"&gt;="&amp;DATE(2025,3,1),Cierres!$A$2:$A$478,"&lt;="&amp;EOMONTH(DATE(2025,3,1),0),Cierres!$B$2:$B$478,$B6,Cierres!$S$2:$S$478,"Cuadra")</f>
        <v>0</v>
      </c>
      <c r="K6" s="10" t="str">
        <f aca="false">IF(I6=0,"",J6/I6)</f>
        <v/>
      </c>
      <c r="L6" s="9" t="n">
        <f aca="false">-SUMIFS(Cierres!$R$2:$R$478,Cierres!$A$2:$A$478,"&gt;="&amp;DATE(2025,3,1),Cierres!$A$2:$A$478,"&lt;="&amp;EOMONTH(DATE(2025,3,1),0),Cierres!$B$2:$B$478,$B6,Cierres!$R$2:$R$478,"&lt;"&amp;-Léeme!$B$12)</f>
        <v>-0</v>
      </c>
    </row>
    <row r="7" customFormat="false" ht="15" hidden="false" customHeight="false" outlineLevel="0" collapsed="false">
      <c r="A7" s="8" t="s">
        <v>30</v>
      </c>
      <c r="B7" s="8" t="s">
        <v>28</v>
      </c>
      <c r="C7" s="9" t="n">
        <f aca="false">SUMIFS(Cierres!$J$2:$J$478,Cierres!$A$2:$A$478,"&gt;="&amp;DATE(2025,3,1),Cierres!$A$2:$A$478,"&lt;="&amp;EOMONTH(DATE(2025,3,1),0),Cierres!$B$2:$B$478,$B7)</f>
        <v>11237260</v>
      </c>
      <c r="D7" s="9" t="n">
        <f aca="false">SUMIFS(Cierres!$E$2:$E$478,Cierres!$A$2:$A$478,"&gt;="&amp;DATE(2025,3,1),Cierres!$A$2:$A$478,"&lt;="&amp;EOMONTH(DATE(2025,3,1),0),Cierres!$B$2:$B$478,$B7)</f>
        <v>8564250</v>
      </c>
      <c r="E7" s="10" t="n">
        <f aca="false">IF(C7=0,"",D7/C7)</f>
        <v>0.762129736252432</v>
      </c>
      <c r="F7" s="11" t="n">
        <f aca="false">SUMIFS(Cierres!$K$2:$K$478,Cierres!$A$2:$A$478,"&gt;="&amp;DATE(2025,3,1),Cierres!$A$2:$A$478,"&lt;="&amp;EOMONTH(DATE(2025,3,1),0),Cierres!$B$2:$B$478,$B7)</f>
        <v>0</v>
      </c>
      <c r="G7" s="9" t="str">
        <f aca="false">IF(F7=0,"",SUMIFS(Cierres!$J$2:$J$478,Cierres!$A$2:$A$478,"&gt;="&amp;DATE(2025,3,1),Cierres!$A$2:$A$478,"&lt;="&amp;EOMONTH(DATE(2025,3,1),0),Cierres!$B$2:$B$478,$B7,Cierres!$K$2:$K$478,"&gt;0")/F7)</f>
        <v/>
      </c>
      <c r="H7" s="9" t="n">
        <f aca="false">ROUND(SUMIFS(Cierres!$F$2:$F$478,Cierres!$A$2:$A$478,"&gt;="&amp;DATE(2025,3,1),Cierres!$A$2:$A$478,"&lt;="&amp;EOMONTH(DATE(2025,3,1),0),Cierres!$B$2:$B$478,$B7)*Léeme!$B$13+SUMIFS(Cierres!$G$2:$G$478,Cierres!$A$2:$A$478,"&gt;="&amp;DATE(2025,3,1),Cierres!$A$2:$A$478,"&lt;="&amp;EOMONTH(DATE(2025,3,1),0),Cierres!$B$2:$B$478,$B7)*Léeme!$B$14+SUMIFS(Cierres!$H$2:$H$478,Cierres!$A$2:$A$478,"&gt;="&amp;DATE(2025,3,1),Cierres!$A$2:$A$478,"&lt;="&amp;EOMONTH(DATE(2025,3,1),0),Cierres!$B$2:$B$478,$B7)*Léeme!$B$15,0)</f>
        <v>36528</v>
      </c>
      <c r="I7" s="11" t="n">
        <f aca="false">COUNTIFS(Cierres!$A$2:$A$478,"&gt;="&amp;DATE(2025,3,1),Cierres!$A$2:$A$478,"&lt;="&amp;EOMONTH(DATE(2025,3,1),0),Cierres!$B$2:$B$478,$B7,Cierres!$Q$2:$Q$478,"&lt;&gt;")</f>
        <v>0</v>
      </c>
      <c r="J7" s="11" t="n">
        <f aca="false">COUNTIFS(Cierres!$A$2:$A$478,"&gt;="&amp;DATE(2025,3,1),Cierres!$A$2:$A$478,"&lt;="&amp;EOMONTH(DATE(2025,3,1),0),Cierres!$B$2:$B$478,$B7,Cierres!$S$2:$S$478,"Cuadra")</f>
        <v>0</v>
      </c>
      <c r="K7" s="10" t="str">
        <f aca="false">IF(I7=0,"",J7/I7)</f>
        <v/>
      </c>
      <c r="L7" s="9" t="n">
        <f aca="false">-SUMIFS(Cierres!$R$2:$R$478,Cierres!$A$2:$A$478,"&gt;="&amp;DATE(2025,3,1),Cierres!$A$2:$A$478,"&lt;="&amp;EOMONTH(DATE(2025,3,1),0),Cierres!$B$2:$B$478,$B7,Cierres!$R$2:$R$478,"&lt;"&amp;-Léeme!$B$12)</f>
        <v>-0</v>
      </c>
    </row>
    <row r="8" customFormat="false" ht="15" hidden="false" customHeight="false" outlineLevel="0" collapsed="false">
      <c r="A8" s="8" t="s">
        <v>31</v>
      </c>
      <c r="B8" s="8" t="s">
        <v>27</v>
      </c>
      <c r="C8" s="9" t="n">
        <f aca="false">SUMIFS(Cierres!$J$2:$J$478,Cierres!$A$2:$A$478,"&gt;="&amp;DATE(2025,4,1),Cierres!$A$2:$A$478,"&lt;="&amp;EOMONTH(DATE(2025,4,1),0),Cierres!$B$2:$B$478,$B8)</f>
        <v>14115060</v>
      </c>
      <c r="D8" s="9" t="n">
        <f aca="false">SUMIFS(Cierres!$E$2:$E$478,Cierres!$A$2:$A$478,"&gt;="&amp;DATE(2025,4,1),Cierres!$A$2:$A$478,"&lt;="&amp;EOMONTH(DATE(2025,4,1),0),Cierres!$B$2:$B$478,$B8)</f>
        <v>10579610</v>
      </c>
      <c r="E8" s="10" t="n">
        <f aca="false">IF(C8=0,"",D8/C8)</f>
        <v>0.74952639237807</v>
      </c>
      <c r="F8" s="11" t="n">
        <f aca="false">SUMIFS(Cierres!$K$2:$K$478,Cierres!$A$2:$A$478,"&gt;="&amp;DATE(2025,4,1),Cierres!$A$2:$A$478,"&lt;="&amp;EOMONTH(DATE(2025,4,1),0),Cierres!$B$2:$B$478,$B8)</f>
        <v>0</v>
      </c>
      <c r="G8" s="9" t="str">
        <f aca="false">IF(F8=0,"",SUMIFS(Cierres!$J$2:$J$478,Cierres!$A$2:$A$478,"&gt;="&amp;DATE(2025,4,1),Cierres!$A$2:$A$478,"&lt;="&amp;EOMONTH(DATE(2025,4,1),0),Cierres!$B$2:$B$478,$B8,Cierres!$K$2:$K$478,"&gt;0")/F8)</f>
        <v/>
      </c>
      <c r="H8" s="9" t="n">
        <f aca="false">ROUND(SUMIFS(Cierres!$F$2:$F$478,Cierres!$A$2:$A$478,"&gt;="&amp;DATE(2025,4,1),Cierres!$A$2:$A$478,"&lt;="&amp;EOMONTH(DATE(2025,4,1),0),Cierres!$B$2:$B$478,$B8)*Léeme!$B$13+SUMIFS(Cierres!$G$2:$G$478,Cierres!$A$2:$A$478,"&gt;="&amp;DATE(2025,4,1),Cierres!$A$2:$A$478,"&lt;="&amp;EOMONTH(DATE(2025,4,1),0),Cierres!$B$2:$B$478,$B8)*Léeme!$B$14+SUMIFS(Cierres!$H$2:$H$478,Cierres!$A$2:$A$478,"&gt;="&amp;DATE(2025,4,1),Cierres!$A$2:$A$478,"&lt;="&amp;EOMONTH(DATE(2025,4,1),0),Cierres!$B$2:$B$478,$B8)*Léeme!$B$15,0)</f>
        <v>54450</v>
      </c>
      <c r="I8" s="11" t="n">
        <f aca="false">COUNTIFS(Cierres!$A$2:$A$478,"&gt;="&amp;DATE(2025,4,1),Cierres!$A$2:$A$478,"&lt;="&amp;EOMONTH(DATE(2025,4,1),0),Cierres!$B$2:$B$478,$B8,Cierres!$Q$2:$Q$478,"&lt;&gt;")</f>
        <v>0</v>
      </c>
      <c r="J8" s="11" t="n">
        <f aca="false">COUNTIFS(Cierres!$A$2:$A$478,"&gt;="&amp;DATE(2025,4,1),Cierres!$A$2:$A$478,"&lt;="&amp;EOMONTH(DATE(2025,4,1),0),Cierres!$B$2:$B$478,$B8,Cierres!$S$2:$S$478,"Cuadra")</f>
        <v>0</v>
      </c>
      <c r="K8" s="10" t="str">
        <f aca="false">IF(I8=0,"",J8/I8)</f>
        <v/>
      </c>
      <c r="L8" s="9" t="n">
        <f aca="false">-SUMIFS(Cierres!$R$2:$R$478,Cierres!$A$2:$A$478,"&gt;="&amp;DATE(2025,4,1),Cierres!$A$2:$A$478,"&lt;="&amp;EOMONTH(DATE(2025,4,1),0),Cierres!$B$2:$B$478,$B8,Cierres!$R$2:$R$478,"&lt;"&amp;-Léeme!$B$12)</f>
        <v>-0</v>
      </c>
    </row>
    <row r="9" customFormat="false" ht="15" hidden="false" customHeight="false" outlineLevel="0" collapsed="false">
      <c r="A9" s="8" t="s">
        <v>31</v>
      </c>
      <c r="B9" s="8" t="s">
        <v>28</v>
      </c>
      <c r="C9" s="9" t="n">
        <f aca="false">SUMIFS(Cierres!$J$2:$J$478,Cierres!$A$2:$A$478,"&gt;="&amp;DATE(2025,4,1),Cierres!$A$2:$A$478,"&lt;="&amp;EOMONTH(DATE(2025,4,1),0),Cierres!$B$2:$B$478,$B9)</f>
        <v>10695830</v>
      </c>
      <c r="D9" s="9" t="n">
        <f aca="false">SUMIFS(Cierres!$E$2:$E$478,Cierres!$A$2:$A$478,"&gt;="&amp;DATE(2025,4,1),Cierres!$A$2:$A$478,"&lt;="&amp;EOMONTH(DATE(2025,4,1),0),Cierres!$B$2:$B$478,$B9)</f>
        <v>8001710</v>
      </c>
      <c r="E9" s="10" t="n">
        <f aca="false">IF(C9=0,"",D9/C9)</f>
        <v>0.74811491955276</v>
      </c>
      <c r="F9" s="11" t="n">
        <f aca="false">SUMIFS(Cierres!$K$2:$K$478,Cierres!$A$2:$A$478,"&gt;="&amp;DATE(2025,4,1),Cierres!$A$2:$A$478,"&lt;="&amp;EOMONTH(DATE(2025,4,1),0),Cierres!$B$2:$B$478,$B9)</f>
        <v>0</v>
      </c>
      <c r="G9" s="9" t="str">
        <f aca="false">IF(F9=0,"",SUMIFS(Cierres!$J$2:$J$478,Cierres!$A$2:$A$478,"&gt;="&amp;DATE(2025,4,1),Cierres!$A$2:$A$478,"&lt;="&amp;EOMONTH(DATE(2025,4,1),0),Cierres!$B$2:$B$478,$B9,Cierres!$K$2:$K$478,"&gt;0")/F9)</f>
        <v/>
      </c>
      <c r="H9" s="9" t="n">
        <f aca="false">ROUND(SUMIFS(Cierres!$F$2:$F$478,Cierres!$A$2:$A$478,"&gt;="&amp;DATE(2025,4,1),Cierres!$A$2:$A$478,"&lt;="&amp;EOMONTH(DATE(2025,4,1),0),Cierres!$B$2:$B$478,$B9)*Léeme!$B$13+SUMIFS(Cierres!$G$2:$G$478,Cierres!$A$2:$A$478,"&gt;="&amp;DATE(2025,4,1),Cierres!$A$2:$A$478,"&lt;="&amp;EOMONTH(DATE(2025,4,1),0),Cierres!$B$2:$B$478,$B9)*Léeme!$B$14+SUMIFS(Cierres!$H$2:$H$478,Cierres!$A$2:$A$478,"&gt;="&amp;DATE(2025,4,1),Cierres!$A$2:$A$478,"&lt;="&amp;EOMONTH(DATE(2025,4,1),0),Cierres!$B$2:$B$478,$B9)*Léeme!$B$15,0)</f>
        <v>41407</v>
      </c>
      <c r="I9" s="11" t="n">
        <f aca="false">COUNTIFS(Cierres!$A$2:$A$478,"&gt;="&amp;DATE(2025,4,1),Cierres!$A$2:$A$478,"&lt;="&amp;EOMONTH(DATE(2025,4,1),0),Cierres!$B$2:$B$478,$B9,Cierres!$Q$2:$Q$478,"&lt;&gt;")</f>
        <v>0</v>
      </c>
      <c r="J9" s="11" t="n">
        <f aca="false">COUNTIFS(Cierres!$A$2:$A$478,"&gt;="&amp;DATE(2025,4,1),Cierres!$A$2:$A$478,"&lt;="&amp;EOMONTH(DATE(2025,4,1),0),Cierres!$B$2:$B$478,$B9,Cierres!$S$2:$S$478,"Cuadra")</f>
        <v>0</v>
      </c>
      <c r="K9" s="10" t="str">
        <f aca="false">IF(I9=0,"",J9/I9)</f>
        <v/>
      </c>
      <c r="L9" s="9" t="n">
        <f aca="false">-SUMIFS(Cierres!$R$2:$R$478,Cierres!$A$2:$A$478,"&gt;="&amp;DATE(2025,4,1),Cierres!$A$2:$A$478,"&lt;="&amp;EOMONTH(DATE(2025,4,1),0),Cierres!$B$2:$B$478,$B9,Cierres!$R$2:$R$478,"&lt;"&amp;-Léeme!$B$12)</f>
        <v>-0</v>
      </c>
    </row>
    <row r="10" customFormat="false" ht="15" hidden="false" customHeight="false" outlineLevel="0" collapsed="false">
      <c r="A10" s="8" t="s">
        <v>32</v>
      </c>
      <c r="B10" s="8" t="s">
        <v>27</v>
      </c>
      <c r="C10" s="9" t="n">
        <f aca="false">SUMIFS(Cierres!$J$2:$J$478,Cierres!$A$2:$A$478,"&gt;="&amp;DATE(2025,5,1),Cierres!$A$2:$A$478,"&lt;="&amp;EOMONTH(DATE(2025,5,1),0),Cierres!$B$2:$B$478,$B10)</f>
        <v>15047670</v>
      </c>
      <c r="D10" s="9" t="n">
        <f aca="false">SUMIFS(Cierres!$E$2:$E$478,Cierres!$A$2:$A$478,"&gt;="&amp;DATE(2025,5,1),Cierres!$A$2:$A$478,"&lt;="&amp;EOMONTH(DATE(2025,5,1),0),Cierres!$B$2:$B$478,$B10)</f>
        <v>10966140</v>
      </c>
      <c r="E10" s="10" t="n">
        <f aca="false">IF(C10=0,"",D10/C10)</f>
        <v>0.728760000717719</v>
      </c>
      <c r="F10" s="11" t="n">
        <f aca="false">SUMIFS(Cierres!$K$2:$K$478,Cierres!$A$2:$A$478,"&gt;="&amp;DATE(2025,5,1),Cierres!$A$2:$A$478,"&lt;="&amp;EOMONTH(DATE(2025,5,1),0),Cierres!$B$2:$B$478,$B10)</f>
        <v>0</v>
      </c>
      <c r="G10" s="9" t="str">
        <f aca="false">IF(F10=0,"",SUMIFS(Cierres!$J$2:$J$478,Cierres!$A$2:$A$478,"&gt;="&amp;DATE(2025,5,1),Cierres!$A$2:$A$478,"&lt;="&amp;EOMONTH(DATE(2025,5,1),0),Cierres!$B$2:$B$478,$B10,Cierres!$K$2:$K$478,"&gt;0")/F10)</f>
        <v/>
      </c>
      <c r="H10" s="9" t="n">
        <f aca="false">ROUND(SUMIFS(Cierres!$F$2:$F$478,Cierres!$A$2:$A$478,"&gt;="&amp;DATE(2025,5,1),Cierres!$A$2:$A$478,"&lt;="&amp;EOMONTH(DATE(2025,5,1),0),Cierres!$B$2:$B$478,$B10)*Léeme!$B$13+SUMIFS(Cierres!$G$2:$G$478,Cierres!$A$2:$A$478,"&gt;="&amp;DATE(2025,5,1),Cierres!$A$2:$A$478,"&lt;="&amp;EOMONTH(DATE(2025,5,1),0),Cierres!$B$2:$B$478,$B10)*Léeme!$B$14+SUMIFS(Cierres!$H$2:$H$478,Cierres!$A$2:$A$478,"&gt;="&amp;DATE(2025,5,1),Cierres!$A$2:$A$478,"&lt;="&amp;EOMONTH(DATE(2025,5,1),0),Cierres!$B$2:$B$478,$B10)*Léeme!$B$15,0)</f>
        <v>62233</v>
      </c>
      <c r="I10" s="11" t="n">
        <f aca="false">COUNTIFS(Cierres!$A$2:$A$478,"&gt;="&amp;DATE(2025,5,1),Cierres!$A$2:$A$478,"&lt;="&amp;EOMONTH(DATE(2025,5,1),0),Cierres!$B$2:$B$478,$B10,Cierres!$Q$2:$Q$478,"&lt;&gt;")</f>
        <v>0</v>
      </c>
      <c r="J10" s="11" t="n">
        <f aca="false">COUNTIFS(Cierres!$A$2:$A$478,"&gt;="&amp;DATE(2025,5,1),Cierres!$A$2:$A$478,"&lt;="&amp;EOMONTH(DATE(2025,5,1),0),Cierres!$B$2:$B$478,$B10,Cierres!$S$2:$S$478,"Cuadra")</f>
        <v>0</v>
      </c>
      <c r="K10" s="10" t="str">
        <f aca="false">IF(I10=0,"",J10/I10)</f>
        <v/>
      </c>
      <c r="L10" s="9" t="n">
        <f aca="false">-SUMIFS(Cierres!$R$2:$R$478,Cierres!$A$2:$A$478,"&gt;="&amp;DATE(2025,5,1),Cierres!$A$2:$A$478,"&lt;="&amp;EOMONTH(DATE(2025,5,1),0),Cierres!$B$2:$B$478,$B10,Cierres!$R$2:$R$478,"&lt;"&amp;-Léeme!$B$12)</f>
        <v>-0</v>
      </c>
    </row>
    <row r="11" customFormat="false" ht="15" hidden="false" customHeight="false" outlineLevel="0" collapsed="false">
      <c r="A11" s="8" t="s">
        <v>32</v>
      </c>
      <c r="B11" s="8" t="s">
        <v>28</v>
      </c>
      <c r="C11" s="9" t="n">
        <f aca="false">SUMIFS(Cierres!$J$2:$J$478,Cierres!$A$2:$A$478,"&gt;="&amp;DATE(2025,5,1),Cierres!$A$2:$A$478,"&lt;="&amp;EOMONTH(DATE(2025,5,1),0),Cierres!$B$2:$B$478,$B11)</f>
        <v>11204450</v>
      </c>
      <c r="D11" s="9" t="n">
        <f aca="false">SUMIFS(Cierres!$E$2:$E$478,Cierres!$A$2:$A$478,"&gt;="&amp;DATE(2025,5,1),Cierres!$A$2:$A$478,"&lt;="&amp;EOMONTH(DATE(2025,5,1),0),Cierres!$B$2:$B$478,$B11)</f>
        <v>8106510</v>
      </c>
      <c r="E11" s="10" t="n">
        <f aca="false">IF(C11=0,"",D11/C11)</f>
        <v>0.72350807045415</v>
      </c>
      <c r="F11" s="11" t="n">
        <f aca="false">SUMIFS(Cierres!$K$2:$K$478,Cierres!$A$2:$A$478,"&gt;="&amp;DATE(2025,5,1),Cierres!$A$2:$A$478,"&lt;="&amp;EOMONTH(DATE(2025,5,1),0),Cierres!$B$2:$B$478,$B11)</f>
        <v>0</v>
      </c>
      <c r="G11" s="9" t="str">
        <f aca="false">IF(F11=0,"",SUMIFS(Cierres!$J$2:$J$478,Cierres!$A$2:$A$478,"&gt;="&amp;DATE(2025,5,1),Cierres!$A$2:$A$478,"&lt;="&amp;EOMONTH(DATE(2025,5,1),0),Cierres!$B$2:$B$478,$B11,Cierres!$K$2:$K$478,"&gt;0")/F11)</f>
        <v/>
      </c>
      <c r="H11" s="9" t="n">
        <f aca="false">ROUND(SUMIFS(Cierres!$F$2:$F$478,Cierres!$A$2:$A$478,"&gt;="&amp;DATE(2025,5,1),Cierres!$A$2:$A$478,"&lt;="&amp;EOMONTH(DATE(2025,5,1),0),Cierres!$B$2:$B$478,$B11)*Léeme!$B$13+SUMIFS(Cierres!$G$2:$G$478,Cierres!$A$2:$A$478,"&gt;="&amp;DATE(2025,5,1),Cierres!$A$2:$A$478,"&lt;="&amp;EOMONTH(DATE(2025,5,1),0),Cierres!$B$2:$B$478,$B11)*Léeme!$B$14+SUMIFS(Cierres!$H$2:$H$478,Cierres!$A$2:$A$478,"&gt;="&amp;DATE(2025,5,1),Cierres!$A$2:$A$478,"&lt;="&amp;EOMONTH(DATE(2025,5,1),0),Cierres!$B$2:$B$478,$B11)*Léeme!$B$15,0)</f>
        <v>47311</v>
      </c>
      <c r="I11" s="11" t="n">
        <f aca="false">COUNTIFS(Cierres!$A$2:$A$478,"&gt;="&amp;DATE(2025,5,1),Cierres!$A$2:$A$478,"&lt;="&amp;EOMONTH(DATE(2025,5,1),0),Cierres!$B$2:$B$478,$B11,Cierres!$Q$2:$Q$478,"&lt;&gt;")</f>
        <v>0</v>
      </c>
      <c r="J11" s="11" t="n">
        <f aca="false">COUNTIFS(Cierres!$A$2:$A$478,"&gt;="&amp;DATE(2025,5,1),Cierres!$A$2:$A$478,"&lt;="&amp;EOMONTH(DATE(2025,5,1),0),Cierres!$B$2:$B$478,$B11,Cierres!$S$2:$S$478,"Cuadra")</f>
        <v>0</v>
      </c>
      <c r="K11" s="10" t="str">
        <f aca="false">IF(I11=0,"",J11/I11)</f>
        <v/>
      </c>
      <c r="L11" s="9" t="n">
        <f aca="false">-SUMIFS(Cierres!$R$2:$R$478,Cierres!$A$2:$A$478,"&gt;="&amp;DATE(2025,5,1),Cierres!$A$2:$A$478,"&lt;="&amp;EOMONTH(DATE(2025,5,1),0),Cierres!$B$2:$B$478,$B11,Cierres!$R$2:$R$478,"&lt;"&amp;-Léeme!$B$12)</f>
        <v>-0</v>
      </c>
    </row>
    <row r="12" customFormat="false" ht="15" hidden="false" customHeight="false" outlineLevel="0" collapsed="false">
      <c r="A12" s="8" t="s">
        <v>33</v>
      </c>
      <c r="B12" s="8" t="s">
        <v>27</v>
      </c>
      <c r="C12" s="9" t="n">
        <f aca="false">SUMIFS(Cierres!$J$2:$J$478,Cierres!$A$2:$A$478,"&gt;="&amp;DATE(2025,6,1),Cierres!$A$2:$A$478,"&lt;="&amp;EOMONTH(DATE(2025,6,1),0),Cierres!$B$2:$B$478,$B12)</f>
        <v>17099330</v>
      </c>
      <c r="D12" s="9" t="n">
        <f aca="false">SUMIFS(Cierres!$E$2:$E$478,Cierres!$A$2:$A$478,"&gt;="&amp;DATE(2025,6,1),Cierres!$A$2:$A$478,"&lt;="&amp;EOMONTH(DATE(2025,6,1),0),Cierres!$B$2:$B$478,$B12)</f>
        <v>12287290</v>
      </c>
      <c r="E12" s="10" t="n">
        <f aca="false">IF(C12=0,"",D12/C12)</f>
        <v>0.718583125771595</v>
      </c>
      <c r="F12" s="11" t="n">
        <f aca="false">SUMIFS(Cierres!$K$2:$K$478,Cierres!$A$2:$A$478,"&gt;="&amp;DATE(2025,6,1),Cierres!$A$2:$A$478,"&lt;="&amp;EOMONTH(DATE(2025,6,1),0),Cierres!$B$2:$B$478,$B12)</f>
        <v>1710</v>
      </c>
      <c r="G12" s="9" t="n">
        <f aca="false">IF(F12=0,"",SUMIFS(Cierres!$J$2:$J$478,Cierres!$A$2:$A$478,"&gt;="&amp;DATE(2025,6,1),Cierres!$A$2:$A$478,"&lt;="&amp;EOMONTH(DATE(2025,6,1),0),Cierres!$B$2:$B$478,$B12,Cierres!$K$2:$K$478,"&gt;0")/F12)</f>
        <v>9999.6081871345</v>
      </c>
      <c r="H12" s="9" t="n">
        <f aca="false">ROUND(SUMIFS(Cierres!$F$2:$F$478,Cierres!$A$2:$A$478,"&gt;="&amp;DATE(2025,6,1),Cierres!$A$2:$A$478,"&lt;="&amp;EOMONTH(DATE(2025,6,1),0),Cierres!$B$2:$B$478,$B12)*Léeme!$B$13+SUMIFS(Cierres!$G$2:$G$478,Cierres!$A$2:$A$478,"&gt;="&amp;DATE(2025,6,1),Cierres!$A$2:$A$478,"&lt;="&amp;EOMONTH(DATE(2025,6,1),0),Cierres!$B$2:$B$478,$B12)*Léeme!$B$14+SUMIFS(Cierres!$H$2:$H$478,Cierres!$A$2:$A$478,"&gt;="&amp;DATE(2025,6,1),Cierres!$A$2:$A$478,"&lt;="&amp;EOMONTH(DATE(2025,6,1),0),Cierres!$B$2:$B$478,$B12)*Léeme!$B$15,0)</f>
        <v>72454</v>
      </c>
      <c r="I12" s="11" t="n">
        <f aca="false">COUNTIFS(Cierres!$A$2:$A$478,"&gt;="&amp;DATE(2025,6,1),Cierres!$A$2:$A$478,"&lt;="&amp;EOMONTH(DATE(2025,6,1),0),Cierres!$B$2:$B$478,$B12,Cierres!$Q$2:$Q$478,"&lt;&gt;")</f>
        <v>25</v>
      </c>
      <c r="J12" s="11" t="n">
        <f aca="false">COUNTIFS(Cierres!$A$2:$A$478,"&gt;="&amp;DATE(2025,6,1),Cierres!$A$2:$A$478,"&lt;="&amp;EOMONTH(DATE(2025,6,1),0),Cierres!$B$2:$B$478,$B12,Cierres!$S$2:$S$478,"Cuadra")</f>
        <v>16</v>
      </c>
      <c r="K12" s="10" t="n">
        <f aca="false">IF(I12=0,"",J12/I12)</f>
        <v>0.64</v>
      </c>
      <c r="L12" s="9" t="n">
        <f aca="false">-SUMIFS(Cierres!$R$2:$R$478,Cierres!$A$2:$A$478,"&gt;="&amp;DATE(2025,6,1),Cierres!$A$2:$A$478,"&lt;="&amp;EOMONTH(DATE(2025,6,1),0),Cierres!$B$2:$B$478,$B12,Cierres!$R$2:$R$478,"&lt;"&amp;-Léeme!$B$12)</f>
        <v>41850</v>
      </c>
    </row>
    <row r="13" customFormat="false" ht="15" hidden="false" customHeight="false" outlineLevel="0" collapsed="false">
      <c r="A13" s="8" t="s">
        <v>33</v>
      </c>
      <c r="B13" s="8" t="s">
        <v>28</v>
      </c>
      <c r="C13" s="9" t="n">
        <f aca="false">SUMIFS(Cierres!$J$2:$J$478,Cierres!$A$2:$A$478,"&gt;="&amp;DATE(2025,6,1),Cierres!$A$2:$A$478,"&lt;="&amp;EOMONTH(DATE(2025,6,1),0),Cierres!$B$2:$B$478,$B13)</f>
        <v>13025470</v>
      </c>
      <c r="D13" s="9" t="n">
        <f aca="false">SUMIFS(Cierres!$E$2:$E$478,Cierres!$A$2:$A$478,"&gt;="&amp;DATE(2025,6,1),Cierres!$A$2:$A$478,"&lt;="&amp;EOMONTH(DATE(2025,6,1),0),Cierres!$B$2:$B$478,$B13)</f>
        <v>9371110</v>
      </c>
      <c r="E13" s="10" t="n">
        <f aca="false">IF(C13=0,"",D13/C13)</f>
        <v>0.719445056493163</v>
      </c>
      <c r="F13" s="11" t="n">
        <f aca="false">SUMIFS(Cierres!$K$2:$K$478,Cierres!$A$2:$A$478,"&gt;="&amp;DATE(2025,6,1),Cierres!$A$2:$A$478,"&lt;="&amp;EOMONTH(DATE(2025,6,1),0),Cierres!$B$2:$B$478,$B13)</f>
        <v>1303</v>
      </c>
      <c r="G13" s="9" t="n">
        <f aca="false">IF(F13=0,"",SUMIFS(Cierres!$J$2:$J$478,Cierres!$A$2:$A$478,"&gt;="&amp;DATE(2025,6,1),Cierres!$A$2:$A$478,"&lt;="&amp;EOMONTH(DATE(2025,6,1),0),Cierres!$B$2:$B$478,$B13,Cierres!$K$2:$K$478,"&gt;0")/F13)</f>
        <v>9996.52340752111</v>
      </c>
      <c r="H13" s="9" t="n">
        <f aca="false">ROUND(SUMIFS(Cierres!$F$2:$F$478,Cierres!$A$2:$A$478,"&gt;="&amp;DATE(2025,6,1),Cierres!$A$2:$A$478,"&lt;="&amp;EOMONTH(DATE(2025,6,1),0),Cierres!$B$2:$B$478,$B13)*Léeme!$B$13+SUMIFS(Cierres!$G$2:$G$478,Cierres!$A$2:$A$478,"&gt;="&amp;DATE(2025,6,1),Cierres!$A$2:$A$478,"&lt;="&amp;EOMONTH(DATE(2025,6,1),0),Cierres!$B$2:$B$478,$B13)*Léeme!$B$14+SUMIFS(Cierres!$H$2:$H$478,Cierres!$A$2:$A$478,"&gt;="&amp;DATE(2025,6,1),Cierres!$A$2:$A$478,"&lt;="&amp;EOMONTH(DATE(2025,6,1),0),Cierres!$B$2:$B$478,$B13)*Léeme!$B$15,0)</f>
        <v>55047</v>
      </c>
      <c r="I13" s="11" t="n">
        <f aca="false">COUNTIFS(Cierres!$A$2:$A$478,"&gt;="&amp;DATE(2025,6,1),Cierres!$A$2:$A$478,"&lt;="&amp;EOMONTH(DATE(2025,6,1),0),Cierres!$B$2:$B$478,$B13,Cierres!$Q$2:$Q$478,"&lt;&gt;")</f>
        <v>25</v>
      </c>
      <c r="J13" s="11" t="n">
        <f aca="false">COUNTIFS(Cierres!$A$2:$A$478,"&gt;="&amp;DATE(2025,6,1),Cierres!$A$2:$A$478,"&lt;="&amp;EOMONTH(DATE(2025,6,1),0),Cierres!$B$2:$B$478,$B13,Cierres!$S$2:$S$478,"Cuadra")</f>
        <v>20</v>
      </c>
      <c r="K13" s="10" t="n">
        <f aca="false">IF(I13=0,"",J13/I13)</f>
        <v>0.8</v>
      </c>
      <c r="L13" s="9" t="n">
        <f aca="false">-SUMIFS(Cierres!$R$2:$R$478,Cierres!$A$2:$A$478,"&gt;="&amp;DATE(2025,6,1),Cierres!$A$2:$A$478,"&lt;="&amp;EOMONTH(DATE(2025,6,1),0),Cierres!$B$2:$B$478,$B13,Cierres!$R$2:$R$478,"&lt;"&amp;-Léeme!$B$12)</f>
        <v>5140</v>
      </c>
    </row>
    <row r="14" customFormat="false" ht="15" hidden="false" customHeight="false" outlineLevel="0" collapsed="false">
      <c r="A14" s="8" t="s">
        <v>34</v>
      </c>
      <c r="B14" s="8" t="s">
        <v>27</v>
      </c>
      <c r="C14" s="9" t="n">
        <f aca="false">SUMIFS(Cierres!$J$2:$J$478,Cierres!$A$2:$A$478,"&gt;="&amp;DATE(2025,7,1),Cierres!$A$2:$A$478,"&lt;="&amp;EOMONTH(DATE(2025,7,1),0),Cierres!$B$2:$B$478,$B14)</f>
        <v>18266410</v>
      </c>
      <c r="D14" s="9" t="n">
        <f aca="false">SUMIFS(Cierres!$E$2:$E$478,Cierres!$A$2:$A$478,"&gt;="&amp;DATE(2025,7,1),Cierres!$A$2:$A$478,"&lt;="&amp;EOMONTH(DATE(2025,7,1),0),Cierres!$B$2:$B$478,$B14)</f>
        <v>12780330</v>
      </c>
      <c r="E14" s="10" t="n">
        <f aca="false">IF(C14=0,"",D14/C14)</f>
        <v>0.699662933220047</v>
      </c>
      <c r="F14" s="11" t="n">
        <f aca="false">SUMIFS(Cierres!$K$2:$K$478,Cierres!$A$2:$A$478,"&gt;="&amp;DATE(2025,7,1),Cierres!$A$2:$A$478,"&lt;="&amp;EOMONTH(DATE(2025,7,1),0),Cierres!$B$2:$B$478,$B14)</f>
        <v>1773</v>
      </c>
      <c r="G14" s="9" t="n">
        <f aca="false">IF(F14=0,"",SUMIFS(Cierres!$J$2:$J$478,Cierres!$A$2:$A$478,"&gt;="&amp;DATE(2025,7,1),Cierres!$A$2:$A$478,"&lt;="&amp;EOMONTH(DATE(2025,7,1),0),Cierres!$B$2:$B$478,$B14,Cierres!$K$2:$K$478,"&gt;0")/F14)</f>
        <v>10302.5437112239</v>
      </c>
      <c r="H14" s="9" t="n">
        <f aca="false">ROUND(SUMIFS(Cierres!$F$2:$F$478,Cierres!$A$2:$A$478,"&gt;="&amp;DATE(2025,7,1),Cierres!$A$2:$A$478,"&lt;="&amp;EOMONTH(DATE(2025,7,1),0),Cierres!$B$2:$B$478,$B14)*Léeme!$B$13+SUMIFS(Cierres!$G$2:$G$478,Cierres!$A$2:$A$478,"&gt;="&amp;DATE(2025,7,1),Cierres!$A$2:$A$478,"&lt;="&amp;EOMONTH(DATE(2025,7,1),0),Cierres!$B$2:$B$478,$B14)*Léeme!$B$14+SUMIFS(Cierres!$H$2:$H$478,Cierres!$A$2:$A$478,"&gt;="&amp;DATE(2025,7,1),Cierres!$A$2:$A$478,"&lt;="&amp;EOMONTH(DATE(2025,7,1),0),Cierres!$B$2:$B$478,$B14)*Léeme!$B$15,0)</f>
        <v>82006</v>
      </c>
      <c r="I14" s="11" t="n">
        <f aca="false">COUNTIFS(Cierres!$A$2:$A$478,"&gt;="&amp;DATE(2025,7,1),Cierres!$A$2:$A$478,"&lt;="&amp;EOMONTH(DATE(2025,7,1),0),Cierres!$B$2:$B$478,$B14,Cierres!$Q$2:$Q$478,"&lt;&gt;")</f>
        <v>27</v>
      </c>
      <c r="J14" s="11" t="n">
        <f aca="false">COUNTIFS(Cierres!$A$2:$A$478,"&gt;="&amp;DATE(2025,7,1),Cierres!$A$2:$A$478,"&lt;="&amp;EOMONTH(DATE(2025,7,1),0),Cierres!$B$2:$B$478,$B14,Cierres!$S$2:$S$478,"Cuadra")</f>
        <v>15</v>
      </c>
      <c r="K14" s="10" t="n">
        <f aca="false">IF(I14=0,"",J14/I14)</f>
        <v>0.555555555555556</v>
      </c>
      <c r="L14" s="9" t="n">
        <f aca="false">-SUMIFS(Cierres!$R$2:$R$478,Cierres!$A$2:$A$478,"&gt;="&amp;DATE(2025,7,1),Cierres!$A$2:$A$478,"&lt;="&amp;EOMONTH(DATE(2025,7,1),0),Cierres!$B$2:$B$478,$B14,Cierres!$R$2:$R$478,"&lt;"&amp;-Léeme!$B$12)</f>
        <v>25990</v>
      </c>
    </row>
    <row r="15" customFormat="false" ht="15" hidden="false" customHeight="false" outlineLevel="0" collapsed="false">
      <c r="A15" s="8" t="s">
        <v>34</v>
      </c>
      <c r="B15" s="8" t="s">
        <v>28</v>
      </c>
      <c r="C15" s="9" t="n">
        <f aca="false">SUMIFS(Cierres!$J$2:$J$478,Cierres!$A$2:$A$478,"&gt;="&amp;DATE(2025,7,1),Cierres!$A$2:$A$478,"&lt;="&amp;EOMONTH(DATE(2025,7,1),0),Cierres!$B$2:$B$478,$B15)</f>
        <v>14306490</v>
      </c>
      <c r="D15" s="9" t="n">
        <f aca="false">SUMIFS(Cierres!$E$2:$E$478,Cierres!$A$2:$A$478,"&gt;="&amp;DATE(2025,7,1),Cierres!$A$2:$A$478,"&lt;="&amp;EOMONTH(DATE(2025,7,1),0),Cierres!$B$2:$B$478,$B15)</f>
        <v>9962280</v>
      </c>
      <c r="E15" s="10" t="n">
        <f aca="false">IF(C15=0,"",D15/C15)</f>
        <v>0.696346902699404</v>
      </c>
      <c r="F15" s="11" t="n">
        <f aca="false">SUMIFS(Cierres!$K$2:$K$478,Cierres!$A$2:$A$478,"&gt;="&amp;DATE(2025,7,1),Cierres!$A$2:$A$478,"&lt;="&amp;EOMONTH(DATE(2025,7,1),0),Cierres!$B$2:$B$478,$B15)</f>
        <v>1403</v>
      </c>
      <c r="G15" s="9" t="n">
        <f aca="false">IF(F15=0,"",SUMIFS(Cierres!$J$2:$J$478,Cierres!$A$2:$A$478,"&gt;="&amp;DATE(2025,7,1),Cierres!$A$2:$A$478,"&lt;="&amp;EOMONTH(DATE(2025,7,1),0),Cierres!$B$2:$B$478,$B15,Cierres!$K$2:$K$478,"&gt;0")/F15)</f>
        <v>10197.0705630791</v>
      </c>
      <c r="H15" s="9" t="n">
        <f aca="false">ROUND(SUMIFS(Cierres!$F$2:$F$478,Cierres!$A$2:$A$478,"&gt;="&amp;DATE(2025,7,1),Cierres!$A$2:$A$478,"&lt;="&amp;EOMONTH(DATE(2025,7,1),0),Cierres!$B$2:$B$478,$B15)*Léeme!$B$13+SUMIFS(Cierres!$G$2:$G$478,Cierres!$A$2:$A$478,"&gt;="&amp;DATE(2025,7,1),Cierres!$A$2:$A$478,"&lt;="&amp;EOMONTH(DATE(2025,7,1),0),Cierres!$B$2:$B$478,$B15)*Léeme!$B$14+SUMIFS(Cierres!$H$2:$H$478,Cierres!$A$2:$A$478,"&gt;="&amp;DATE(2025,7,1),Cierres!$A$2:$A$478,"&lt;="&amp;EOMONTH(DATE(2025,7,1),0),Cierres!$B$2:$B$478,$B15)*Léeme!$B$15,0)</f>
        <v>64970</v>
      </c>
      <c r="I15" s="11" t="n">
        <f aca="false">COUNTIFS(Cierres!$A$2:$A$478,"&gt;="&amp;DATE(2025,7,1),Cierres!$A$2:$A$478,"&lt;="&amp;EOMONTH(DATE(2025,7,1),0),Cierres!$B$2:$B$478,$B15,Cierres!$Q$2:$Q$478,"&lt;&gt;")</f>
        <v>27</v>
      </c>
      <c r="J15" s="11" t="n">
        <f aca="false">COUNTIFS(Cierres!$A$2:$A$478,"&gt;="&amp;DATE(2025,7,1),Cierres!$A$2:$A$478,"&lt;="&amp;EOMONTH(DATE(2025,7,1),0),Cierres!$B$2:$B$478,$B15,Cierres!$S$2:$S$478,"Cuadra")</f>
        <v>22</v>
      </c>
      <c r="K15" s="10" t="n">
        <f aca="false">IF(I15=0,"",J15/I15)</f>
        <v>0.814814814814815</v>
      </c>
      <c r="L15" s="9" t="n">
        <f aca="false">-SUMIFS(Cierres!$R$2:$R$478,Cierres!$A$2:$A$478,"&gt;="&amp;DATE(2025,7,1),Cierres!$A$2:$A$478,"&lt;="&amp;EOMONTH(DATE(2025,7,1),0),Cierres!$B$2:$B$478,$B15,Cierres!$R$2:$R$478,"&lt;"&amp;-Léeme!$B$12)</f>
        <v>3520</v>
      </c>
    </row>
    <row r="16" customFormat="false" ht="15" hidden="false" customHeight="false" outlineLevel="0" collapsed="false">
      <c r="A16" s="8" t="s">
        <v>35</v>
      </c>
      <c r="B16" s="8" t="s">
        <v>27</v>
      </c>
      <c r="C16" s="9" t="n">
        <f aca="false">SUMIFS(Cierres!$J$2:$J$478,Cierres!$A$2:$A$478,"&gt;="&amp;DATE(2025,8,1),Cierres!$A$2:$A$478,"&lt;="&amp;EOMONTH(DATE(2025,8,1),0),Cierres!$B$2:$B$478,$B16)</f>
        <v>19523500</v>
      </c>
      <c r="D16" s="9" t="n">
        <f aca="false">SUMIFS(Cierres!$E$2:$E$478,Cierres!$A$2:$A$478,"&gt;="&amp;DATE(2025,8,1),Cierres!$A$2:$A$478,"&lt;="&amp;EOMONTH(DATE(2025,8,1),0),Cierres!$B$2:$B$478,$B16)</f>
        <v>13473090</v>
      </c>
      <c r="E16" s="10" t="n">
        <f aca="false">IF(C16=0,"",D16/C16)</f>
        <v>0.690096038107921</v>
      </c>
      <c r="F16" s="11" t="n">
        <f aca="false">SUMIFS(Cierres!$K$2:$K$478,Cierres!$A$2:$A$478,"&gt;="&amp;DATE(2025,8,1),Cierres!$A$2:$A$478,"&lt;="&amp;EOMONTH(DATE(2025,8,1),0),Cierres!$B$2:$B$478,$B16)</f>
        <v>1861</v>
      </c>
      <c r="G16" s="9" t="n">
        <f aca="false">IF(F16=0,"",SUMIFS(Cierres!$J$2:$J$478,Cierres!$A$2:$A$478,"&gt;="&amp;DATE(2025,8,1),Cierres!$A$2:$A$478,"&lt;="&amp;EOMONTH(DATE(2025,8,1),0),Cierres!$B$2:$B$478,$B16,Cierres!$K$2:$K$478,"&gt;0")/F16)</f>
        <v>10490.8651262762</v>
      </c>
      <c r="H16" s="9" t="n">
        <f aca="false">ROUND(SUMIFS(Cierres!$F$2:$F$478,Cierres!$A$2:$A$478,"&gt;="&amp;DATE(2025,8,1),Cierres!$A$2:$A$478,"&lt;="&amp;EOMONTH(DATE(2025,8,1),0),Cierres!$B$2:$B$478,$B16)*Léeme!$B$13+SUMIFS(Cierres!$G$2:$G$478,Cierres!$A$2:$A$478,"&gt;="&amp;DATE(2025,8,1),Cierres!$A$2:$A$478,"&lt;="&amp;EOMONTH(DATE(2025,8,1),0),Cierres!$B$2:$B$478,$B16)*Léeme!$B$14+SUMIFS(Cierres!$H$2:$H$478,Cierres!$A$2:$A$478,"&gt;="&amp;DATE(2025,8,1),Cierres!$A$2:$A$478,"&lt;="&amp;EOMONTH(DATE(2025,8,1),0),Cierres!$B$2:$B$478,$B16)*Léeme!$B$15,0)</f>
        <v>89750</v>
      </c>
      <c r="I16" s="11" t="n">
        <f aca="false">COUNTIFS(Cierres!$A$2:$A$478,"&gt;="&amp;DATE(2025,8,1),Cierres!$A$2:$A$478,"&lt;="&amp;EOMONTH(DATE(2025,8,1),0),Cierres!$B$2:$B$478,$B16,Cierres!$Q$2:$Q$478,"&lt;&gt;")</f>
        <v>27</v>
      </c>
      <c r="J16" s="11" t="n">
        <f aca="false">COUNTIFS(Cierres!$A$2:$A$478,"&gt;="&amp;DATE(2025,8,1),Cierres!$A$2:$A$478,"&lt;="&amp;EOMONTH(DATE(2025,8,1),0),Cierres!$B$2:$B$478,$B16,Cierres!$S$2:$S$478,"Cuadra")</f>
        <v>17</v>
      </c>
      <c r="K16" s="10" t="n">
        <f aca="false">IF(I16=0,"",J16/I16)</f>
        <v>0.62962962962963</v>
      </c>
      <c r="L16" s="9" t="n">
        <f aca="false">-SUMIFS(Cierres!$R$2:$R$478,Cierres!$A$2:$A$478,"&gt;="&amp;DATE(2025,8,1),Cierres!$A$2:$A$478,"&lt;="&amp;EOMONTH(DATE(2025,8,1),0),Cierres!$B$2:$B$478,$B16,Cierres!$R$2:$R$478,"&lt;"&amp;-Léeme!$B$12)</f>
        <v>67100</v>
      </c>
    </row>
    <row r="17" customFormat="false" ht="15" hidden="false" customHeight="false" outlineLevel="0" collapsed="false">
      <c r="A17" s="8" t="s">
        <v>35</v>
      </c>
      <c r="B17" s="8" t="s">
        <v>28</v>
      </c>
      <c r="C17" s="9" t="n">
        <f aca="false">SUMIFS(Cierres!$J$2:$J$478,Cierres!$A$2:$A$478,"&gt;="&amp;DATE(2025,8,1),Cierres!$A$2:$A$478,"&lt;="&amp;EOMONTH(DATE(2025,8,1),0),Cierres!$B$2:$B$478,$B17)</f>
        <v>11355740</v>
      </c>
      <c r="D17" s="9" t="n">
        <f aca="false">SUMIFS(Cierres!$E$2:$E$478,Cierres!$A$2:$A$478,"&gt;="&amp;DATE(2025,8,1),Cierres!$A$2:$A$478,"&lt;="&amp;EOMONTH(DATE(2025,8,1),0),Cierres!$B$2:$B$478,$B17)</f>
        <v>7807500</v>
      </c>
      <c r="E17" s="10" t="n">
        <f aca="false">IF(C17=0,"",D17/C17)</f>
        <v>0.687537756236053</v>
      </c>
      <c r="F17" s="11" t="n">
        <f aca="false">SUMIFS(Cierres!$K$2:$K$478,Cierres!$A$2:$A$478,"&gt;="&amp;DATE(2025,8,1),Cierres!$A$2:$A$478,"&lt;="&amp;EOMONTH(DATE(2025,8,1),0),Cierres!$B$2:$B$478,$B17)</f>
        <v>1082</v>
      </c>
      <c r="G17" s="9" t="n">
        <f aca="false">IF(F17=0,"",SUMIFS(Cierres!$J$2:$J$478,Cierres!$A$2:$A$478,"&gt;="&amp;DATE(2025,8,1),Cierres!$A$2:$A$478,"&lt;="&amp;EOMONTH(DATE(2025,8,1),0),Cierres!$B$2:$B$478,$B17,Cierres!$K$2:$K$478,"&gt;0")/F17)</f>
        <v>10495.1386321627</v>
      </c>
      <c r="H17" s="9" t="n">
        <f aca="false">ROUND(SUMIFS(Cierres!$F$2:$F$478,Cierres!$A$2:$A$478,"&gt;="&amp;DATE(2025,8,1),Cierres!$A$2:$A$478,"&lt;="&amp;EOMONTH(DATE(2025,8,1),0),Cierres!$B$2:$B$478,$B17)*Léeme!$B$13+SUMIFS(Cierres!$G$2:$G$478,Cierres!$A$2:$A$478,"&gt;="&amp;DATE(2025,8,1),Cierres!$A$2:$A$478,"&lt;="&amp;EOMONTH(DATE(2025,8,1),0),Cierres!$B$2:$B$478,$B17)*Léeme!$B$14+SUMIFS(Cierres!$H$2:$H$478,Cierres!$A$2:$A$478,"&gt;="&amp;DATE(2025,8,1),Cierres!$A$2:$A$478,"&lt;="&amp;EOMONTH(DATE(2025,8,1),0),Cierres!$B$2:$B$478,$B17)*Léeme!$B$15,0)</f>
        <v>52825</v>
      </c>
      <c r="I17" s="11" t="n">
        <f aca="false">COUNTIFS(Cierres!$A$2:$A$478,"&gt;="&amp;DATE(2025,8,1),Cierres!$A$2:$A$478,"&lt;="&amp;EOMONTH(DATE(2025,8,1),0),Cierres!$B$2:$B$478,$B17,Cierres!$Q$2:$Q$478,"&lt;&gt;")</f>
        <v>24</v>
      </c>
      <c r="J17" s="11" t="n">
        <f aca="false">COUNTIFS(Cierres!$A$2:$A$478,"&gt;="&amp;DATE(2025,8,1),Cierres!$A$2:$A$478,"&lt;="&amp;EOMONTH(DATE(2025,8,1),0),Cierres!$B$2:$B$478,$B17,Cierres!$S$2:$S$478,"Cuadra")</f>
        <v>23</v>
      </c>
      <c r="K17" s="10" t="n">
        <f aca="false">IF(I17=0,"",J17/I17)</f>
        <v>0.958333333333333</v>
      </c>
      <c r="L17" s="9" t="n">
        <f aca="false">-SUMIFS(Cierres!$R$2:$R$478,Cierres!$A$2:$A$478,"&gt;="&amp;DATE(2025,8,1),Cierres!$A$2:$A$478,"&lt;="&amp;EOMONTH(DATE(2025,8,1),0),Cierres!$B$2:$B$478,$B17,Cierres!$R$2:$R$478,"&lt;"&amp;-Léeme!$B$12)</f>
        <v>610</v>
      </c>
    </row>
    <row r="18" customFormat="false" ht="15" hidden="false" customHeight="false" outlineLevel="0" collapsed="false">
      <c r="A18" s="8" t="s">
        <v>36</v>
      </c>
      <c r="B18" s="8" t="s">
        <v>27</v>
      </c>
      <c r="C18" s="9" t="n">
        <f aca="false">SUMIFS(Cierres!$J$2:$J$478,Cierres!$A$2:$A$478,"&gt;="&amp;DATE(2025,9,1),Cierres!$A$2:$A$478,"&lt;="&amp;EOMONTH(DATE(2025,9,1),0),Cierres!$B$2:$B$478,$B18)</f>
        <v>15321760</v>
      </c>
      <c r="D18" s="9" t="n">
        <f aca="false">SUMIFS(Cierres!$E$2:$E$478,Cierres!$A$2:$A$478,"&gt;="&amp;DATE(2025,9,1),Cierres!$A$2:$A$478,"&lt;="&amp;EOMONTH(DATE(2025,9,1),0),Cierres!$B$2:$B$478,$B18)</f>
        <v>10222300</v>
      </c>
      <c r="E18" s="10" t="n">
        <f aca="false">IF(C18=0,"",D18/C18)</f>
        <v>0.66717531145247</v>
      </c>
      <c r="F18" s="11" t="n">
        <f aca="false">SUMIFS(Cierres!$K$2:$K$478,Cierres!$A$2:$A$478,"&gt;="&amp;DATE(2025,9,1),Cierres!$A$2:$A$478,"&lt;="&amp;EOMONTH(DATE(2025,9,1),0),Cierres!$B$2:$B$478,$B18)</f>
        <v>1407</v>
      </c>
      <c r="G18" s="9" t="n">
        <f aca="false">IF(F18=0,"",SUMIFS(Cierres!$J$2:$J$478,Cierres!$A$2:$A$478,"&gt;="&amp;DATE(2025,9,1),Cierres!$A$2:$A$478,"&lt;="&amp;EOMONTH(DATE(2025,9,1),0),Cierres!$B$2:$B$478,$B18,Cierres!$K$2:$K$478,"&gt;0")/F18)</f>
        <v>10889.6659559346</v>
      </c>
      <c r="H18" s="9" t="n">
        <f aca="false">ROUND(SUMIFS(Cierres!$F$2:$F$478,Cierres!$A$2:$A$478,"&gt;="&amp;DATE(2025,9,1),Cierres!$A$2:$A$478,"&lt;="&amp;EOMONTH(DATE(2025,9,1),0),Cierres!$B$2:$B$478,$B18)*Léeme!$B$13+SUMIFS(Cierres!$G$2:$G$478,Cierres!$A$2:$A$478,"&gt;="&amp;DATE(2025,9,1),Cierres!$A$2:$A$478,"&lt;="&amp;EOMONTH(DATE(2025,9,1),0),Cierres!$B$2:$B$478,$B18)*Léeme!$B$14+SUMIFS(Cierres!$H$2:$H$478,Cierres!$A$2:$A$478,"&gt;="&amp;DATE(2025,9,1),Cierres!$A$2:$A$478,"&lt;="&amp;EOMONTH(DATE(2025,9,1),0),Cierres!$B$2:$B$478,$B18)*Léeme!$B$15,0)</f>
        <v>75169</v>
      </c>
      <c r="I18" s="11" t="n">
        <f aca="false">COUNTIFS(Cierres!$A$2:$A$478,"&gt;="&amp;DATE(2025,9,1),Cierres!$A$2:$A$478,"&lt;="&amp;EOMONTH(DATE(2025,9,1),0),Cierres!$B$2:$B$478,$B18,Cierres!$Q$2:$Q$478,"&lt;&gt;")</f>
        <v>25</v>
      </c>
      <c r="J18" s="11" t="n">
        <f aca="false">COUNTIFS(Cierres!$A$2:$A$478,"&gt;="&amp;DATE(2025,9,1),Cierres!$A$2:$A$478,"&lt;="&amp;EOMONTH(DATE(2025,9,1),0),Cierres!$B$2:$B$478,$B18,Cierres!$S$2:$S$478,"Cuadra")</f>
        <v>14</v>
      </c>
      <c r="K18" s="10" t="n">
        <f aca="false">IF(I18=0,"",J18/I18)</f>
        <v>0.56</v>
      </c>
      <c r="L18" s="9" t="n">
        <f aca="false">-SUMIFS(Cierres!$R$2:$R$478,Cierres!$A$2:$A$478,"&gt;="&amp;DATE(2025,9,1),Cierres!$A$2:$A$478,"&lt;="&amp;EOMONTH(DATE(2025,9,1),0),Cierres!$B$2:$B$478,$B18,Cierres!$R$2:$R$478,"&lt;"&amp;-Léeme!$B$12)</f>
        <v>40990</v>
      </c>
    </row>
    <row r="19" customFormat="false" ht="15" hidden="false" customHeight="false" outlineLevel="0" collapsed="false">
      <c r="A19" s="8" t="s">
        <v>36</v>
      </c>
      <c r="B19" s="8" t="s">
        <v>28</v>
      </c>
      <c r="C19" s="9" t="n">
        <f aca="false">SUMIFS(Cierres!$J$2:$J$478,Cierres!$A$2:$A$478,"&gt;="&amp;DATE(2025,9,1),Cierres!$A$2:$A$478,"&lt;="&amp;EOMONTH(DATE(2025,9,1),0),Cierres!$B$2:$B$478,$B19)</f>
        <v>9568090</v>
      </c>
      <c r="D19" s="9" t="n">
        <f aca="false">SUMIFS(Cierres!$E$2:$E$478,Cierres!$A$2:$A$478,"&gt;="&amp;DATE(2025,9,1),Cierres!$A$2:$A$478,"&lt;="&amp;EOMONTH(DATE(2025,9,1),0),Cierres!$B$2:$B$478,$B19)</f>
        <v>6398570</v>
      </c>
      <c r="E19" s="10" t="n">
        <f aca="false">IF(C19=0,"",D19/C19)</f>
        <v>0.668740574137576</v>
      </c>
      <c r="F19" s="11" t="n">
        <f aca="false">SUMIFS(Cierres!$K$2:$K$478,Cierres!$A$2:$A$478,"&gt;="&amp;DATE(2025,9,1),Cierres!$A$2:$A$478,"&lt;="&amp;EOMONTH(DATE(2025,9,1),0),Cierres!$B$2:$B$478,$B19)</f>
        <v>880</v>
      </c>
      <c r="G19" s="9" t="n">
        <f aca="false">IF(F19=0,"",SUMIFS(Cierres!$J$2:$J$478,Cierres!$A$2:$A$478,"&gt;="&amp;DATE(2025,9,1),Cierres!$A$2:$A$478,"&lt;="&amp;EOMONTH(DATE(2025,9,1),0),Cierres!$B$2:$B$478,$B19,Cierres!$K$2:$K$478,"&gt;0")/F19)</f>
        <v>10872.8295454545</v>
      </c>
      <c r="H19" s="9" t="n">
        <f aca="false">ROUND(SUMIFS(Cierres!$F$2:$F$478,Cierres!$A$2:$A$478,"&gt;="&amp;DATE(2025,9,1),Cierres!$A$2:$A$478,"&lt;="&amp;EOMONTH(DATE(2025,9,1),0),Cierres!$B$2:$B$478,$B19)*Léeme!$B$13+SUMIFS(Cierres!$G$2:$G$478,Cierres!$A$2:$A$478,"&gt;="&amp;DATE(2025,9,1),Cierres!$A$2:$A$478,"&lt;="&amp;EOMONTH(DATE(2025,9,1),0),Cierres!$B$2:$B$478,$B19)*Léeme!$B$14+SUMIFS(Cierres!$H$2:$H$478,Cierres!$A$2:$A$478,"&gt;="&amp;DATE(2025,9,1),Cierres!$A$2:$A$478,"&lt;="&amp;EOMONTH(DATE(2025,9,1),0),Cierres!$B$2:$B$478,$B19)*Léeme!$B$15,0)</f>
        <v>47035</v>
      </c>
      <c r="I19" s="11" t="n">
        <f aca="false">COUNTIFS(Cierres!$A$2:$A$478,"&gt;="&amp;DATE(2025,9,1),Cierres!$A$2:$A$478,"&lt;="&amp;EOMONTH(DATE(2025,9,1),0),Cierres!$B$2:$B$478,$B19,Cierres!$Q$2:$Q$478,"&lt;&gt;")</f>
        <v>23</v>
      </c>
      <c r="J19" s="11" t="n">
        <f aca="false">COUNTIFS(Cierres!$A$2:$A$478,"&gt;="&amp;DATE(2025,9,1),Cierres!$A$2:$A$478,"&lt;="&amp;EOMONTH(DATE(2025,9,1),0),Cierres!$B$2:$B$478,$B19,Cierres!$S$2:$S$478,"Cuadra")</f>
        <v>19</v>
      </c>
      <c r="K19" s="10" t="n">
        <f aca="false">IF(I19=0,"",J19/I19)</f>
        <v>0.826086956521739</v>
      </c>
      <c r="L19" s="9" t="n">
        <f aca="false">-SUMIFS(Cierres!$R$2:$R$478,Cierres!$A$2:$A$478,"&gt;="&amp;DATE(2025,9,1),Cierres!$A$2:$A$478,"&lt;="&amp;EOMONTH(DATE(2025,9,1),0),Cierres!$B$2:$B$478,$B19,Cierres!$R$2:$R$478,"&lt;"&amp;-Léeme!$B$12)</f>
        <v>1720</v>
      </c>
    </row>
    <row r="20" customFormat="false" ht="15" hidden="false" customHeight="false" outlineLevel="0" collapsed="false">
      <c r="A20" s="8" t="s">
        <v>37</v>
      </c>
      <c r="B20" s="8" t="s">
        <v>27</v>
      </c>
      <c r="C20" s="9" t="n">
        <f aca="false">SUMIFS(Cierres!$J$2:$J$478,Cierres!$A$2:$A$478,"&gt;="&amp;DATE(2025,10,1),Cierres!$A$2:$A$478,"&lt;="&amp;EOMONTH(DATE(2025,10,1),0),Cierres!$B$2:$B$478,$B20)</f>
        <v>4916270</v>
      </c>
      <c r="D20" s="9" t="n">
        <f aca="false">SUMIFS(Cierres!$E$2:$E$478,Cierres!$A$2:$A$478,"&gt;="&amp;DATE(2025,10,1),Cierres!$A$2:$A$478,"&lt;="&amp;EOMONTH(DATE(2025,10,1),0),Cierres!$B$2:$B$478,$B20)</f>
        <v>3282600</v>
      </c>
      <c r="E20" s="10" t="n">
        <f aca="false">IF(C20=0,"",D20/C20)</f>
        <v>0.667701326412097</v>
      </c>
      <c r="F20" s="11" t="n">
        <f aca="false">SUMIFS(Cierres!$K$2:$K$478,Cierres!$A$2:$A$478,"&gt;="&amp;DATE(2025,10,1),Cierres!$A$2:$A$478,"&lt;="&amp;EOMONTH(DATE(2025,10,1),0),Cierres!$B$2:$B$478,$B20)</f>
        <v>440</v>
      </c>
      <c r="G20" s="9" t="n">
        <f aca="false">IF(F20=0,"",SUMIFS(Cierres!$J$2:$J$478,Cierres!$A$2:$A$478,"&gt;="&amp;DATE(2025,10,1),Cierres!$A$2:$A$478,"&lt;="&amp;EOMONTH(DATE(2025,10,1),0),Cierres!$B$2:$B$478,$B20,Cierres!$K$2:$K$478,"&gt;0")/F20)</f>
        <v>11173.3409090909</v>
      </c>
      <c r="H20" s="9" t="n">
        <f aca="false">ROUND(SUMIFS(Cierres!$F$2:$F$478,Cierres!$A$2:$A$478,"&gt;="&amp;DATE(2025,10,1),Cierres!$A$2:$A$478,"&lt;="&amp;EOMONTH(DATE(2025,10,1),0),Cierres!$B$2:$B$478,$B20)*Léeme!$B$13+SUMIFS(Cierres!$G$2:$G$478,Cierres!$A$2:$A$478,"&gt;="&amp;DATE(2025,10,1),Cierres!$A$2:$A$478,"&lt;="&amp;EOMONTH(DATE(2025,10,1),0),Cierres!$B$2:$B$478,$B20)*Léeme!$B$14+SUMIFS(Cierres!$H$2:$H$478,Cierres!$A$2:$A$478,"&gt;="&amp;DATE(2025,10,1),Cierres!$A$2:$A$478,"&lt;="&amp;EOMONTH(DATE(2025,10,1),0),Cierres!$B$2:$B$478,$B20)*Léeme!$B$15,0)</f>
        <v>23890</v>
      </c>
      <c r="I20" s="11" t="n">
        <f aca="false">COUNTIFS(Cierres!$A$2:$A$478,"&gt;="&amp;DATE(2025,10,1),Cierres!$A$2:$A$478,"&lt;="&amp;EOMONTH(DATE(2025,10,1),0),Cierres!$B$2:$B$478,$B20,Cierres!$Q$2:$Q$478,"&lt;&gt;")</f>
        <v>8</v>
      </c>
      <c r="J20" s="11" t="n">
        <f aca="false">COUNTIFS(Cierres!$A$2:$A$478,"&gt;="&amp;DATE(2025,10,1),Cierres!$A$2:$A$478,"&lt;="&amp;EOMONTH(DATE(2025,10,1),0),Cierres!$B$2:$B$478,$B20,Cierres!$S$2:$S$478,"Cuadra")</f>
        <v>6</v>
      </c>
      <c r="K20" s="10" t="n">
        <f aca="false">IF(I20=0,"",J20/I20)</f>
        <v>0.75</v>
      </c>
      <c r="L20" s="9" t="n">
        <f aca="false">-SUMIFS(Cierres!$R$2:$R$478,Cierres!$A$2:$A$478,"&gt;="&amp;DATE(2025,10,1),Cierres!$A$2:$A$478,"&lt;="&amp;EOMONTH(DATE(2025,10,1),0),Cierres!$B$2:$B$478,$B20,Cierres!$R$2:$R$478,"&lt;"&amp;-Léeme!$B$12)</f>
        <v>15100</v>
      </c>
    </row>
    <row r="21" customFormat="false" ht="15" hidden="false" customHeight="false" outlineLevel="0" collapsed="false">
      <c r="A21" s="8" t="s">
        <v>37</v>
      </c>
      <c r="B21" s="8" t="s">
        <v>28</v>
      </c>
      <c r="C21" s="9" t="n">
        <f aca="false">SUMIFS(Cierres!$J$2:$J$478,Cierres!$A$2:$A$478,"&gt;="&amp;DATE(2025,10,1),Cierres!$A$2:$A$478,"&lt;="&amp;EOMONTH(DATE(2025,10,1),0),Cierres!$B$2:$B$478,$B21)</f>
        <v>3637310</v>
      </c>
      <c r="D21" s="9" t="n">
        <f aca="false">SUMIFS(Cierres!$E$2:$E$478,Cierres!$A$2:$A$478,"&gt;="&amp;DATE(2025,10,1),Cierres!$A$2:$A$478,"&lt;="&amp;EOMONTH(DATE(2025,10,1),0),Cierres!$B$2:$B$478,$B21)</f>
        <v>2402360</v>
      </c>
      <c r="E21" s="10" t="n">
        <f aca="false">IF(C21=0,"",D21/C21)</f>
        <v>0.660477110831906</v>
      </c>
      <c r="F21" s="11" t="n">
        <f aca="false">SUMIFS(Cierres!$K$2:$K$478,Cierres!$A$2:$A$478,"&gt;="&amp;DATE(2025,10,1),Cierres!$A$2:$A$478,"&lt;="&amp;EOMONTH(DATE(2025,10,1),0),Cierres!$B$2:$B$478,$B21)</f>
        <v>321</v>
      </c>
      <c r="G21" s="9" t="n">
        <f aca="false">IF(F21=0,"",SUMIFS(Cierres!$J$2:$J$478,Cierres!$A$2:$A$478,"&gt;="&amp;DATE(2025,10,1),Cierres!$A$2:$A$478,"&lt;="&amp;EOMONTH(DATE(2025,10,1),0),Cierres!$B$2:$B$478,$B21,Cierres!$K$2:$K$478,"&gt;0")/F21)</f>
        <v>11331.1838006231</v>
      </c>
      <c r="H21" s="9" t="n">
        <f aca="false">ROUND(SUMIFS(Cierres!$F$2:$F$478,Cierres!$A$2:$A$478,"&gt;="&amp;DATE(2025,10,1),Cierres!$A$2:$A$478,"&lt;="&amp;EOMONTH(DATE(2025,10,1),0),Cierres!$B$2:$B$478,$B21)*Léeme!$B$13+SUMIFS(Cierres!$G$2:$G$478,Cierres!$A$2:$A$478,"&gt;="&amp;DATE(2025,10,1),Cierres!$A$2:$A$478,"&lt;="&amp;EOMONTH(DATE(2025,10,1),0),Cierres!$B$2:$B$478,$B21)*Léeme!$B$14+SUMIFS(Cierres!$H$2:$H$478,Cierres!$A$2:$A$478,"&gt;="&amp;DATE(2025,10,1),Cierres!$A$2:$A$478,"&lt;="&amp;EOMONTH(DATE(2025,10,1),0),Cierres!$B$2:$B$478,$B21)*Léeme!$B$15,0)</f>
        <v>18085</v>
      </c>
      <c r="I21" s="11" t="n">
        <f aca="false">COUNTIFS(Cierres!$A$2:$A$478,"&gt;="&amp;DATE(2025,10,1),Cierres!$A$2:$A$478,"&lt;="&amp;EOMONTH(DATE(2025,10,1),0),Cierres!$B$2:$B$478,$B21,Cierres!$Q$2:$Q$478,"&lt;&gt;")</f>
        <v>8</v>
      </c>
      <c r="J21" s="11" t="n">
        <f aca="false">COUNTIFS(Cierres!$A$2:$A$478,"&gt;="&amp;DATE(2025,10,1),Cierres!$A$2:$A$478,"&lt;="&amp;EOMONTH(DATE(2025,10,1),0),Cierres!$B$2:$B$478,$B21,Cierres!$S$2:$S$478,"Cuadra")</f>
        <v>7</v>
      </c>
      <c r="K21" s="10" t="n">
        <f aca="false">IF(I21=0,"",J21/I21)</f>
        <v>0.875</v>
      </c>
      <c r="L21" s="9" t="n">
        <f aca="false">-SUMIFS(Cierres!$R$2:$R$478,Cierres!$A$2:$A$478,"&gt;="&amp;DATE(2025,10,1),Cierres!$A$2:$A$478,"&lt;="&amp;EOMONTH(DATE(2025,10,1),0),Cierres!$B$2:$B$478,$B21,Cierres!$R$2:$R$478,"&lt;"&amp;-Léeme!$B$12)</f>
        <v>-0</v>
      </c>
    </row>
    <row r="23" customFormat="false" ht="15" hidden="false" customHeight="false" outlineLevel="0" collapsed="false">
      <c r="A23" s="1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7" min="5" style="0" width="14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</row>
    <row r="2" customFormat="false" ht="15" hidden="false" customHeight="false" outlineLevel="0" collapsed="false">
      <c r="A2" s="13" t="n">
        <v>1</v>
      </c>
      <c r="B2" s="13" t="s">
        <v>51</v>
      </c>
      <c r="C2" s="13" t="s">
        <v>52</v>
      </c>
      <c r="D2" s="9" t="n">
        <f aca="false">SUMIFS(Pedidos!$D$2:$D$732,Pedidos!$B$2:$B$732,A2,Pedidos!$E$2:$E$732,"Cuenta corriente")</f>
        <v>3654800</v>
      </c>
      <c r="E2" s="9" t="n">
        <f aca="false">SUMIFS(Cobros!$D$2:$D$353,Cobros!$B$2:$B$353,A2)</f>
        <v>3487700</v>
      </c>
      <c r="F2" s="14" t="n">
        <f aca="false">IF(D2=0,"",D2-E2)</f>
        <v>167100</v>
      </c>
      <c r="G2" s="15" t="n">
        <v>167100</v>
      </c>
      <c r="H2" s="13" t="str">
        <f aca="false">IF(G2="","",IF(F2=G2,"OK","Revisar"))</f>
        <v>OK</v>
      </c>
      <c r="I2" s="9" t="n">
        <f aca="false">SUMIFS(Pedidos!$D$2:$D$732,Pedidos!$B$2:$B$732,A2,Pedidos!$E$2:$E$732,"Cuenta corriente",Pedidos!$A$2:$A$732,"&gt;"&amp;Léeme!$B$11-90)</f>
        <v>1330700</v>
      </c>
      <c r="J2" s="9" t="n">
        <f aca="false">SUMIFS(Cobros!$D$2:$D$353,Cobros!$B$2:$B$353,A2,Cobros!$A$2:$A$353,"&gt;"&amp;Léeme!$B$11-90)</f>
        <v>1213000</v>
      </c>
      <c r="K2" s="16" t="n">
        <f aca="false">IF(I2=0,"",J2/I2)</f>
        <v>0.911550311865935</v>
      </c>
      <c r="L2" s="13" t="s">
        <v>53</v>
      </c>
    </row>
    <row r="3" customFormat="false" ht="15" hidden="false" customHeight="false" outlineLevel="0" collapsed="false">
      <c r="A3" s="13" t="n">
        <v>2</v>
      </c>
      <c r="B3" s="13" t="s">
        <v>54</v>
      </c>
      <c r="C3" s="13" t="s">
        <v>55</v>
      </c>
      <c r="D3" s="9" t="n">
        <f aca="false">SUMIFS(Pedidos!$D$2:$D$732,Pedidos!$B$2:$B$732,A3,Pedidos!$E$2:$E$732,"Cuenta corriente")</f>
        <v>0</v>
      </c>
      <c r="E3" s="9" t="n">
        <f aca="false">SUMIFS(Cobros!$D$2:$D$353,Cobros!$B$2:$B$353,A3)</f>
        <v>1039700</v>
      </c>
      <c r="F3" s="14" t="str">
        <f aca="false">IF(D3=0,"",D3-E3)</f>
        <v/>
      </c>
      <c r="G3" s="15"/>
      <c r="H3" s="13" t="str">
        <f aca="false">IF(G3="","",IF(F3=G3,"OK","Revisar"))</f>
        <v/>
      </c>
      <c r="I3" s="9" t="n">
        <f aca="false">SUMIFS(Pedidos!$D$2:$D$732,Pedidos!$B$2:$B$732,A3,Pedidos!$E$2:$E$732,"Cuenta corriente",Pedidos!$A$2:$A$732,"&gt;"&amp;Léeme!$B$11-90)</f>
        <v>0</v>
      </c>
      <c r="J3" s="9" t="n">
        <f aca="false">SUMIFS(Cobros!$D$2:$D$353,Cobros!$B$2:$B$353,A3,Cobros!$A$2:$A$353,"&gt;"&amp;Léeme!$B$11-90)</f>
        <v>725200</v>
      </c>
      <c r="K3" s="16" t="str">
        <f aca="false">IF(I3=0,"",J3/I3)</f>
        <v/>
      </c>
      <c r="L3" s="13" t="s">
        <v>53</v>
      </c>
    </row>
    <row r="4" customFormat="false" ht="15" hidden="false" customHeight="false" outlineLevel="0" collapsed="false">
      <c r="A4" s="13" t="n">
        <v>3</v>
      </c>
      <c r="B4" s="13" t="s">
        <v>56</v>
      </c>
      <c r="C4" s="13" t="s">
        <v>52</v>
      </c>
      <c r="D4" s="9" t="n">
        <f aca="false">SUMIFS(Pedidos!$D$2:$D$732,Pedidos!$B$2:$B$732,A4,Pedidos!$E$2:$E$732,"Cuenta corriente")</f>
        <v>4064600</v>
      </c>
      <c r="E4" s="9" t="n">
        <f aca="false">SUMIFS(Cobros!$D$2:$D$353,Cobros!$B$2:$B$353,A4)</f>
        <v>4007200</v>
      </c>
      <c r="F4" s="14" t="n">
        <f aca="false">IF(D4=0,"",D4-E4)</f>
        <v>57400</v>
      </c>
      <c r="G4" s="15" t="n">
        <v>57400</v>
      </c>
      <c r="H4" s="13" t="str">
        <f aca="false">IF(G4="","",IF(F4=G4,"OK","Revisar"))</f>
        <v>OK</v>
      </c>
      <c r="I4" s="9" t="n">
        <f aca="false">SUMIFS(Pedidos!$D$2:$D$732,Pedidos!$B$2:$B$732,A4,Pedidos!$E$2:$E$732,"Cuenta corriente",Pedidos!$A$2:$A$732,"&gt;"&amp;Léeme!$B$11-90)</f>
        <v>0</v>
      </c>
      <c r="J4" s="9" t="n">
        <f aca="false">SUMIFS(Cobros!$D$2:$D$353,Cobros!$B$2:$B$353,A4,Cobros!$A$2:$A$353,"&gt;"&amp;Léeme!$B$11-90)</f>
        <v>0</v>
      </c>
      <c r="K4" s="16" t="str">
        <f aca="false">IF(I4=0,"",J4/I4)</f>
        <v/>
      </c>
      <c r="L4" s="13" t="s">
        <v>57</v>
      </c>
    </row>
    <row r="5" customFormat="false" ht="15" hidden="false" customHeight="false" outlineLevel="0" collapsed="false">
      <c r="A5" s="13" t="n">
        <v>4</v>
      </c>
      <c r="B5" s="13" t="s">
        <v>58</v>
      </c>
      <c r="C5" s="13" t="s">
        <v>52</v>
      </c>
      <c r="D5" s="9" t="n">
        <f aca="false">SUMIFS(Pedidos!$D$2:$D$732,Pedidos!$B$2:$B$732,A5,Pedidos!$E$2:$E$732,"Cuenta corriente")</f>
        <v>4973800</v>
      </c>
      <c r="E5" s="9" t="n">
        <f aca="false">SUMIFS(Cobros!$D$2:$D$353,Cobros!$B$2:$B$353,A5)</f>
        <v>4645600</v>
      </c>
      <c r="F5" s="14" t="n">
        <f aca="false">IF(D5=0,"",D5-E5)</f>
        <v>328200</v>
      </c>
      <c r="G5" s="15" t="n">
        <v>328200</v>
      </c>
      <c r="H5" s="13" t="str">
        <f aca="false">IF(G5="","",IF(F5=G5,"OK","Revisar"))</f>
        <v>OK</v>
      </c>
      <c r="I5" s="9" t="n">
        <f aca="false">SUMIFS(Pedidos!$D$2:$D$732,Pedidos!$B$2:$B$732,A5,Pedidos!$E$2:$E$732,"Cuenta corriente",Pedidos!$A$2:$A$732,"&gt;"&amp;Léeme!$B$11-90)</f>
        <v>1627200</v>
      </c>
      <c r="J5" s="9" t="n">
        <f aca="false">SUMIFS(Cobros!$D$2:$D$353,Cobros!$B$2:$B$353,A5,Cobros!$A$2:$A$353,"&gt;"&amp;Léeme!$B$11-90)</f>
        <v>1718200</v>
      </c>
      <c r="K5" s="16" t="n">
        <f aca="false">IF(I5=0,"",J5/I5)</f>
        <v>1.05592428711898</v>
      </c>
      <c r="L5" s="13" t="s">
        <v>53</v>
      </c>
    </row>
    <row r="6" customFormat="false" ht="15" hidden="false" customHeight="false" outlineLevel="0" collapsed="false">
      <c r="A6" s="13" t="n">
        <v>5</v>
      </c>
      <c r="B6" s="13" t="s">
        <v>59</v>
      </c>
      <c r="C6" s="13" t="s">
        <v>52</v>
      </c>
      <c r="D6" s="9" t="n">
        <f aca="false">SUMIFS(Pedidos!$D$2:$D$732,Pedidos!$B$2:$B$732,A6,Pedidos!$E$2:$E$732,"Cuenta corriente")</f>
        <v>5903900</v>
      </c>
      <c r="E6" s="9" t="n">
        <f aca="false">SUMIFS(Cobros!$D$2:$D$353,Cobros!$B$2:$B$353,A6)</f>
        <v>5301900</v>
      </c>
      <c r="F6" s="14" t="n">
        <f aca="false">IF(D6=0,"",D6-E6)</f>
        <v>602000</v>
      </c>
      <c r="G6" s="15" t="n">
        <v>602000</v>
      </c>
      <c r="H6" s="13" t="str">
        <f aca="false">IF(G6="","",IF(F6=G6,"OK","Revisar"))</f>
        <v>OK</v>
      </c>
      <c r="I6" s="9" t="n">
        <f aca="false">SUMIFS(Pedidos!$D$2:$D$732,Pedidos!$B$2:$B$732,A6,Pedidos!$E$2:$E$732,"Cuenta corriente",Pedidos!$A$2:$A$732,"&gt;"&amp;Léeme!$B$11-90)</f>
        <v>2135600</v>
      </c>
      <c r="J6" s="9" t="n">
        <f aca="false">SUMIFS(Cobros!$D$2:$D$353,Cobros!$B$2:$B$353,A6,Cobros!$A$2:$A$353,"&gt;"&amp;Léeme!$B$11-90)</f>
        <v>1554500</v>
      </c>
      <c r="K6" s="16" t="n">
        <f aca="false">IF(I6=0,"",J6/I6)</f>
        <v>0.727898482861959</v>
      </c>
      <c r="L6" s="13" t="s">
        <v>53</v>
      </c>
    </row>
    <row r="7" customFormat="false" ht="15" hidden="false" customHeight="false" outlineLevel="0" collapsed="false">
      <c r="A7" s="13" t="n">
        <v>6</v>
      </c>
      <c r="B7" s="13" t="s">
        <v>60</v>
      </c>
      <c r="C7" s="13" t="s">
        <v>52</v>
      </c>
      <c r="D7" s="9" t="n">
        <f aca="false">SUMIFS(Pedidos!$D$2:$D$732,Pedidos!$B$2:$B$732,A7,Pedidos!$E$2:$E$732,"Cuenta corriente")</f>
        <v>1516200</v>
      </c>
      <c r="E7" s="9" t="n">
        <f aca="false">SUMIFS(Cobros!$D$2:$D$353,Cobros!$B$2:$B$353,A7)</f>
        <v>1501800</v>
      </c>
      <c r="F7" s="14" t="n">
        <f aca="false">IF(D7=0,"",D7-E7)</f>
        <v>14400</v>
      </c>
      <c r="G7" s="15" t="n">
        <v>14400</v>
      </c>
      <c r="H7" s="13" t="str">
        <f aca="false">IF(G7="","",IF(F7=G7,"OK","Revisar"))</f>
        <v>OK</v>
      </c>
      <c r="I7" s="9" t="n">
        <f aca="false">SUMIFS(Pedidos!$D$2:$D$732,Pedidos!$B$2:$B$732,A7,Pedidos!$E$2:$E$732,"Cuenta corriente",Pedidos!$A$2:$A$732,"&gt;"&amp;Léeme!$B$11-90)</f>
        <v>482200</v>
      </c>
      <c r="J7" s="9" t="n">
        <f aca="false">SUMIFS(Cobros!$D$2:$D$353,Cobros!$B$2:$B$353,A7,Cobros!$A$2:$A$353,"&gt;"&amp;Léeme!$B$11-90)</f>
        <v>475600</v>
      </c>
      <c r="K7" s="16" t="n">
        <f aca="false">IF(I7=0,"",J7/I7)</f>
        <v>0.986312733305682</v>
      </c>
      <c r="L7" s="13" t="s">
        <v>61</v>
      </c>
    </row>
    <row r="8" customFormat="false" ht="15" hidden="false" customHeight="false" outlineLevel="0" collapsed="false">
      <c r="A8" s="13" t="n">
        <v>7</v>
      </c>
      <c r="B8" s="13" t="s">
        <v>62</v>
      </c>
      <c r="C8" s="13" t="s">
        <v>52</v>
      </c>
      <c r="D8" s="9" t="n">
        <f aca="false">SUMIFS(Pedidos!$D$2:$D$732,Pedidos!$B$2:$B$732,A8,Pedidos!$E$2:$E$732,"Cuenta corriente")</f>
        <v>1907400</v>
      </c>
      <c r="E8" s="9" t="n">
        <f aca="false">SUMIFS(Cobros!$D$2:$D$353,Cobros!$B$2:$B$353,A8)</f>
        <v>1826200</v>
      </c>
      <c r="F8" s="14" t="n">
        <f aca="false">IF(D8=0,"",D8-E8)</f>
        <v>81200</v>
      </c>
      <c r="G8" s="15" t="n">
        <v>81200</v>
      </c>
      <c r="H8" s="13" t="str">
        <f aca="false">IF(G8="","",IF(F8=G8,"OK","Revisar"))</f>
        <v>OK</v>
      </c>
      <c r="I8" s="9" t="n">
        <f aca="false">SUMIFS(Pedidos!$D$2:$D$732,Pedidos!$B$2:$B$732,A8,Pedidos!$E$2:$E$732,"Cuenta corriente",Pedidos!$A$2:$A$732,"&gt;"&amp;Léeme!$B$11-90)</f>
        <v>692100</v>
      </c>
      <c r="J8" s="9" t="n">
        <f aca="false">SUMIFS(Cobros!$D$2:$D$353,Cobros!$B$2:$B$353,A8,Cobros!$A$2:$A$353,"&gt;"&amp;Léeme!$B$11-90)</f>
        <v>614100</v>
      </c>
      <c r="K8" s="16" t="n">
        <f aca="false">IF(I8=0,"",J8/I8)</f>
        <v>0.88729952319029</v>
      </c>
      <c r="L8" s="13" t="s">
        <v>53</v>
      </c>
    </row>
    <row r="9" customFormat="false" ht="15" hidden="false" customHeight="false" outlineLevel="0" collapsed="false">
      <c r="A9" s="13" t="n">
        <v>8</v>
      </c>
      <c r="B9" s="13" t="s">
        <v>63</v>
      </c>
      <c r="C9" s="13" t="s">
        <v>55</v>
      </c>
      <c r="D9" s="9" t="n">
        <f aca="false">SUMIFS(Pedidos!$D$2:$D$732,Pedidos!$B$2:$B$732,A9,Pedidos!$E$2:$E$732,"Cuenta corriente")</f>
        <v>0</v>
      </c>
      <c r="E9" s="9" t="n">
        <f aca="false">SUMIFS(Cobros!$D$2:$D$353,Cobros!$B$2:$B$353,A9)</f>
        <v>4703400</v>
      </c>
      <c r="F9" s="14" t="str">
        <f aca="false">IF(D9=0,"",D9-E9)</f>
        <v/>
      </c>
      <c r="G9" s="15"/>
      <c r="H9" s="13" t="str">
        <f aca="false">IF(G9="","",IF(F9=G9,"OK","Revisar"))</f>
        <v/>
      </c>
      <c r="I9" s="9" t="n">
        <f aca="false">SUMIFS(Pedidos!$D$2:$D$732,Pedidos!$B$2:$B$732,A9,Pedidos!$E$2:$E$732,"Cuenta corriente",Pedidos!$A$2:$A$732,"&gt;"&amp;Léeme!$B$11-90)</f>
        <v>0</v>
      </c>
      <c r="J9" s="9" t="n">
        <f aca="false">SUMIFS(Cobros!$D$2:$D$353,Cobros!$B$2:$B$353,A9,Cobros!$A$2:$A$353,"&gt;"&amp;Léeme!$B$11-90)</f>
        <v>3475700</v>
      </c>
      <c r="K9" s="16" t="str">
        <f aca="false">IF(I9=0,"",J9/I9)</f>
        <v/>
      </c>
      <c r="L9" s="13" t="s">
        <v>53</v>
      </c>
    </row>
    <row r="10" customFormat="false" ht="15" hidden="false" customHeight="false" outlineLevel="0" collapsed="false">
      <c r="A10" s="13" t="n">
        <v>9</v>
      </c>
      <c r="B10" s="13" t="s">
        <v>64</v>
      </c>
      <c r="C10" s="13" t="s">
        <v>55</v>
      </c>
      <c r="D10" s="9" t="n">
        <f aca="false">SUMIFS(Pedidos!$D$2:$D$732,Pedidos!$B$2:$B$732,A10,Pedidos!$E$2:$E$732,"Cuenta corriente")</f>
        <v>0</v>
      </c>
      <c r="E10" s="9" t="n">
        <f aca="false">SUMIFS(Cobros!$D$2:$D$353,Cobros!$B$2:$B$353,A10)</f>
        <v>950100</v>
      </c>
      <c r="F10" s="14" t="str">
        <f aca="false">IF(D10=0,"",D10-E10)</f>
        <v/>
      </c>
      <c r="G10" s="15"/>
      <c r="H10" s="13" t="str">
        <f aca="false">IF(G10="","",IF(F10=G10,"OK","Revisar"))</f>
        <v/>
      </c>
      <c r="I10" s="9" t="n">
        <f aca="false">SUMIFS(Pedidos!$D$2:$D$732,Pedidos!$B$2:$B$732,A10,Pedidos!$E$2:$E$732,"Cuenta corriente",Pedidos!$A$2:$A$732,"&gt;"&amp;Léeme!$B$11-90)</f>
        <v>0</v>
      </c>
      <c r="J10" s="9" t="n">
        <f aca="false">SUMIFS(Cobros!$D$2:$D$353,Cobros!$B$2:$B$353,A10,Cobros!$A$2:$A$353,"&gt;"&amp;Léeme!$B$11-90)</f>
        <v>660500</v>
      </c>
      <c r="K10" s="16" t="str">
        <f aca="false">IF(I10=0,"",J10/I10)</f>
        <v/>
      </c>
      <c r="L10" s="13" t="s">
        <v>53</v>
      </c>
    </row>
    <row r="11" customFormat="false" ht="15" hidden="false" customHeight="false" outlineLevel="0" collapsed="false">
      <c r="A11" s="13" t="n">
        <v>10</v>
      </c>
      <c r="B11" s="13" t="s">
        <v>65</v>
      </c>
      <c r="C11" s="13" t="s">
        <v>52</v>
      </c>
      <c r="D11" s="9" t="n">
        <f aca="false">SUMIFS(Pedidos!$D$2:$D$732,Pedidos!$B$2:$B$732,A11,Pedidos!$E$2:$E$732,"Cuenta corriente")</f>
        <v>1681300</v>
      </c>
      <c r="E11" s="9" t="n">
        <f aca="false">SUMIFS(Cobros!$D$2:$D$353,Cobros!$B$2:$B$353,A11)</f>
        <v>1529400</v>
      </c>
      <c r="F11" s="14" t="n">
        <f aca="false">IF(D11=0,"",D11-E11)</f>
        <v>151900</v>
      </c>
      <c r="G11" s="15" t="n">
        <v>151900</v>
      </c>
      <c r="H11" s="13" t="str">
        <f aca="false">IF(G11="","",IF(F11=G11,"OK","Revisar"))</f>
        <v>OK</v>
      </c>
      <c r="I11" s="9" t="n">
        <f aca="false">SUMIFS(Pedidos!$D$2:$D$732,Pedidos!$B$2:$B$732,A11,Pedidos!$E$2:$E$732,"Cuenta corriente",Pedidos!$A$2:$A$732,"&gt;"&amp;Léeme!$B$11-90)</f>
        <v>206000</v>
      </c>
      <c r="J11" s="9" t="n">
        <f aca="false">SUMIFS(Cobros!$D$2:$D$353,Cobros!$B$2:$B$353,A11,Cobros!$A$2:$A$353,"&gt;"&amp;Léeme!$B$11-90)</f>
        <v>213900</v>
      </c>
      <c r="K11" s="16" t="n">
        <f aca="false">IF(I11=0,"",J11/I11)</f>
        <v>1.03834951456311</v>
      </c>
      <c r="L11" s="13" t="s">
        <v>57</v>
      </c>
    </row>
    <row r="12" customFormat="false" ht="15" hidden="false" customHeight="false" outlineLevel="0" collapsed="false">
      <c r="A12" s="13" t="n">
        <v>11</v>
      </c>
      <c r="B12" s="13" t="s">
        <v>66</v>
      </c>
      <c r="C12" s="13" t="s">
        <v>55</v>
      </c>
      <c r="D12" s="9" t="n">
        <f aca="false">SUMIFS(Pedidos!$D$2:$D$732,Pedidos!$B$2:$B$732,A12,Pedidos!$E$2:$E$732,"Cuenta corriente")</f>
        <v>0</v>
      </c>
      <c r="E12" s="9" t="n">
        <f aca="false">SUMIFS(Cobros!$D$2:$D$353,Cobros!$B$2:$B$353,A12)</f>
        <v>2368400</v>
      </c>
      <c r="F12" s="14" t="str">
        <f aca="false">IF(D12=0,"",D12-E12)</f>
        <v/>
      </c>
      <c r="G12" s="15"/>
      <c r="H12" s="13" t="str">
        <f aca="false">IF(G12="","",IF(F12=G12,"OK","Revisar"))</f>
        <v/>
      </c>
      <c r="I12" s="9" t="n">
        <f aca="false">SUMIFS(Pedidos!$D$2:$D$732,Pedidos!$B$2:$B$732,A12,Pedidos!$E$2:$E$732,"Cuenta corriente",Pedidos!$A$2:$A$732,"&gt;"&amp;Léeme!$B$11-90)</f>
        <v>0</v>
      </c>
      <c r="J12" s="9" t="n">
        <f aca="false">SUMIFS(Cobros!$D$2:$D$353,Cobros!$B$2:$B$353,A12,Cobros!$A$2:$A$353,"&gt;"&amp;Léeme!$B$11-90)</f>
        <v>1726000</v>
      </c>
      <c r="K12" s="16" t="str">
        <f aca="false">IF(I12=0,"",J12/I12)</f>
        <v/>
      </c>
      <c r="L12" s="13" t="s">
        <v>53</v>
      </c>
    </row>
    <row r="13" customFormat="false" ht="15" hidden="false" customHeight="false" outlineLevel="0" collapsed="false">
      <c r="A13" s="13" t="n">
        <v>12</v>
      </c>
      <c r="B13" s="13" t="s">
        <v>67</v>
      </c>
      <c r="C13" s="13" t="s">
        <v>55</v>
      </c>
      <c r="D13" s="9" t="n">
        <f aca="false">SUMIFS(Pedidos!$D$2:$D$732,Pedidos!$B$2:$B$732,A13,Pedidos!$E$2:$E$732,"Cuenta corriente")</f>
        <v>0</v>
      </c>
      <c r="E13" s="9" t="n">
        <f aca="false">SUMIFS(Cobros!$D$2:$D$353,Cobros!$B$2:$B$353,A13)</f>
        <v>1417200</v>
      </c>
      <c r="F13" s="14" t="str">
        <f aca="false">IF(D13=0,"",D13-E13)</f>
        <v/>
      </c>
      <c r="G13" s="15"/>
      <c r="H13" s="13" t="str">
        <f aca="false">IF(G13="","",IF(F13=G13,"OK","Revisar"))</f>
        <v/>
      </c>
      <c r="I13" s="9" t="n">
        <f aca="false">SUMIFS(Pedidos!$D$2:$D$732,Pedidos!$B$2:$B$732,A13,Pedidos!$E$2:$E$732,"Cuenta corriente",Pedidos!$A$2:$A$732,"&gt;"&amp;Léeme!$B$11-90)</f>
        <v>0</v>
      </c>
      <c r="J13" s="9" t="n">
        <f aca="false">SUMIFS(Cobros!$D$2:$D$353,Cobros!$B$2:$B$353,A13,Cobros!$A$2:$A$353,"&gt;"&amp;Léeme!$B$11-90)</f>
        <v>1142800</v>
      </c>
      <c r="K13" s="16" t="str">
        <f aca="false">IF(I13=0,"",J13/I13)</f>
        <v/>
      </c>
      <c r="L13" s="13" t="s">
        <v>53</v>
      </c>
    </row>
    <row r="14" customFormat="false" ht="15" hidden="false" customHeight="false" outlineLevel="0" collapsed="false">
      <c r="A14" s="13" t="n">
        <v>13</v>
      </c>
      <c r="B14" s="13" t="s">
        <v>68</v>
      </c>
      <c r="C14" s="13" t="s">
        <v>52</v>
      </c>
      <c r="D14" s="9" t="n">
        <f aca="false">SUMIFS(Pedidos!$D$2:$D$732,Pedidos!$B$2:$B$732,A14,Pedidos!$E$2:$E$732,"Cuenta corriente")</f>
        <v>1448200</v>
      </c>
      <c r="E14" s="9" t="n">
        <f aca="false">SUMIFS(Cobros!$D$2:$D$353,Cobros!$B$2:$B$353,A14)</f>
        <v>1187700</v>
      </c>
      <c r="F14" s="14" t="n">
        <f aca="false">IF(D14=0,"",D14-E14)</f>
        <v>260500</v>
      </c>
      <c r="G14" s="15" t="n">
        <v>260500</v>
      </c>
      <c r="H14" s="13" t="str">
        <f aca="false">IF(G14="","",IF(F14=G14,"OK","Revisar"))</f>
        <v>OK</v>
      </c>
      <c r="I14" s="9" t="n">
        <f aca="false">SUMIFS(Pedidos!$D$2:$D$732,Pedidos!$B$2:$B$732,A14,Pedidos!$E$2:$E$732,"Cuenta corriente",Pedidos!$A$2:$A$732,"&gt;"&amp;Léeme!$B$11-90)</f>
        <v>556900</v>
      </c>
      <c r="J14" s="9" t="n">
        <f aca="false">SUMIFS(Cobros!$D$2:$D$353,Cobros!$B$2:$B$353,A14,Cobros!$A$2:$A$353,"&gt;"&amp;Léeme!$B$11-90)</f>
        <v>349400</v>
      </c>
      <c r="K14" s="16" t="n">
        <f aca="false">IF(I14=0,"",J14/I14)</f>
        <v>0.627401687915245</v>
      </c>
      <c r="L14" s="13" t="s">
        <v>69</v>
      </c>
    </row>
    <row r="15" customFormat="false" ht="15" hidden="false" customHeight="false" outlineLevel="0" collapsed="false">
      <c r="A15" s="13" t="n">
        <v>14</v>
      </c>
      <c r="B15" s="13" t="s">
        <v>70</v>
      </c>
      <c r="C15" s="13" t="s">
        <v>52</v>
      </c>
      <c r="D15" s="9" t="n">
        <f aca="false">SUMIFS(Pedidos!$D$2:$D$732,Pedidos!$B$2:$B$732,A15,Pedidos!$E$2:$E$732,"Cuenta corriente")</f>
        <v>3867000</v>
      </c>
      <c r="E15" s="9" t="n">
        <f aca="false">SUMIFS(Cobros!$D$2:$D$353,Cobros!$B$2:$B$353,A15)</f>
        <v>3654000</v>
      </c>
      <c r="F15" s="14" t="n">
        <f aca="false">IF(D15=0,"",D15-E15)</f>
        <v>213000</v>
      </c>
      <c r="G15" s="15" t="n">
        <v>213000</v>
      </c>
      <c r="H15" s="13" t="str">
        <f aca="false">IF(G15="","",IF(F15=G15,"OK","Revisar"))</f>
        <v>OK</v>
      </c>
      <c r="I15" s="9" t="n">
        <f aca="false">SUMIFS(Pedidos!$D$2:$D$732,Pedidos!$B$2:$B$732,A15,Pedidos!$E$2:$E$732,"Cuenta corriente",Pedidos!$A$2:$A$732,"&gt;"&amp;Léeme!$B$11-90)</f>
        <v>1220300</v>
      </c>
      <c r="J15" s="9" t="n">
        <f aca="false">SUMIFS(Cobros!$D$2:$D$353,Cobros!$B$2:$B$353,A15,Cobros!$A$2:$A$353,"&gt;"&amp;Léeme!$B$11-90)</f>
        <v>1301200</v>
      </c>
      <c r="K15" s="16" t="n">
        <f aca="false">IF(I15=0,"",J15/I15)</f>
        <v>1.06629517331804</v>
      </c>
      <c r="L15" s="13" t="s">
        <v>53</v>
      </c>
    </row>
    <row r="16" customFormat="false" ht="15" hidden="false" customHeight="false" outlineLevel="0" collapsed="false">
      <c r="A16" s="13" t="n">
        <v>15</v>
      </c>
      <c r="B16" s="13" t="s">
        <v>71</v>
      </c>
      <c r="C16" s="13" t="s">
        <v>52</v>
      </c>
      <c r="D16" s="9" t="n">
        <f aca="false">SUMIFS(Pedidos!$D$2:$D$732,Pedidos!$B$2:$B$732,A16,Pedidos!$E$2:$E$732,"Cuenta corriente")</f>
        <v>5105800</v>
      </c>
      <c r="E16" s="9" t="n">
        <f aca="false">SUMIFS(Cobros!$D$2:$D$353,Cobros!$B$2:$B$353,A16)</f>
        <v>4929400</v>
      </c>
      <c r="F16" s="14" t="n">
        <f aca="false">IF(D16=0,"",D16-E16)</f>
        <v>176400</v>
      </c>
      <c r="G16" s="15" t="n">
        <v>176400</v>
      </c>
      <c r="H16" s="13" t="str">
        <f aca="false">IF(G16="","",IF(F16=G16,"OK","Revisar"))</f>
        <v>OK</v>
      </c>
      <c r="I16" s="9" t="n">
        <f aca="false">SUMIFS(Pedidos!$D$2:$D$732,Pedidos!$B$2:$B$732,A16,Pedidos!$E$2:$E$732,"Cuenta corriente",Pedidos!$A$2:$A$732,"&gt;"&amp;Léeme!$B$11-90)</f>
        <v>1725000</v>
      </c>
      <c r="J16" s="9" t="n">
        <f aca="false">SUMIFS(Cobros!$D$2:$D$353,Cobros!$B$2:$B$353,A16,Cobros!$A$2:$A$353,"&gt;"&amp;Léeme!$B$11-90)</f>
        <v>1689600</v>
      </c>
      <c r="K16" s="16" t="n">
        <f aca="false">IF(I16=0,"",J16/I16)</f>
        <v>0.979478260869565</v>
      </c>
      <c r="L16" s="13" t="s">
        <v>53</v>
      </c>
    </row>
    <row r="17" customFormat="false" ht="15" hidden="false" customHeight="false" outlineLevel="0" collapsed="false">
      <c r="A17" s="13" t="n">
        <v>16</v>
      </c>
      <c r="B17" s="13" t="s">
        <v>72</v>
      </c>
      <c r="C17" s="13" t="s">
        <v>55</v>
      </c>
      <c r="D17" s="9" t="n">
        <f aca="false">SUMIFS(Pedidos!$D$2:$D$732,Pedidos!$B$2:$B$732,A17,Pedidos!$E$2:$E$732,"Cuenta corriente")</f>
        <v>0</v>
      </c>
      <c r="E17" s="9" t="n">
        <f aca="false">SUMIFS(Cobros!$D$2:$D$353,Cobros!$B$2:$B$353,A17)</f>
        <v>1578000</v>
      </c>
      <c r="F17" s="14" t="str">
        <f aca="false">IF(D17=0,"",D17-E17)</f>
        <v/>
      </c>
      <c r="G17" s="15"/>
      <c r="H17" s="13" t="str">
        <f aca="false">IF(G17="","",IF(F17=G17,"OK","Revisar"))</f>
        <v/>
      </c>
      <c r="I17" s="9" t="n">
        <f aca="false">SUMIFS(Pedidos!$D$2:$D$732,Pedidos!$B$2:$B$732,A17,Pedidos!$E$2:$E$732,"Cuenta corriente",Pedidos!$A$2:$A$732,"&gt;"&amp;Léeme!$B$11-90)</f>
        <v>0</v>
      </c>
      <c r="J17" s="9" t="n">
        <f aca="false">SUMIFS(Cobros!$D$2:$D$353,Cobros!$B$2:$B$353,A17,Cobros!$A$2:$A$353,"&gt;"&amp;Léeme!$B$11-90)</f>
        <v>1091500</v>
      </c>
      <c r="K17" s="16" t="str">
        <f aca="false">IF(I17=0,"",J17/I17)</f>
        <v/>
      </c>
      <c r="L17" s="13" t="s">
        <v>53</v>
      </c>
    </row>
    <row r="18" customFormat="false" ht="15" hidden="false" customHeight="false" outlineLevel="0" collapsed="false">
      <c r="A18" s="13" t="n">
        <v>17</v>
      </c>
      <c r="B18" s="13" t="s">
        <v>73</v>
      </c>
      <c r="C18" s="13" t="s">
        <v>52</v>
      </c>
      <c r="D18" s="9" t="n">
        <f aca="false">SUMIFS(Pedidos!$D$2:$D$732,Pedidos!$B$2:$B$732,A18,Pedidos!$E$2:$E$732,"Cuenta corriente")</f>
        <v>1691500</v>
      </c>
      <c r="E18" s="9" t="n">
        <f aca="false">SUMIFS(Cobros!$D$2:$D$353,Cobros!$B$2:$B$353,A18)</f>
        <v>1562400</v>
      </c>
      <c r="F18" s="14" t="n">
        <f aca="false">IF(D18=0,"",D18-E18)</f>
        <v>129100</v>
      </c>
      <c r="G18" s="15" t="n">
        <v>129100</v>
      </c>
      <c r="H18" s="13" t="str">
        <f aca="false">IF(G18="","",IF(F18=G18,"OK","Revisar"))</f>
        <v>OK</v>
      </c>
      <c r="I18" s="9" t="n">
        <f aca="false">SUMIFS(Pedidos!$D$2:$D$732,Pedidos!$B$2:$B$732,A18,Pedidos!$E$2:$E$732,"Cuenta corriente",Pedidos!$A$2:$A$732,"&gt;"&amp;Léeme!$B$11-90)</f>
        <v>329900</v>
      </c>
      <c r="J18" s="9" t="n">
        <f aca="false">SUMIFS(Cobros!$D$2:$D$353,Cobros!$B$2:$B$353,A18,Cobros!$A$2:$A$353,"&gt;"&amp;Léeme!$B$11-90)</f>
        <v>343200</v>
      </c>
      <c r="K18" s="16" t="n">
        <f aca="false">IF(I18=0,"",J18/I18)</f>
        <v>1.04031524704456</v>
      </c>
      <c r="L18" s="13" t="s">
        <v>57</v>
      </c>
    </row>
    <row r="19" customFormat="false" ht="15" hidden="false" customHeight="false" outlineLevel="0" collapsed="false">
      <c r="A19" s="13" t="n">
        <v>18</v>
      </c>
      <c r="B19" s="13" t="s">
        <v>74</v>
      </c>
      <c r="C19" s="13" t="s">
        <v>55</v>
      </c>
      <c r="D19" s="9" t="n">
        <f aca="false">SUMIFS(Pedidos!$D$2:$D$732,Pedidos!$B$2:$B$732,A19,Pedidos!$E$2:$E$732,"Cuenta corriente")</f>
        <v>0</v>
      </c>
      <c r="E19" s="9" t="n">
        <f aca="false">SUMIFS(Cobros!$D$2:$D$353,Cobros!$B$2:$B$353,A19)</f>
        <v>1334400</v>
      </c>
      <c r="F19" s="14" t="str">
        <f aca="false">IF(D19=0,"",D19-E19)</f>
        <v/>
      </c>
      <c r="G19" s="15"/>
      <c r="H19" s="13" t="str">
        <f aca="false">IF(G19="","",IF(F19=G19,"OK","Revisar"))</f>
        <v/>
      </c>
      <c r="I19" s="9" t="n">
        <f aca="false">SUMIFS(Pedidos!$D$2:$D$732,Pedidos!$B$2:$B$732,A19,Pedidos!$E$2:$E$732,"Cuenta corriente",Pedidos!$A$2:$A$732,"&gt;"&amp;Léeme!$B$11-90)</f>
        <v>0</v>
      </c>
      <c r="J19" s="9" t="n">
        <f aca="false">SUMIFS(Cobros!$D$2:$D$353,Cobros!$B$2:$B$353,A19,Cobros!$A$2:$A$353,"&gt;"&amp;Léeme!$B$11-90)</f>
        <v>1019400</v>
      </c>
      <c r="K19" s="16" t="str">
        <f aca="false">IF(I19=0,"",J19/I19)</f>
        <v/>
      </c>
      <c r="L19" s="13" t="s">
        <v>53</v>
      </c>
    </row>
    <row r="20" customFormat="false" ht="15" hidden="false" customHeight="false" outlineLevel="0" collapsed="false">
      <c r="A20" s="13" t="n">
        <v>19</v>
      </c>
      <c r="B20" s="13" t="s">
        <v>75</v>
      </c>
      <c r="C20" s="13" t="s">
        <v>52</v>
      </c>
      <c r="D20" s="9" t="n">
        <f aca="false">SUMIFS(Pedidos!$D$2:$D$732,Pedidos!$B$2:$B$732,A20,Pedidos!$E$2:$E$732,"Cuenta corriente")</f>
        <v>7778500</v>
      </c>
      <c r="E20" s="9" t="n">
        <f aca="false">SUMIFS(Cobros!$D$2:$D$353,Cobros!$B$2:$B$353,A20)</f>
        <v>7654600</v>
      </c>
      <c r="F20" s="14" t="n">
        <f aca="false">IF(D20=0,"",D20-E20)</f>
        <v>123900</v>
      </c>
      <c r="G20" s="15" t="n">
        <v>123900</v>
      </c>
      <c r="H20" s="13" t="str">
        <f aca="false">IF(G20="","",IF(F20=G20,"OK","Revisar"))</f>
        <v>OK</v>
      </c>
      <c r="I20" s="9" t="n">
        <f aca="false">SUMIFS(Pedidos!$D$2:$D$732,Pedidos!$B$2:$B$732,A20,Pedidos!$E$2:$E$732,"Cuenta corriente",Pedidos!$A$2:$A$732,"&gt;"&amp;Léeme!$B$11-90)</f>
        <v>3007700</v>
      </c>
      <c r="J20" s="9" t="n">
        <f aca="false">SUMIFS(Cobros!$D$2:$D$353,Cobros!$B$2:$B$353,A20,Cobros!$A$2:$A$353,"&gt;"&amp;Léeme!$B$11-90)</f>
        <v>2996700</v>
      </c>
      <c r="K20" s="16" t="n">
        <f aca="false">IF(I20=0,"",J20/I20)</f>
        <v>0.996342720351099</v>
      </c>
      <c r="L20" s="13" t="s">
        <v>53</v>
      </c>
    </row>
    <row r="21" customFormat="false" ht="15" hidden="false" customHeight="false" outlineLevel="0" collapsed="false">
      <c r="A21" s="13" t="n">
        <v>20</v>
      </c>
      <c r="B21" s="13" t="s">
        <v>76</v>
      </c>
      <c r="C21" s="13" t="s">
        <v>52</v>
      </c>
      <c r="D21" s="9" t="n">
        <f aca="false">SUMIFS(Pedidos!$D$2:$D$732,Pedidos!$B$2:$B$732,A21,Pedidos!$E$2:$E$732,"Cuenta corriente")</f>
        <v>4802500</v>
      </c>
      <c r="E21" s="9" t="n">
        <f aca="false">SUMIFS(Cobros!$D$2:$D$353,Cobros!$B$2:$B$353,A21)</f>
        <v>4624400</v>
      </c>
      <c r="F21" s="14" t="n">
        <f aca="false">IF(D21=0,"",D21-E21)</f>
        <v>178100</v>
      </c>
      <c r="G21" s="15" t="n">
        <v>178100</v>
      </c>
      <c r="H21" s="13" t="str">
        <f aca="false">IF(G21="","",IF(F21=G21,"OK","Revisar"))</f>
        <v>OK</v>
      </c>
      <c r="I21" s="9" t="n">
        <f aca="false">SUMIFS(Pedidos!$D$2:$D$732,Pedidos!$B$2:$B$732,A21,Pedidos!$E$2:$E$732,"Cuenta corriente",Pedidos!$A$2:$A$732,"&gt;"&amp;Léeme!$B$11-90)</f>
        <v>1420000</v>
      </c>
      <c r="J21" s="9" t="n">
        <f aca="false">SUMIFS(Cobros!$D$2:$D$353,Cobros!$B$2:$B$353,A21,Cobros!$A$2:$A$353,"&gt;"&amp;Léeme!$B$11-90)</f>
        <v>1460400</v>
      </c>
      <c r="K21" s="16" t="n">
        <f aca="false">IF(I21=0,"",J21/I21)</f>
        <v>1.02845070422535</v>
      </c>
      <c r="L21" s="13" t="s">
        <v>53</v>
      </c>
    </row>
    <row r="22" customFormat="false" ht="15" hidden="false" customHeight="false" outlineLevel="0" collapsed="false">
      <c r="A22" s="13" t="n">
        <v>21</v>
      </c>
      <c r="B22" s="13" t="s">
        <v>77</v>
      </c>
      <c r="C22" s="13" t="s">
        <v>52</v>
      </c>
      <c r="D22" s="9" t="n">
        <f aca="false">SUMIFS(Pedidos!$D$2:$D$732,Pedidos!$B$2:$B$732,A22,Pedidos!$E$2:$E$732,"Cuenta corriente")</f>
        <v>2769700</v>
      </c>
      <c r="E22" s="9" t="n">
        <f aca="false">SUMIFS(Cobros!$D$2:$D$353,Cobros!$B$2:$B$353,A22)</f>
        <v>2769100</v>
      </c>
      <c r="F22" s="14" t="n">
        <f aca="false">IF(D22=0,"",D22-E22)</f>
        <v>600</v>
      </c>
      <c r="G22" s="15" t="n">
        <v>600</v>
      </c>
      <c r="H22" s="13" t="str">
        <f aca="false">IF(G22="","",IF(F22=G22,"OK","Revisar"))</f>
        <v>OK</v>
      </c>
      <c r="I22" s="9" t="n">
        <f aca="false">SUMIFS(Pedidos!$D$2:$D$732,Pedidos!$B$2:$B$732,A22,Pedidos!$E$2:$E$732,"Cuenta corriente",Pedidos!$A$2:$A$732,"&gt;"&amp;Léeme!$B$11-90)</f>
        <v>857300</v>
      </c>
      <c r="J22" s="9" t="n">
        <f aca="false">SUMIFS(Cobros!$D$2:$D$353,Cobros!$B$2:$B$353,A22,Cobros!$A$2:$A$353,"&gt;"&amp;Léeme!$B$11-90)</f>
        <v>880500</v>
      </c>
      <c r="K22" s="16" t="n">
        <f aca="false">IF(I22=0,"",J22/I22)</f>
        <v>1.02706170535402</v>
      </c>
      <c r="L22" s="13" t="s">
        <v>78</v>
      </c>
    </row>
    <row r="23" customFormat="false" ht="15" hidden="false" customHeight="false" outlineLevel="0" collapsed="false">
      <c r="A23" s="13" t="n">
        <v>22</v>
      </c>
      <c r="B23" s="13" t="s">
        <v>79</v>
      </c>
      <c r="C23" s="13" t="s">
        <v>55</v>
      </c>
      <c r="D23" s="9" t="n">
        <f aca="false">SUMIFS(Pedidos!$D$2:$D$732,Pedidos!$B$2:$B$732,A23,Pedidos!$E$2:$E$732,"Cuenta corriente")</f>
        <v>0</v>
      </c>
      <c r="E23" s="9" t="n">
        <f aca="false">SUMIFS(Cobros!$D$2:$D$353,Cobros!$B$2:$B$353,A23)</f>
        <v>4820600</v>
      </c>
      <c r="F23" s="14" t="str">
        <f aca="false">IF(D23=0,"",D23-E23)</f>
        <v/>
      </c>
      <c r="G23" s="15"/>
      <c r="H23" s="13" t="str">
        <f aca="false">IF(G23="","",IF(F23=G23,"OK","Revisar"))</f>
        <v/>
      </c>
      <c r="I23" s="9" t="n">
        <f aca="false">SUMIFS(Pedidos!$D$2:$D$732,Pedidos!$B$2:$B$732,A23,Pedidos!$E$2:$E$732,"Cuenta corriente",Pedidos!$A$2:$A$732,"&gt;"&amp;Léeme!$B$11-90)</f>
        <v>0</v>
      </c>
      <c r="J23" s="9" t="n">
        <f aca="false">SUMIFS(Cobros!$D$2:$D$353,Cobros!$B$2:$B$353,A23,Cobros!$A$2:$A$353,"&gt;"&amp;Léeme!$B$11-90)</f>
        <v>3412700</v>
      </c>
      <c r="K23" s="16" t="str">
        <f aca="false">IF(I23=0,"",J23/I23)</f>
        <v/>
      </c>
      <c r="L23" s="13" t="s">
        <v>53</v>
      </c>
    </row>
    <row r="24" customFormat="false" ht="15" hidden="false" customHeight="false" outlineLevel="0" collapsed="false">
      <c r="A24" s="13" t="n">
        <v>23</v>
      </c>
      <c r="B24" s="13" t="s">
        <v>80</v>
      </c>
      <c r="C24" s="13" t="s">
        <v>55</v>
      </c>
      <c r="D24" s="9" t="n">
        <f aca="false">SUMIFS(Pedidos!$D$2:$D$732,Pedidos!$B$2:$B$732,A24,Pedidos!$E$2:$E$732,"Cuenta corriente")</f>
        <v>0</v>
      </c>
      <c r="E24" s="9" t="n">
        <f aca="false">SUMIFS(Cobros!$D$2:$D$353,Cobros!$B$2:$B$353,A24)</f>
        <v>2650100</v>
      </c>
      <c r="F24" s="14" t="str">
        <f aca="false">IF(D24=0,"",D24-E24)</f>
        <v/>
      </c>
      <c r="G24" s="15"/>
      <c r="H24" s="13" t="str">
        <f aca="false">IF(G24="","",IF(F24=G24,"OK","Revisar"))</f>
        <v/>
      </c>
      <c r="I24" s="9" t="n">
        <f aca="false">SUMIFS(Pedidos!$D$2:$D$732,Pedidos!$B$2:$B$732,A24,Pedidos!$E$2:$E$732,"Cuenta corriente",Pedidos!$A$2:$A$732,"&gt;"&amp;Léeme!$B$11-90)</f>
        <v>0</v>
      </c>
      <c r="J24" s="9" t="n">
        <f aca="false">SUMIFS(Cobros!$D$2:$D$353,Cobros!$B$2:$B$353,A24,Cobros!$A$2:$A$353,"&gt;"&amp;Léeme!$B$11-90)</f>
        <v>1917100</v>
      </c>
      <c r="K24" s="16" t="str">
        <f aca="false">IF(I24=0,"",J24/I24)</f>
        <v/>
      </c>
      <c r="L24" s="13" t="s">
        <v>53</v>
      </c>
    </row>
    <row r="25" customFormat="false" ht="15" hidden="false" customHeight="false" outlineLevel="0" collapsed="false">
      <c r="A25" s="13" t="n">
        <v>24</v>
      </c>
      <c r="B25" s="13" t="s">
        <v>81</v>
      </c>
      <c r="C25" s="13" t="s">
        <v>52</v>
      </c>
      <c r="D25" s="9" t="n">
        <f aca="false">SUMIFS(Pedidos!$D$2:$D$732,Pedidos!$B$2:$B$732,A25,Pedidos!$E$2:$E$732,"Cuenta corriente")</f>
        <v>956100</v>
      </c>
      <c r="E25" s="9" t="n">
        <f aca="false">SUMIFS(Cobros!$D$2:$D$353,Cobros!$B$2:$B$353,A25)</f>
        <v>767000</v>
      </c>
      <c r="F25" s="14" t="n">
        <f aca="false">IF(D25=0,"",D25-E25)</f>
        <v>189100</v>
      </c>
      <c r="G25" s="15" t="n">
        <v>189100</v>
      </c>
      <c r="H25" s="13" t="str">
        <f aca="false">IF(G25="","",IF(F25=G25,"OK","Revisar"))</f>
        <v>OK</v>
      </c>
      <c r="I25" s="9" t="n">
        <f aca="false">SUMIFS(Pedidos!$D$2:$D$732,Pedidos!$B$2:$B$732,A25,Pedidos!$E$2:$E$732,"Cuenta corriente",Pedidos!$A$2:$A$732,"&gt;"&amp;Léeme!$B$11-90)</f>
        <v>956100</v>
      </c>
      <c r="J25" s="9" t="n">
        <f aca="false">SUMIFS(Cobros!$D$2:$D$353,Cobros!$B$2:$B$353,A25,Cobros!$A$2:$A$353,"&gt;"&amp;Léeme!$B$11-90)</f>
        <v>767000</v>
      </c>
      <c r="K25" s="16" t="n">
        <f aca="false">IF(I25=0,"",J25/I25)</f>
        <v>0.802217341282293</v>
      </c>
      <c r="L25" s="13" t="s">
        <v>82</v>
      </c>
    </row>
  </sheetData>
  <autoFilter ref="A1:L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5" min="15" style="0" width="9"/>
    <col collapsed="false" customWidth="true" hidden="false" outlineLevel="0" max="17" min="16" style="0" width="13"/>
    <col collapsed="false" customWidth="true" hidden="false" outlineLevel="0" max="18" min="18" style="0" width="11"/>
    <col collapsed="false" customWidth="true" hidden="false" outlineLevel="0" max="20" min="19" style="0" width="10"/>
  </cols>
  <sheetData>
    <row r="1" customFormat="false" ht="31.5" hidden="false" customHeight="true" outlineLevel="0" collapsed="false">
      <c r="A1" s="7" t="s">
        <v>83</v>
      </c>
      <c r="B1" s="7" t="s">
        <v>15</v>
      </c>
      <c r="C1" s="7" t="s">
        <v>84</v>
      </c>
      <c r="D1" s="7" t="s">
        <v>85</v>
      </c>
      <c r="E1" s="7" t="s">
        <v>17</v>
      </c>
      <c r="F1" s="7" t="s">
        <v>86</v>
      </c>
      <c r="G1" s="7" t="s">
        <v>87</v>
      </c>
      <c r="H1" s="7" t="s">
        <v>88</v>
      </c>
      <c r="I1" s="7" t="s">
        <v>89</v>
      </c>
      <c r="J1" s="7" t="s">
        <v>90</v>
      </c>
      <c r="K1" s="7" t="s">
        <v>19</v>
      </c>
      <c r="L1" s="7" t="s">
        <v>91</v>
      </c>
      <c r="M1" s="7" t="s">
        <v>92</v>
      </c>
      <c r="N1" s="7" t="s">
        <v>93</v>
      </c>
      <c r="O1" s="7" t="s">
        <v>94</v>
      </c>
      <c r="P1" s="7" t="s">
        <v>95</v>
      </c>
      <c r="Q1" s="7" t="s">
        <v>96</v>
      </c>
      <c r="R1" s="7" t="s">
        <v>97</v>
      </c>
      <c r="S1" s="7" t="s">
        <v>98</v>
      </c>
      <c r="T1" s="7" t="s">
        <v>99</v>
      </c>
    </row>
    <row r="2" customFormat="false" ht="15" hidden="false" customHeight="false" outlineLevel="0" collapsed="false">
      <c r="A2" s="17" t="n">
        <v>45659</v>
      </c>
      <c r="B2" s="13" t="s">
        <v>27</v>
      </c>
      <c r="C2" s="13"/>
      <c r="D2" s="13" t="s">
        <v>100</v>
      </c>
      <c r="E2" s="15" t="n">
        <v>290670</v>
      </c>
      <c r="F2" s="15" t="n">
        <v>35160</v>
      </c>
      <c r="G2" s="15" t="n">
        <v>14700</v>
      </c>
      <c r="H2" s="15" t="n">
        <v>0</v>
      </c>
      <c r="I2" s="15" t="n">
        <v>19770</v>
      </c>
      <c r="J2" s="14" t="n">
        <f aca="false">SUM(E2:I2)</f>
        <v>360300</v>
      </c>
      <c r="K2" s="18"/>
      <c r="L2" s="15" t="n">
        <v>0</v>
      </c>
      <c r="M2" s="13"/>
      <c r="N2" s="15" t="n">
        <v>256000</v>
      </c>
      <c r="O2" s="15"/>
      <c r="P2" s="14" t="str">
        <f aca="false">IF(O2="","",O2+E2-L2-N2)</f>
        <v/>
      </c>
      <c r="Q2" s="15"/>
      <c r="R2" s="14" t="str">
        <f aca="false">IF(OR(Q2="",P2=""),"",Q2-P2)</f>
        <v/>
      </c>
      <c r="S2" s="19" t="str">
        <f aca="false">IF(R2="","",IF(ABS(R2)&lt;=Léeme!$B$12,"Cuadra",IF(R2&lt;0,"Faltante","Sobrante")))</f>
        <v/>
      </c>
      <c r="T2" s="13" t="s">
        <v>101</v>
      </c>
    </row>
    <row r="3" customFormat="false" ht="15" hidden="false" customHeight="false" outlineLevel="0" collapsed="false">
      <c r="A3" s="17" t="n">
        <v>45659</v>
      </c>
      <c r="B3" s="13" t="s">
        <v>28</v>
      </c>
      <c r="C3" s="13"/>
      <c r="D3" s="13" t="s">
        <v>100</v>
      </c>
      <c r="E3" s="15" t="n">
        <v>212420</v>
      </c>
      <c r="F3" s="15" t="n">
        <v>26850</v>
      </c>
      <c r="G3" s="15" t="n">
        <v>9720</v>
      </c>
      <c r="H3" s="15" t="n">
        <v>0</v>
      </c>
      <c r="I3" s="15" t="n">
        <v>15960</v>
      </c>
      <c r="J3" s="14" t="n">
        <f aca="false">SUM(E3:I3)</f>
        <v>264950</v>
      </c>
      <c r="K3" s="18"/>
      <c r="L3" s="15" t="n">
        <v>0</v>
      </c>
      <c r="M3" s="13"/>
      <c r="N3" s="15" t="n">
        <v>0</v>
      </c>
      <c r="O3" s="15"/>
      <c r="P3" s="14" t="str">
        <f aca="false">IF(O3="","",O3+E3-L3-N3)</f>
        <v/>
      </c>
      <c r="Q3" s="15"/>
      <c r="R3" s="14" t="str">
        <f aca="false">IF(OR(Q3="",P3=""),"",Q3-P3)</f>
        <v/>
      </c>
      <c r="S3" s="19" t="str">
        <f aca="false">IF(R3="","",IF(ABS(R3)&lt;=Léeme!$B$12,"Cuadra",IF(R3&lt;0,"Faltante","Sobrante")))</f>
        <v/>
      </c>
      <c r="T3" s="13" t="s">
        <v>101</v>
      </c>
    </row>
    <row r="4" customFormat="false" ht="15" hidden="false" customHeight="false" outlineLevel="0" collapsed="false">
      <c r="A4" s="17" t="n">
        <v>45660</v>
      </c>
      <c r="B4" s="13" t="s">
        <v>27</v>
      </c>
      <c r="C4" s="13"/>
      <c r="D4" s="13" t="s">
        <v>100</v>
      </c>
      <c r="E4" s="15" t="n">
        <v>262960</v>
      </c>
      <c r="F4" s="15" t="n">
        <v>34000</v>
      </c>
      <c r="G4" s="15" t="n">
        <v>12360</v>
      </c>
      <c r="H4" s="15" t="n">
        <v>0</v>
      </c>
      <c r="I4" s="15" t="n">
        <v>21370</v>
      </c>
      <c r="J4" s="14" t="n">
        <f aca="false">SUM(E4:I4)</f>
        <v>330690</v>
      </c>
      <c r="K4" s="18"/>
      <c r="L4" s="15" t="n">
        <v>12950</v>
      </c>
      <c r="M4" s="13" t="s">
        <v>102</v>
      </c>
      <c r="N4" s="15" t="n">
        <v>0</v>
      </c>
      <c r="O4" s="15"/>
      <c r="P4" s="14" t="str">
        <f aca="false">IF(O4="","",O4+E4-L4-N4)</f>
        <v/>
      </c>
      <c r="Q4" s="15"/>
      <c r="R4" s="14" t="str">
        <f aca="false">IF(OR(Q4="",P4=""),"",Q4-P4)</f>
        <v/>
      </c>
      <c r="S4" s="19" t="str">
        <f aca="false">IF(R4="","",IF(ABS(R4)&lt;=Léeme!$B$12,"Cuadra",IF(R4&lt;0,"Faltante","Sobrante")))</f>
        <v/>
      </c>
      <c r="T4" s="13" t="s">
        <v>101</v>
      </c>
    </row>
    <row r="5" customFormat="false" ht="15" hidden="false" customHeight="false" outlineLevel="0" collapsed="false">
      <c r="A5" s="17" t="n">
        <v>45660</v>
      </c>
      <c r="B5" s="13" t="s">
        <v>28</v>
      </c>
      <c r="C5" s="13"/>
      <c r="D5" s="13" t="s">
        <v>100</v>
      </c>
      <c r="E5" s="15" t="n">
        <v>204580</v>
      </c>
      <c r="F5" s="15" t="n">
        <v>27510</v>
      </c>
      <c r="G5" s="15" t="n">
        <v>10270</v>
      </c>
      <c r="H5" s="15" t="n">
        <v>0</v>
      </c>
      <c r="I5" s="15" t="n">
        <v>16660</v>
      </c>
      <c r="J5" s="14" t="n">
        <f aca="false">SUM(E5:I5)</f>
        <v>259020</v>
      </c>
      <c r="K5" s="18"/>
      <c r="L5" s="15" t="n">
        <v>0</v>
      </c>
      <c r="M5" s="13"/>
      <c r="N5" s="15" t="n">
        <v>124000</v>
      </c>
      <c r="O5" s="15"/>
      <c r="P5" s="14" t="str">
        <f aca="false">IF(O5="","",O5+E5-L5-N5)</f>
        <v/>
      </c>
      <c r="Q5" s="15"/>
      <c r="R5" s="14" t="str">
        <f aca="false">IF(OR(Q5="",P5=""),"",Q5-P5)</f>
        <v/>
      </c>
      <c r="S5" s="19" t="str">
        <f aca="false">IF(R5="","",IF(ABS(R5)&lt;=Léeme!$B$12,"Cuadra",IF(R5&lt;0,"Faltante","Sobrante")))</f>
        <v/>
      </c>
      <c r="T5" s="13" t="s">
        <v>101</v>
      </c>
    </row>
    <row r="6" customFormat="false" ht="15" hidden="false" customHeight="false" outlineLevel="0" collapsed="false">
      <c r="A6" s="17" t="n">
        <v>45661</v>
      </c>
      <c r="B6" s="13" t="s">
        <v>27</v>
      </c>
      <c r="C6" s="13"/>
      <c r="D6" s="13" t="s">
        <v>100</v>
      </c>
      <c r="E6" s="15" t="n">
        <v>368810</v>
      </c>
      <c r="F6" s="15" t="n">
        <v>47260</v>
      </c>
      <c r="G6" s="15" t="n">
        <v>18230</v>
      </c>
      <c r="H6" s="15" t="n">
        <v>0</v>
      </c>
      <c r="I6" s="15" t="n">
        <v>28590</v>
      </c>
      <c r="J6" s="14" t="n">
        <f aca="false">SUM(E6:I6)</f>
        <v>462890</v>
      </c>
      <c r="K6" s="18"/>
      <c r="L6" s="15" t="n">
        <v>8100</v>
      </c>
      <c r="M6" s="13" t="s">
        <v>103</v>
      </c>
      <c r="N6" s="15" t="n">
        <v>0</v>
      </c>
      <c r="O6" s="15"/>
      <c r="P6" s="14" t="str">
        <f aca="false">IF(O6="","",O6+E6-L6-N6)</f>
        <v/>
      </c>
      <c r="Q6" s="15"/>
      <c r="R6" s="14" t="str">
        <f aca="false">IF(OR(Q6="",P6=""),"",Q6-P6)</f>
        <v/>
      </c>
      <c r="S6" s="19" t="str">
        <f aca="false">IF(R6="","",IF(ABS(R6)&lt;=Léeme!$B$12,"Cuadra",IF(R6&lt;0,"Faltante","Sobrante")))</f>
        <v/>
      </c>
      <c r="T6" s="13" t="s">
        <v>101</v>
      </c>
    </row>
    <row r="7" customFormat="false" ht="15" hidden="false" customHeight="false" outlineLevel="0" collapsed="false">
      <c r="A7" s="17" t="n">
        <v>45661</v>
      </c>
      <c r="B7" s="13" t="s">
        <v>28</v>
      </c>
      <c r="C7" s="13"/>
      <c r="D7" s="13" t="s">
        <v>100</v>
      </c>
      <c r="E7" s="15" t="n">
        <v>331140</v>
      </c>
      <c r="F7" s="15" t="n">
        <v>44530</v>
      </c>
      <c r="G7" s="15" t="n">
        <v>15270</v>
      </c>
      <c r="H7" s="15" t="n">
        <v>0</v>
      </c>
      <c r="I7" s="15" t="n">
        <v>23160</v>
      </c>
      <c r="J7" s="14" t="n">
        <f aca="false">SUM(E7:I7)</f>
        <v>414100</v>
      </c>
      <c r="K7" s="18"/>
      <c r="L7" s="15" t="n">
        <v>3280</v>
      </c>
      <c r="M7" s="13" t="s">
        <v>104</v>
      </c>
      <c r="N7" s="15" t="n">
        <v>206000</v>
      </c>
      <c r="O7" s="15"/>
      <c r="P7" s="14" t="str">
        <f aca="false">IF(O7="","",O7+E7-L7-N7)</f>
        <v/>
      </c>
      <c r="Q7" s="15"/>
      <c r="R7" s="14" t="str">
        <f aca="false">IF(OR(Q7="",P7=""),"",Q7-P7)</f>
        <v/>
      </c>
      <c r="S7" s="19" t="str">
        <f aca="false">IF(R7="","",IF(ABS(R7)&lt;=Léeme!$B$12,"Cuadra",IF(R7&lt;0,"Faltante","Sobrante")))</f>
        <v/>
      </c>
      <c r="T7" s="13" t="s">
        <v>101</v>
      </c>
    </row>
    <row r="8" customFormat="false" ht="15" hidden="false" customHeight="false" outlineLevel="0" collapsed="false">
      <c r="A8" s="17" t="n">
        <v>45662</v>
      </c>
      <c r="B8" s="13" t="s">
        <v>27</v>
      </c>
      <c r="C8" s="13"/>
      <c r="D8" s="13" t="s">
        <v>100</v>
      </c>
      <c r="E8" s="15" t="n">
        <v>646200</v>
      </c>
      <c r="F8" s="15" t="n">
        <v>81120</v>
      </c>
      <c r="G8" s="15" t="n">
        <v>29660</v>
      </c>
      <c r="H8" s="15" t="n">
        <v>0</v>
      </c>
      <c r="I8" s="15" t="n">
        <v>47210</v>
      </c>
      <c r="J8" s="14" t="n">
        <f aca="false">SUM(E8:I8)</f>
        <v>804190</v>
      </c>
      <c r="K8" s="18"/>
      <c r="L8" s="15" t="n">
        <v>0</v>
      </c>
      <c r="M8" s="13"/>
      <c r="N8" s="15" t="n">
        <v>497000</v>
      </c>
      <c r="O8" s="15"/>
      <c r="P8" s="14" t="str">
        <f aca="false">IF(O8="","",O8+E8-L8-N8)</f>
        <v/>
      </c>
      <c r="Q8" s="15"/>
      <c r="R8" s="14" t="str">
        <f aca="false">IF(OR(Q8="",P8=""),"",Q8-P8)</f>
        <v/>
      </c>
      <c r="S8" s="19" t="str">
        <f aca="false">IF(R8="","",IF(ABS(R8)&lt;=Léeme!$B$12,"Cuadra",IF(R8&lt;0,"Faltante","Sobrante")))</f>
        <v/>
      </c>
      <c r="T8" s="13" t="s">
        <v>101</v>
      </c>
    </row>
    <row r="9" customFormat="false" ht="15" hidden="false" customHeight="false" outlineLevel="0" collapsed="false">
      <c r="A9" s="17" t="n">
        <v>45662</v>
      </c>
      <c r="B9" s="13" t="s">
        <v>28</v>
      </c>
      <c r="C9" s="13"/>
      <c r="D9" s="13" t="s">
        <v>100</v>
      </c>
      <c r="E9" s="15" t="n">
        <v>511510</v>
      </c>
      <c r="F9" s="15" t="n">
        <v>57830</v>
      </c>
      <c r="G9" s="15" t="n">
        <v>24240</v>
      </c>
      <c r="H9" s="15" t="n">
        <v>0</v>
      </c>
      <c r="I9" s="15" t="n">
        <v>37710</v>
      </c>
      <c r="J9" s="14" t="n">
        <f aca="false">SUM(E9:I9)</f>
        <v>631290</v>
      </c>
      <c r="K9" s="18"/>
      <c r="L9" s="15" t="n">
        <v>0</v>
      </c>
      <c r="M9" s="13"/>
      <c r="N9" s="15" t="n">
        <v>447000</v>
      </c>
      <c r="O9" s="15"/>
      <c r="P9" s="14" t="str">
        <f aca="false">IF(O9="","",O9+E9-L9-N9)</f>
        <v/>
      </c>
      <c r="Q9" s="15"/>
      <c r="R9" s="14" t="str">
        <f aca="false">IF(OR(Q9="",P9=""),"",Q9-P9)</f>
        <v/>
      </c>
      <c r="S9" s="19" t="str">
        <f aca="false">IF(R9="","",IF(ABS(R9)&lt;=Léeme!$B$12,"Cuadra",IF(R9&lt;0,"Faltante","Sobrante")))</f>
        <v/>
      </c>
      <c r="T9" s="13" t="s">
        <v>101</v>
      </c>
    </row>
    <row r="10" customFormat="false" ht="15" hidden="false" customHeight="false" outlineLevel="0" collapsed="false">
      <c r="A10" s="17" t="n">
        <v>45664</v>
      </c>
      <c r="B10" s="13" t="s">
        <v>27</v>
      </c>
      <c r="C10" s="13"/>
      <c r="D10" s="13" t="s">
        <v>100</v>
      </c>
      <c r="E10" s="15" t="n">
        <v>241600</v>
      </c>
      <c r="F10" s="15" t="n">
        <v>32140</v>
      </c>
      <c r="G10" s="15" t="n">
        <v>13090</v>
      </c>
      <c r="H10" s="15" t="n">
        <v>0</v>
      </c>
      <c r="I10" s="15" t="n">
        <v>19450</v>
      </c>
      <c r="J10" s="14" t="n">
        <f aca="false">SUM(E10:I10)</f>
        <v>306280</v>
      </c>
      <c r="K10" s="18"/>
      <c r="L10" s="15" t="n">
        <v>14640</v>
      </c>
      <c r="M10" s="13" t="s">
        <v>103</v>
      </c>
      <c r="N10" s="15" t="n">
        <v>0</v>
      </c>
      <c r="O10" s="15"/>
      <c r="P10" s="14" t="str">
        <f aca="false">IF(O10="","",O10+E10-L10-N10)</f>
        <v/>
      </c>
      <c r="Q10" s="15"/>
      <c r="R10" s="14" t="str">
        <f aca="false">IF(OR(Q10="",P10=""),"",Q10-P10)</f>
        <v/>
      </c>
      <c r="S10" s="19" t="str">
        <f aca="false">IF(R10="","",IF(ABS(R10)&lt;=Léeme!$B$12,"Cuadra",IF(R10&lt;0,"Faltante","Sobrante")))</f>
        <v/>
      </c>
      <c r="T10" s="13" t="s">
        <v>101</v>
      </c>
    </row>
    <row r="11" customFormat="false" ht="15" hidden="false" customHeight="false" outlineLevel="0" collapsed="false">
      <c r="A11" s="17" t="n">
        <v>45664</v>
      </c>
      <c r="B11" s="13" t="s">
        <v>28</v>
      </c>
      <c r="C11" s="13"/>
      <c r="D11" s="13" t="s">
        <v>100</v>
      </c>
      <c r="E11" s="15" t="n">
        <v>191030</v>
      </c>
      <c r="F11" s="15" t="n">
        <v>22630</v>
      </c>
      <c r="G11" s="15" t="n">
        <v>10000</v>
      </c>
      <c r="H11" s="15" t="n">
        <v>0</v>
      </c>
      <c r="I11" s="15" t="n">
        <v>15670</v>
      </c>
      <c r="J11" s="14" t="n">
        <f aca="false">SUM(E11:I11)</f>
        <v>239330</v>
      </c>
      <c r="K11" s="18"/>
      <c r="L11" s="15" t="n">
        <v>0</v>
      </c>
      <c r="M11" s="13"/>
      <c r="N11" s="15" t="n">
        <v>0</v>
      </c>
      <c r="O11" s="15"/>
      <c r="P11" s="14" t="str">
        <f aca="false">IF(O11="","",O11+E11-L11-N11)</f>
        <v/>
      </c>
      <c r="Q11" s="15"/>
      <c r="R11" s="14" t="str">
        <f aca="false">IF(OR(Q11="",P11=""),"",Q11-P11)</f>
        <v/>
      </c>
      <c r="S11" s="19" t="str">
        <f aca="false">IF(R11="","",IF(ABS(R11)&lt;=Léeme!$B$12,"Cuadra",IF(R11&lt;0,"Faltante","Sobrante")))</f>
        <v/>
      </c>
      <c r="T11" s="13" t="s">
        <v>101</v>
      </c>
    </row>
    <row r="12" customFormat="false" ht="15" hidden="false" customHeight="false" outlineLevel="0" collapsed="false">
      <c r="A12" s="17" t="n">
        <v>45665</v>
      </c>
      <c r="B12" s="13" t="s">
        <v>27</v>
      </c>
      <c r="C12" s="13"/>
      <c r="D12" s="13" t="s">
        <v>100</v>
      </c>
      <c r="E12" s="15" t="n">
        <v>240450</v>
      </c>
      <c r="F12" s="15" t="n">
        <v>30530</v>
      </c>
      <c r="G12" s="15" t="n">
        <v>12110</v>
      </c>
      <c r="H12" s="15" t="n">
        <v>0</v>
      </c>
      <c r="I12" s="15" t="n">
        <v>17810</v>
      </c>
      <c r="J12" s="14" t="n">
        <f aca="false">SUM(E12:I12)</f>
        <v>300900</v>
      </c>
      <c r="K12" s="18"/>
      <c r="L12" s="15" t="n">
        <v>0</v>
      </c>
      <c r="M12" s="13"/>
      <c r="N12" s="15" t="n">
        <v>211000</v>
      </c>
      <c r="O12" s="15"/>
      <c r="P12" s="14" t="str">
        <f aca="false">IF(O12="","",O12+E12-L12-N12)</f>
        <v/>
      </c>
      <c r="Q12" s="15"/>
      <c r="R12" s="14" t="str">
        <f aca="false">IF(OR(Q12="",P12=""),"",Q12-P12)</f>
        <v/>
      </c>
      <c r="S12" s="19" t="str">
        <f aca="false">IF(R12="","",IF(ABS(R12)&lt;=Léeme!$B$12,"Cuadra",IF(R12&lt;0,"Faltante","Sobrante")))</f>
        <v/>
      </c>
      <c r="T12" s="13" t="s">
        <v>101</v>
      </c>
    </row>
    <row r="13" customFormat="false" ht="15" hidden="false" customHeight="false" outlineLevel="0" collapsed="false">
      <c r="A13" s="17" t="n">
        <v>45665</v>
      </c>
      <c r="B13" s="13" t="s">
        <v>28</v>
      </c>
      <c r="C13" s="13"/>
      <c r="D13" s="13" t="s">
        <v>100</v>
      </c>
      <c r="E13" s="15" t="n">
        <v>209810</v>
      </c>
      <c r="F13" s="15" t="n">
        <v>25630</v>
      </c>
      <c r="G13" s="15" t="n">
        <v>12380</v>
      </c>
      <c r="H13" s="15" t="n">
        <v>0</v>
      </c>
      <c r="I13" s="15" t="n">
        <v>16960</v>
      </c>
      <c r="J13" s="14" t="n">
        <f aca="false">SUM(E13:I13)</f>
        <v>264780</v>
      </c>
      <c r="K13" s="18"/>
      <c r="L13" s="15" t="n">
        <v>10070</v>
      </c>
      <c r="M13" s="13" t="s">
        <v>103</v>
      </c>
      <c r="N13" s="15" t="n">
        <v>161000</v>
      </c>
      <c r="O13" s="15"/>
      <c r="P13" s="14" t="str">
        <f aca="false">IF(O13="","",O13+E13-L13-N13)</f>
        <v/>
      </c>
      <c r="Q13" s="15"/>
      <c r="R13" s="14" t="str">
        <f aca="false">IF(OR(Q13="",P13=""),"",Q13-P13)</f>
        <v/>
      </c>
      <c r="S13" s="19" t="str">
        <f aca="false">IF(R13="","",IF(ABS(R13)&lt;=Léeme!$B$12,"Cuadra",IF(R13&lt;0,"Faltante","Sobrante")))</f>
        <v/>
      </c>
      <c r="T13" s="13" t="s">
        <v>101</v>
      </c>
    </row>
    <row r="14" customFormat="false" ht="15" hidden="false" customHeight="false" outlineLevel="0" collapsed="false">
      <c r="A14" s="17" t="n">
        <v>45666</v>
      </c>
      <c r="B14" s="13" t="s">
        <v>27</v>
      </c>
      <c r="C14" s="13"/>
      <c r="D14" s="13" t="s">
        <v>100</v>
      </c>
      <c r="E14" s="15" t="n">
        <v>289890</v>
      </c>
      <c r="F14" s="15" t="n">
        <v>31670</v>
      </c>
      <c r="G14" s="15" t="n">
        <v>13090</v>
      </c>
      <c r="H14" s="15" t="n">
        <v>0</v>
      </c>
      <c r="I14" s="15" t="n">
        <v>19650</v>
      </c>
      <c r="J14" s="14" t="n">
        <f aca="false">SUM(E14:I14)</f>
        <v>354300</v>
      </c>
      <c r="K14" s="18"/>
      <c r="L14" s="15" t="n">
        <v>0</v>
      </c>
      <c r="M14" s="13"/>
      <c r="N14" s="15" t="n">
        <v>0</v>
      </c>
      <c r="O14" s="15"/>
      <c r="P14" s="14" t="str">
        <f aca="false">IF(O14="","",O14+E14-L14-N14)</f>
        <v/>
      </c>
      <c r="Q14" s="15"/>
      <c r="R14" s="14" t="str">
        <f aca="false">IF(OR(Q14="",P14=""),"",Q14-P14)</f>
        <v/>
      </c>
      <c r="S14" s="19" t="str">
        <f aca="false">IF(R14="","",IF(ABS(R14)&lt;=Léeme!$B$12,"Cuadra",IF(R14&lt;0,"Faltante","Sobrante")))</f>
        <v/>
      </c>
      <c r="T14" s="13" t="s">
        <v>101</v>
      </c>
    </row>
    <row r="15" customFormat="false" ht="15" hidden="false" customHeight="false" outlineLevel="0" collapsed="false">
      <c r="A15" s="17" t="n">
        <v>45666</v>
      </c>
      <c r="B15" s="13" t="s">
        <v>28</v>
      </c>
      <c r="C15" s="13"/>
      <c r="D15" s="13" t="s">
        <v>100</v>
      </c>
      <c r="E15" s="15" t="n">
        <v>179760</v>
      </c>
      <c r="F15" s="15" t="n">
        <v>24280</v>
      </c>
      <c r="G15" s="15" t="n">
        <v>8980</v>
      </c>
      <c r="H15" s="15" t="n">
        <v>0</v>
      </c>
      <c r="I15" s="15" t="n">
        <v>14560</v>
      </c>
      <c r="J15" s="14" t="n">
        <f aca="false">SUM(E15:I15)</f>
        <v>227580</v>
      </c>
      <c r="K15" s="18"/>
      <c r="L15" s="15" t="n">
        <v>0</v>
      </c>
      <c r="M15" s="13"/>
      <c r="N15" s="15" t="n">
        <v>139000</v>
      </c>
      <c r="O15" s="15"/>
      <c r="P15" s="14" t="str">
        <f aca="false">IF(O15="","",O15+E15-L15-N15)</f>
        <v/>
      </c>
      <c r="Q15" s="15"/>
      <c r="R15" s="14" t="str">
        <f aca="false">IF(OR(Q15="",P15=""),"",Q15-P15)</f>
        <v/>
      </c>
      <c r="S15" s="19" t="str">
        <f aca="false">IF(R15="","",IF(ABS(R15)&lt;=Léeme!$B$12,"Cuadra",IF(R15&lt;0,"Faltante","Sobrante")))</f>
        <v/>
      </c>
      <c r="T15" s="13" t="s">
        <v>101</v>
      </c>
    </row>
    <row r="16" customFormat="false" ht="15" hidden="false" customHeight="false" outlineLevel="0" collapsed="false">
      <c r="A16" s="17" t="n">
        <v>45667</v>
      </c>
      <c r="B16" s="13" t="s">
        <v>27</v>
      </c>
      <c r="C16" s="13"/>
      <c r="D16" s="13" t="s">
        <v>100</v>
      </c>
      <c r="E16" s="15" t="n">
        <v>266560</v>
      </c>
      <c r="F16" s="15" t="n">
        <v>40430</v>
      </c>
      <c r="G16" s="15" t="n">
        <v>15140</v>
      </c>
      <c r="H16" s="15" t="n">
        <v>0</v>
      </c>
      <c r="I16" s="15" t="n">
        <v>22700</v>
      </c>
      <c r="J16" s="14" t="n">
        <f aca="false">SUM(E16:I16)</f>
        <v>344830</v>
      </c>
      <c r="K16" s="18"/>
      <c r="L16" s="15" t="n">
        <v>17140</v>
      </c>
      <c r="M16" s="13" t="s">
        <v>103</v>
      </c>
      <c r="N16" s="15" t="n">
        <v>163000</v>
      </c>
      <c r="O16" s="15"/>
      <c r="P16" s="14" t="str">
        <f aca="false">IF(O16="","",O16+E16-L16-N16)</f>
        <v/>
      </c>
      <c r="Q16" s="15"/>
      <c r="R16" s="14" t="str">
        <f aca="false">IF(OR(Q16="",P16=""),"",Q16-P16)</f>
        <v/>
      </c>
      <c r="S16" s="19" t="str">
        <f aca="false">IF(R16="","",IF(ABS(R16)&lt;=Léeme!$B$12,"Cuadra",IF(R16&lt;0,"Faltante","Sobrante")))</f>
        <v/>
      </c>
      <c r="T16" s="13" t="s">
        <v>101</v>
      </c>
    </row>
    <row r="17" customFormat="false" ht="15" hidden="false" customHeight="false" outlineLevel="0" collapsed="false">
      <c r="A17" s="17" t="n">
        <v>45667</v>
      </c>
      <c r="B17" s="13" t="s">
        <v>28</v>
      </c>
      <c r="C17" s="13"/>
      <c r="D17" s="13" t="s">
        <v>100</v>
      </c>
      <c r="E17" s="15" t="n">
        <v>182400</v>
      </c>
      <c r="F17" s="15" t="n">
        <v>21950</v>
      </c>
      <c r="G17" s="15" t="n">
        <v>9940</v>
      </c>
      <c r="H17" s="15" t="n">
        <v>0</v>
      </c>
      <c r="I17" s="15" t="n">
        <v>15230</v>
      </c>
      <c r="J17" s="14" t="n">
        <f aca="false">SUM(E17:I17)</f>
        <v>229520</v>
      </c>
      <c r="K17" s="18"/>
      <c r="L17" s="15" t="n">
        <v>0</v>
      </c>
      <c r="M17" s="13"/>
      <c r="N17" s="15" t="n">
        <v>0</v>
      </c>
      <c r="O17" s="15"/>
      <c r="P17" s="14" t="str">
        <f aca="false">IF(O17="","",O17+E17-L17-N17)</f>
        <v/>
      </c>
      <c r="Q17" s="15"/>
      <c r="R17" s="14" t="str">
        <f aca="false">IF(OR(Q17="",P17=""),"",Q17-P17)</f>
        <v/>
      </c>
      <c r="S17" s="19" t="str">
        <f aca="false">IF(R17="","",IF(ABS(R17)&lt;=Léeme!$B$12,"Cuadra",IF(R17&lt;0,"Faltante","Sobrante")))</f>
        <v/>
      </c>
      <c r="T17" s="13" t="s">
        <v>101</v>
      </c>
    </row>
    <row r="18" customFormat="false" ht="15" hidden="false" customHeight="false" outlineLevel="0" collapsed="false">
      <c r="A18" s="17" t="n">
        <v>45668</v>
      </c>
      <c r="B18" s="13" t="s">
        <v>27</v>
      </c>
      <c r="C18" s="13"/>
      <c r="D18" s="13" t="s">
        <v>100</v>
      </c>
      <c r="E18" s="15" t="n">
        <v>398510</v>
      </c>
      <c r="F18" s="15" t="n">
        <v>46380</v>
      </c>
      <c r="G18" s="15" t="n">
        <v>18240</v>
      </c>
      <c r="H18" s="15" t="n">
        <v>0</v>
      </c>
      <c r="I18" s="15" t="n">
        <v>27930</v>
      </c>
      <c r="J18" s="14" t="n">
        <f aca="false">SUM(E18:I18)</f>
        <v>491060</v>
      </c>
      <c r="K18" s="18"/>
      <c r="L18" s="15" t="n">
        <v>5960</v>
      </c>
      <c r="M18" s="13" t="s">
        <v>105</v>
      </c>
      <c r="N18" s="15" t="n">
        <v>0</v>
      </c>
      <c r="O18" s="15"/>
      <c r="P18" s="14" t="str">
        <f aca="false">IF(O18="","",O18+E18-L18-N18)</f>
        <v/>
      </c>
      <c r="Q18" s="15"/>
      <c r="R18" s="14" t="str">
        <f aca="false">IF(OR(Q18="",P18=""),"",Q18-P18)</f>
        <v/>
      </c>
      <c r="S18" s="19" t="str">
        <f aca="false">IF(R18="","",IF(ABS(R18)&lt;=Léeme!$B$12,"Cuadra",IF(R18&lt;0,"Faltante","Sobrante")))</f>
        <v/>
      </c>
      <c r="T18" s="13" t="s">
        <v>101</v>
      </c>
    </row>
    <row r="19" customFormat="false" ht="15" hidden="false" customHeight="false" outlineLevel="0" collapsed="false">
      <c r="A19" s="17" t="n">
        <v>45668</v>
      </c>
      <c r="B19" s="13" t="s">
        <v>28</v>
      </c>
      <c r="C19" s="13"/>
      <c r="D19" s="13" t="s">
        <v>100</v>
      </c>
      <c r="E19" s="15" t="n">
        <v>310450</v>
      </c>
      <c r="F19" s="15" t="n">
        <v>38210</v>
      </c>
      <c r="G19" s="15" t="n">
        <v>18040</v>
      </c>
      <c r="H19" s="15" t="n">
        <v>0</v>
      </c>
      <c r="I19" s="15" t="n">
        <v>26930</v>
      </c>
      <c r="J19" s="14" t="n">
        <f aca="false">SUM(E19:I19)</f>
        <v>393630</v>
      </c>
      <c r="K19" s="18"/>
      <c r="L19" s="15" t="n">
        <v>0</v>
      </c>
      <c r="M19" s="13"/>
      <c r="N19" s="15" t="n">
        <v>266000</v>
      </c>
      <c r="O19" s="15"/>
      <c r="P19" s="14" t="str">
        <f aca="false">IF(O19="","",O19+E19-L19-N19)</f>
        <v/>
      </c>
      <c r="Q19" s="15"/>
      <c r="R19" s="14" t="str">
        <f aca="false">IF(OR(Q19="",P19=""),"",Q19-P19)</f>
        <v/>
      </c>
      <c r="S19" s="19" t="str">
        <f aca="false">IF(R19="","",IF(ABS(R19)&lt;=Léeme!$B$12,"Cuadra",IF(R19&lt;0,"Faltante","Sobrante")))</f>
        <v/>
      </c>
      <c r="T19" s="13" t="s">
        <v>101</v>
      </c>
    </row>
    <row r="20" customFormat="false" ht="15" hidden="false" customHeight="false" outlineLevel="0" collapsed="false">
      <c r="A20" s="17" t="n">
        <v>45669</v>
      </c>
      <c r="B20" s="13" t="s">
        <v>27</v>
      </c>
      <c r="C20" s="13"/>
      <c r="D20" s="13" t="s">
        <v>100</v>
      </c>
      <c r="E20" s="15" t="n">
        <v>627890</v>
      </c>
      <c r="F20" s="15" t="n">
        <v>89190</v>
      </c>
      <c r="G20" s="15" t="n">
        <v>35420</v>
      </c>
      <c r="H20" s="15" t="n">
        <v>0</v>
      </c>
      <c r="I20" s="15" t="n">
        <v>55850</v>
      </c>
      <c r="J20" s="14" t="n">
        <f aca="false">SUM(E20:I20)</f>
        <v>808350</v>
      </c>
      <c r="K20" s="18"/>
      <c r="L20" s="15" t="n">
        <v>0</v>
      </c>
      <c r="M20" s="13"/>
      <c r="N20" s="15" t="n">
        <v>0</v>
      </c>
      <c r="O20" s="15"/>
      <c r="P20" s="14" t="str">
        <f aca="false">IF(O20="","",O20+E20-L20-N20)</f>
        <v/>
      </c>
      <c r="Q20" s="15"/>
      <c r="R20" s="14" t="str">
        <f aca="false">IF(OR(Q20="",P20=""),"",Q20-P20)</f>
        <v/>
      </c>
      <c r="S20" s="19" t="str">
        <f aca="false">IF(R20="","",IF(ABS(R20)&lt;=Léeme!$B$12,"Cuadra",IF(R20&lt;0,"Faltante","Sobrante")))</f>
        <v/>
      </c>
      <c r="T20" s="13" t="s">
        <v>101</v>
      </c>
    </row>
    <row r="21" customFormat="false" ht="15" hidden="false" customHeight="false" outlineLevel="0" collapsed="false">
      <c r="A21" s="17" t="n">
        <v>45669</v>
      </c>
      <c r="B21" s="13" t="s">
        <v>28</v>
      </c>
      <c r="C21" s="13"/>
      <c r="D21" s="13" t="s">
        <v>100</v>
      </c>
      <c r="E21" s="15" t="n">
        <v>503080</v>
      </c>
      <c r="F21" s="15" t="n">
        <v>60000</v>
      </c>
      <c r="G21" s="15" t="n">
        <v>23300</v>
      </c>
      <c r="H21" s="15" t="n">
        <v>0</v>
      </c>
      <c r="I21" s="15" t="n">
        <v>36330</v>
      </c>
      <c r="J21" s="14" t="n">
        <f aca="false">SUM(E21:I21)</f>
        <v>622710</v>
      </c>
      <c r="K21" s="18"/>
      <c r="L21" s="15" t="n">
        <v>0</v>
      </c>
      <c r="M21" s="13"/>
      <c r="N21" s="15" t="n">
        <v>438000</v>
      </c>
      <c r="O21" s="15"/>
      <c r="P21" s="14" t="str">
        <f aca="false">IF(O21="","",O21+E21-L21-N21)</f>
        <v/>
      </c>
      <c r="Q21" s="15"/>
      <c r="R21" s="14" t="str">
        <f aca="false">IF(OR(Q21="",P21=""),"",Q21-P21)</f>
        <v/>
      </c>
      <c r="S21" s="19" t="str">
        <f aca="false">IF(R21="","",IF(ABS(R21)&lt;=Léeme!$B$12,"Cuadra",IF(R21&lt;0,"Faltante","Sobrante")))</f>
        <v/>
      </c>
      <c r="T21" s="13" t="s">
        <v>101</v>
      </c>
    </row>
    <row r="22" customFormat="false" ht="15" hidden="false" customHeight="false" outlineLevel="0" collapsed="false">
      <c r="A22" s="17" t="n">
        <v>45671</v>
      </c>
      <c r="B22" s="13" t="s">
        <v>27</v>
      </c>
      <c r="C22" s="13"/>
      <c r="D22" s="13" t="s">
        <v>100</v>
      </c>
      <c r="E22" s="15" t="n">
        <v>241450</v>
      </c>
      <c r="F22" s="15" t="n">
        <v>30380</v>
      </c>
      <c r="G22" s="15" t="n">
        <v>12680</v>
      </c>
      <c r="H22" s="15" t="n">
        <v>0</v>
      </c>
      <c r="I22" s="15" t="n">
        <v>20030</v>
      </c>
      <c r="J22" s="14" t="n">
        <f aca="false">SUM(E22:I22)</f>
        <v>304540</v>
      </c>
      <c r="K22" s="18"/>
      <c r="L22" s="15" t="n">
        <v>0</v>
      </c>
      <c r="M22" s="13"/>
      <c r="N22" s="15" t="n">
        <v>0</v>
      </c>
      <c r="O22" s="15"/>
      <c r="P22" s="14" t="str">
        <f aca="false">IF(O22="","",O22+E22-L22-N22)</f>
        <v/>
      </c>
      <c r="Q22" s="15"/>
      <c r="R22" s="14" t="str">
        <f aca="false">IF(OR(Q22="",P22=""),"",Q22-P22)</f>
        <v/>
      </c>
      <c r="S22" s="19" t="str">
        <f aca="false">IF(R22="","",IF(ABS(R22)&lt;=Léeme!$B$12,"Cuadra",IF(R22&lt;0,"Faltante","Sobrante")))</f>
        <v/>
      </c>
      <c r="T22" s="13" t="s">
        <v>101</v>
      </c>
    </row>
    <row r="23" customFormat="false" ht="15" hidden="false" customHeight="false" outlineLevel="0" collapsed="false">
      <c r="A23" s="17" t="n">
        <v>45671</v>
      </c>
      <c r="B23" s="13" t="s">
        <v>28</v>
      </c>
      <c r="C23" s="13"/>
      <c r="D23" s="13" t="s">
        <v>100</v>
      </c>
      <c r="E23" s="15" t="n">
        <v>193000</v>
      </c>
      <c r="F23" s="15" t="n">
        <v>28630</v>
      </c>
      <c r="G23" s="15" t="n">
        <v>10040</v>
      </c>
      <c r="H23" s="15" t="n">
        <v>0</v>
      </c>
      <c r="I23" s="15" t="n">
        <v>16950</v>
      </c>
      <c r="J23" s="14" t="n">
        <f aca="false">SUM(E23:I23)</f>
        <v>248620</v>
      </c>
      <c r="K23" s="18"/>
      <c r="L23" s="15" t="n">
        <v>0</v>
      </c>
      <c r="M23" s="13"/>
      <c r="N23" s="15" t="n">
        <v>0</v>
      </c>
      <c r="O23" s="15"/>
      <c r="P23" s="14" t="str">
        <f aca="false">IF(O23="","",O23+E23-L23-N23)</f>
        <v/>
      </c>
      <c r="Q23" s="15"/>
      <c r="R23" s="14" t="str">
        <f aca="false">IF(OR(Q23="",P23=""),"",Q23-P23)</f>
        <v/>
      </c>
      <c r="S23" s="19" t="str">
        <f aca="false">IF(R23="","",IF(ABS(R23)&lt;=Léeme!$B$12,"Cuadra",IF(R23&lt;0,"Faltante","Sobrante")))</f>
        <v/>
      </c>
      <c r="T23" s="13" t="s">
        <v>101</v>
      </c>
    </row>
    <row r="24" customFormat="false" ht="15" hidden="false" customHeight="false" outlineLevel="0" collapsed="false">
      <c r="A24" s="17" t="n">
        <v>45672</v>
      </c>
      <c r="B24" s="13" t="s">
        <v>27</v>
      </c>
      <c r="C24" s="13"/>
      <c r="D24" s="13" t="s">
        <v>100</v>
      </c>
      <c r="E24" s="15" t="n">
        <v>237810</v>
      </c>
      <c r="F24" s="15" t="n">
        <v>32270</v>
      </c>
      <c r="G24" s="15" t="n">
        <v>13040</v>
      </c>
      <c r="H24" s="15" t="n">
        <v>0</v>
      </c>
      <c r="I24" s="15" t="n">
        <v>21650</v>
      </c>
      <c r="J24" s="14" t="n">
        <f aca="false">SUM(E24:I24)</f>
        <v>304770</v>
      </c>
      <c r="K24" s="18"/>
      <c r="L24" s="15" t="n">
        <v>13560</v>
      </c>
      <c r="M24" s="13" t="s">
        <v>103</v>
      </c>
      <c r="N24" s="15" t="n">
        <v>0</v>
      </c>
      <c r="O24" s="15"/>
      <c r="P24" s="14" t="str">
        <f aca="false">IF(O24="","",O24+E24-L24-N24)</f>
        <v/>
      </c>
      <c r="Q24" s="15"/>
      <c r="R24" s="14" t="str">
        <f aca="false">IF(OR(Q24="",P24=""),"",Q24-P24)</f>
        <v/>
      </c>
      <c r="S24" s="19" t="str">
        <f aca="false">IF(R24="","",IF(ABS(R24)&lt;=Léeme!$B$12,"Cuadra",IF(R24&lt;0,"Faltante","Sobrante")))</f>
        <v/>
      </c>
      <c r="T24" s="13" t="s">
        <v>101</v>
      </c>
    </row>
    <row r="25" customFormat="false" ht="15" hidden="false" customHeight="false" outlineLevel="0" collapsed="false">
      <c r="A25" s="17" t="n">
        <v>45672</v>
      </c>
      <c r="B25" s="13" t="s">
        <v>28</v>
      </c>
      <c r="C25" s="13"/>
      <c r="D25" s="13" t="s">
        <v>100</v>
      </c>
      <c r="E25" s="15" t="n">
        <v>215090</v>
      </c>
      <c r="F25" s="15" t="n">
        <v>27670</v>
      </c>
      <c r="G25" s="15" t="n">
        <v>10760</v>
      </c>
      <c r="H25" s="15" t="n">
        <v>0</v>
      </c>
      <c r="I25" s="15" t="n">
        <v>17760</v>
      </c>
      <c r="J25" s="14" t="n">
        <f aca="false">SUM(E25:I25)</f>
        <v>271280</v>
      </c>
      <c r="K25" s="18"/>
      <c r="L25" s="15" t="n">
        <v>0</v>
      </c>
      <c r="M25" s="13"/>
      <c r="N25" s="15" t="n">
        <v>0</v>
      </c>
      <c r="O25" s="15"/>
      <c r="P25" s="14" t="str">
        <f aca="false">IF(O25="","",O25+E25-L25-N25)</f>
        <v/>
      </c>
      <c r="Q25" s="15"/>
      <c r="R25" s="14" t="str">
        <f aca="false">IF(OR(Q25="",P25=""),"",Q25-P25)</f>
        <v/>
      </c>
      <c r="S25" s="19" t="str">
        <f aca="false">IF(R25="","",IF(ABS(R25)&lt;=Léeme!$B$12,"Cuadra",IF(R25&lt;0,"Faltante","Sobrante")))</f>
        <v/>
      </c>
      <c r="T25" s="13" t="s">
        <v>101</v>
      </c>
    </row>
    <row r="26" customFormat="false" ht="15" hidden="false" customHeight="false" outlineLevel="0" collapsed="false">
      <c r="A26" s="17" t="n">
        <v>45673</v>
      </c>
      <c r="B26" s="13" t="s">
        <v>27</v>
      </c>
      <c r="C26" s="13"/>
      <c r="D26" s="13" t="s">
        <v>100</v>
      </c>
      <c r="E26" s="15" t="n">
        <v>278620</v>
      </c>
      <c r="F26" s="15" t="n">
        <v>31090</v>
      </c>
      <c r="G26" s="15" t="n">
        <v>14750</v>
      </c>
      <c r="H26" s="15" t="n">
        <v>0</v>
      </c>
      <c r="I26" s="15" t="n">
        <v>21760</v>
      </c>
      <c r="J26" s="14" t="n">
        <f aca="false">SUM(E26:I26)</f>
        <v>346220</v>
      </c>
      <c r="K26" s="18"/>
      <c r="L26" s="15" t="n">
        <v>0</v>
      </c>
      <c r="M26" s="13"/>
      <c r="N26" s="15" t="n">
        <v>0</v>
      </c>
      <c r="O26" s="15"/>
      <c r="P26" s="14" t="str">
        <f aca="false">IF(O26="","",O26+E26-L26-N26)</f>
        <v/>
      </c>
      <c r="Q26" s="15"/>
      <c r="R26" s="14" t="str">
        <f aca="false">IF(OR(Q26="",P26=""),"",Q26-P26)</f>
        <v/>
      </c>
      <c r="S26" s="19" t="str">
        <f aca="false">IF(R26="","",IF(ABS(R26)&lt;=Léeme!$B$12,"Cuadra",IF(R26&lt;0,"Faltante","Sobrante")))</f>
        <v/>
      </c>
      <c r="T26" s="13" t="s">
        <v>101</v>
      </c>
    </row>
    <row r="27" customFormat="false" ht="15" hidden="false" customHeight="false" outlineLevel="0" collapsed="false">
      <c r="A27" s="17" t="n">
        <v>45673</v>
      </c>
      <c r="B27" s="13" t="s">
        <v>28</v>
      </c>
      <c r="C27" s="13"/>
      <c r="D27" s="13" t="s">
        <v>100</v>
      </c>
      <c r="E27" s="15" t="n">
        <v>204230</v>
      </c>
      <c r="F27" s="15" t="n">
        <v>25770</v>
      </c>
      <c r="G27" s="15" t="n">
        <v>10020</v>
      </c>
      <c r="H27" s="15" t="n">
        <v>0</v>
      </c>
      <c r="I27" s="15" t="n">
        <v>15330</v>
      </c>
      <c r="J27" s="14" t="n">
        <f aca="false">SUM(E27:I27)</f>
        <v>255350</v>
      </c>
      <c r="K27" s="18"/>
      <c r="L27" s="15" t="n">
        <v>3940</v>
      </c>
      <c r="M27" s="13" t="s">
        <v>105</v>
      </c>
      <c r="N27" s="15" t="n">
        <v>0</v>
      </c>
      <c r="O27" s="15"/>
      <c r="P27" s="14" t="str">
        <f aca="false">IF(O27="","",O27+E27-L27-N27)</f>
        <v/>
      </c>
      <c r="Q27" s="15"/>
      <c r="R27" s="14" t="str">
        <f aca="false">IF(OR(Q27="",P27=""),"",Q27-P27)</f>
        <v/>
      </c>
      <c r="S27" s="19" t="str">
        <f aca="false">IF(R27="","",IF(ABS(R27)&lt;=Léeme!$B$12,"Cuadra",IF(R27&lt;0,"Faltante","Sobrante")))</f>
        <v/>
      </c>
      <c r="T27" s="13" t="s">
        <v>101</v>
      </c>
    </row>
    <row r="28" customFormat="false" ht="15" hidden="false" customHeight="false" outlineLevel="0" collapsed="false">
      <c r="A28" s="17" t="n">
        <v>45674</v>
      </c>
      <c r="B28" s="13" t="s">
        <v>27</v>
      </c>
      <c r="C28" s="13"/>
      <c r="D28" s="13" t="s">
        <v>100</v>
      </c>
      <c r="E28" s="15" t="n">
        <v>262370</v>
      </c>
      <c r="F28" s="15" t="n">
        <v>32630</v>
      </c>
      <c r="G28" s="15" t="n">
        <v>12910</v>
      </c>
      <c r="H28" s="15" t="n">
        <v>0</v>
      </c>
      <c r="I28" s="15" t="n">
        <v>19820</v>
      </c>
      <c r="J28" s="14" t="n">
        <f aca="false">SUM(E28:I28)</f>
        <v>327730</v>
      </c>
      <c r="K28" s="18"/>
      <c r="L28" s="15" t="n">
        <v>17250</v>
      </c>
      <c r="M28" s="13" t="s">
        <v>103</v>
      </c>
      <c r="N28" s="15" t="n">
        <v>0</v>
      </c>
      <c r="O28" s="15"/>
      <c r="P28" s="14" t="str">
        <f aca="false">IF(O28="","",O28+E28-L28-N28)</f>
        <v/>
      </c>
      <c r="Q28" s="15"/>
      <c r="R28" s="14" t="str">
        <f aca="false">IF(OR(Q28="",P28=""),"",Q28-P28)</f>
        <v/>
      </c>
      <c r="S28" s="19" t="str">
        <f aca="false">IF(R28="","",IF(ABS(R28)&lt;=Léeme!$B$12,"Cuadra",IF(R28&lt;0,"Faltante","Sobrante")))</f>
        <v/>
      </c>
      <c r="T28" s="13" t="s">
        <v>101</v>
      </c>
    </row>
    <row r="29" customFormat="false" ht="15" hidden="false" customHeight="false" outlineLevel="0" collapsed="false">
      <c r="A29" s="17" t="n">
        <v>45674</v>
      </c>
      <c r="B29" s="13" t="s">
        <v>28</v>
      </c>
      <c r="C29" s="13"/>
      <c r="D29" s="13" t="s">
        <v>100</v>
      </c>
      <c r="E29" s="15" t="n">
        <v>190930</v>
      </c>
      <c r="F29" s="15" t="n">
        <v>25380</v>
      </c>
      <c r="G29" s="15" t="n">
        <v>10640</v>
      </c>
      <c r="H29" s="15" t="n">
        <v>0</v>
      </c>
      <c r="I29" s="15" t="n">
        <v>14170</v>
      </c>
      <c r="J29" s="14" t="n">
        <f aca="false">SUM(E29:I29)</f>
        <v>241120</v>
      </c>
      <c r="K29" s="18"/>
      <c r="L29" s="15" t="n">
        <v>10610</v>
      </c>
      <c r="M29" s="13" t="s">
        <v>103</v>
      </c>
      <c r="N29" s="15" t="n">
        <v>0</v>
      </c>
      <c r="O29" s="15"/>
      <c r="P29" s="14" t="str">
        <f aca="false">IF(O29="","",O29+E29-L29-N29)</f>
        <v/>
      </c>
      <c r="Q29" s="15"/>
      <c r="R29" s="14" t="str">
        <f aca="false">IF(OR(Q29="",P29=""),"",Q29-P29)</f>
        <v/>
      </c>
      <c r="S29" s="19" t="str">
        <f aca="false">IF(R29="","",IF(ABS(R29)&lt;=Léeme!$B$12,"Cuadra",IF(R29&lt;0,"Faltante","Sobrante")))</f>
        <v/>
      </c>
      <c r="T29" s="13" t="s">
        <v>101</v>
      </c>
    </row>
    <row r="30" customFormat="false" ht="15" hidden="false" customHeight="false" outlineLevel="0" collapsed="false">
      <c r="A30" s="17" t="n">
        <v>45675</v>
      </c>
      <c r="B30" s="13" t="s">
        <v>27</v>
      </c>
      <c r="C30" s="13"/>
      <c r="D30" s="13" t="s">
        <v>100</v>
      </c>
      <c r="E30" s="15" t="n">
        <v>421020</v>
      </c>
      <c r="F30" s="15" t="n">
        <v>52300</v>
      </c>
      <c r="G30" s="15" t="n">
        <v>18660</v>
      </c>
      <c r="H30" s="15" t="n">
        <v>0</v>
      </c>
      <c r="I30" s="15" t="n">
        <v>32660</v>
      </c>
      <c r="J30" s="14" t="n">
        <f aca="false">SUM(E30:I30)</f>
        <v>524640</v>
      </c>
      <c r="K30" s="18"/>
      <c r="L30" s="15" t="n">
        <v>0</v>
      </c>
      <c r="M30" s="13"/>
      <c r="N30" s="15" t="n">
        <v>0</v>
      </c>
      <c r="O30" s="15"/>
      <c r="P30" s="14" t="str">
        <f aca="false">IF(O30="","",O30+E30-L30-N30)</f>
        <v/>
      </c>
      <c r="Q30" s="15"/>
      <c r="R30" s="14" t="str">
        <f aca="false">IF(OR(Q30="",P30=""),"",Q30-P30)</f>
        <v/>
      </c>
      <c r="S30" s="19" t="str">
        <f aca="false">IF(R30="","",IF(ABS(R30)&lt;=Léeme!$B$12,"Cuadra",IF(R30&lt;0,"Faltante","Sobrante")))</f>
        <v/>
      </c>
      <c r="T30" s="13" t="s">
        <v>101</v>
      </c>
    </row>
    <row r="31" customFormat="false" ht="15" hidden="false" customHeight="false" outlineLevel="0" collapsed="false">
      <c r="A31" s="17" t="n">
        <v>45675</v>
      </c>
      <c r="B31" s="13" t="s">
        <v>28</v>
      </c>
      <c r="C31" s="13"/>
      <c r="D31" s="13" t="s">
        <v>100</v>
      </c>
      <c r="E31" s="15" t="n">
        <v>310530</v>
      </c>
      <c r="F31" s="15" t="n">
        <v>40050</v>
      </c>
      <c r="G31" s="15" t="n">
        <v>19360</v>
      </c>
      <c r="H31" s="15" t="n">
        <v>0</v>
      </c>
      <c r="I31" s="15" t="n">
        <v>28630</v>
      </c>
      <c r="J31" s="14" t="n">
        <f aca="false">SUM(E31:I31)</f>
        <v>398570</v>
      </c>
      <c r="K31" s="18"/>
      <c r="L31" s="15" t="n">
        <v>0</v>
      </c>
      <c r="M31" s="13"/>
      <c r="N31" s="15" t="n">
        <v>254000</v>
      </c>
      <c r="O31" s="15"/>
      <c r="P31" s="14" t="str">
        <f aca="false">IF(O31="","",O31+E31-L31-N31)</f>
        <v/>
      </c>
      <c r="Q31" s="15"/>
      <c r="R31" s="14" t="str">
        <f aca="false">IF(OR(Q31="",P31=""),"",Q31-P31)</f>
        <v/>
      </c>
      <c r="S31" s="19" t="str">
        <f aca="false">IF(R31="","",IF(ABS(R31)&lt;=Léeme!$B$12,"Cuadra",IF(R31&lt;0,"Faltante","Sobrante")))</f>
        <v/>
      </c>
      <c r="T31" s="13" t="s">
        <v>101</v>
      </c>
    </row>
    <row r="32" customFormat="false" ht="15" hidden="false" customHeight="false" outlineLevel="0" collapsed="false">
      <c r="A32" s="17" t="n">
        <v>45676</v>
      </c>
      <c r="B32" s="13" t="s">
        <v>27</v>
      </c>
      <c r="C32" s="13"/>
      <c r="D32" s="13" t="s">
        <v>100</v>
      </c>
      <c r="E32" s="15" t="n">
        <v>686850</v>
      </c>
      <c r="F32" s="15" t="n">
        <v>88470</v>
      </c>
      <c r="G32" s="15" t="n">
        <v>31640</v>
      </c>
      <c r="H32" s="15" t="n">
        <v>0</v>
      </c>
      <c r="I32" s="15" t="n">
        <v>57080</v>
      </c>
      <c r="J32" s="14" t="n">
        <f aca="false">SUM(E32:I32)</f>
        <v>864040</v>
      </c>
      <c r="K32" s="18"/>
      <c r="L32" s="15" t="n">
        <v>0</v>
      </c>
      <c r="M32" s="13"/>
      <c r="N32" s="15" t="n">
        <v>530000</v>
      </c>
      <c r="O32" s="15"/>
      <c r="P32" s="14" t="str">
        <f aca="false">IF(O32="","",O32+E32-L32-N32)</f>
        <v/>
      </c>
      <c r="Q32" s="15"/>
      <c r="R32" s="14" t="str">
        <f aca="false">IF(OR(Q32="",P32=""),"",Q32-P32)</f>
        <v/>
      </c>
      <c r="S32" s="19" t="str">
        <f aca="false">IF(R32="","",IF(ABS(R32)&lt;=Léeme!$B$12,"Cuadra",IF(R32&lt;0,"Faltante","Sobrante")))</f>
        <v/>
      </c>
      <c r="T32" s="13" t="s">
        <v>101</v>
      </c>
    </row>
    <row r="33" customFormat="false" ht="15" hidden="false" customHeight="false" outlineLevel="0" collapsed="false">
      <c r="A33" s="17" t="n">
        <v>45676</v>
      </c>
      <c r="B33" s="13" t="s">
        <v>28</v>
      </c>
      <c r="C33" s="13"/>
      <c r="D33" s="13" t="s">
        <v>100</v>
      </c>
      <c r="E33" s="15" t="n">
        <v>446590</v>
      </c>
      <c r="F33" s="15" t="n">
        <v>57390</v>
      </c>
      <c r="G33" s="15" t="n">
        <v>24170</v>
      </c>
      <c r="H33" s="15" t="n">
        <v>0</v>
      </c>
      <c r="I33" s="15" t="n">
        <v>40060</v>
      </c>
      <c r="J33" s="14" t="n">
        <f aca="false">SUM(E33:I33)</f>
        <v>568210</v>
      </c>
      <c r="K33" s="18"/>
      <c r="L33" s="15" t="n">
        <v>0</v>
      </c>
      <c r="M33" s="13"/>
      <c r="N33" s="15" t="n">
        <v>0</v>
      </c>
      <c r="O33" s="15"/>
      <c r="P33" s="14" t="str">
        <f aca="false">IF(O33="","",O33+E33-L33-N33)</f>
        <v/>
      </c>
      <c r="Q33" s="15"/>
      <c r="R33" s="14" t="str">
        <f aca="false">IF(OR(Q33="",P33=""),"",Q33-P33)</f>
        <v/>
      </c>
      <c r="S33" s="19" t="str">
        <f aca="false">IF(R33="","",IF(ABS(R33)&lt;=Léeme!$B$12,"Cuadra",IF(R33&lt;0,"Faltante","Sobrante")))</f>
        <v/>
      </c>
      <c r="T33" s="13" t="s">
        <v>101</v>
      </c>
    </row>
    <row r="34" customFormat="false" ht="15" hidden="false" customHeight="false" outlineLevel="0" collapsed="false">
      <c r="A34" s="17" t="n">
        <v>45678</v>
      </c>
      <c r="B34" s="13" t="s">
        <v>27</v>
      </c>
      <c r="C34" s="13"/>
      <c r="D34" s="13" t="s">
        <v>100</v>
      </c>
      <c r="E34" s="15" t="n">
        <v>255110</v>
      </c>
      <c r="F34" s="15" t="n">
        <v>32000</v>
      </c>
      <c r="G34" s="15" t="n">
        <v>14590</v>
      </c>
      <c r="H34" s="15" t="n">
        <v>0</v>
      </c>
      <c r="I34" s="15" t="n">
        <v>22660</v>
      </c>
      <c r="J34" s="14" t="n">
        <f aca="false">SUM(E34:I34)</f>
        <v>324360</v>
      </c>
      <c r="K34" s="18"/>
      <c r="L34" s="15" t="n">
        <v>23690</v>
      </c>
      <c r="M34" s="13" t="s">
        <v>103</v>
      </c>
      <c r="N34" s="15" t="n">
        <v>0</v>
      </c>
      <c r="O34" s="15"/>
      <c r="P34" s="14" t="str">
        <f aca="false">IF(O34="","",O34+E34-L34-N34)</f>
        <v/>
      </c>
      <c r="Q34" s="15"/>
      <c r="R34" s="14" t="str">
        <f aca="false">IF(OR(Q34="",P34=""),"",Q34-P34)</f>
        <v/>
      </c>
      <c r="S34" s="19" t="str">
        <f aca="false">IF(R34="","",IF(ABS(R34)&lt;=Léeme!$B$12,"Cuadra",IF(R34&lt;0,"Faltante","Sobrante")))</f>
        <v/>
      </c>
      <c r="T34" s="13" t="s">
        <v>101</v>
      </c>
    </row>
    <row r="35" customFormat="false" ht="15" hidden="false" customHeight="false" outlineLevel="0" collapsed="false">
      <c r="A35" s="17" t="n">
        <v>45678</v>
      </c>
      <c r="B35" s="13" t="s">
        <v>28</v>
      </c>
      <c r="C35" s="13"/>
      <c r="D35" s="13" t="s">
        <v>100</v>
      </c>
      <c r="E35" s="15" t="n">
        <v>219570</v>
      </c>
      <c r="F35" s="15" t="n">
        <v>25710</v>
      </c>
      <c r="G35" s="15" t="n">
        <v>11030</v>
      </c>
      <c r="H35" s="15" t="n">
        <v>0</v>
      </c>
      <c r="I35" s="15" t="n">
        <v>16950</v>
      </c>
      <c r="J35" s="14" t="n">
        <f aca="false">SUM(E35:I35)</f>
        <v>273260</v>
      </c>
      <c r="K35" s="18"/>
      <c r="L35" s="15" t="n">
        <v>5080</v>
      </c>
      <c r="M35" s="13" t="s">
        <v>104</v>
      </c>
      <c r="N35" s="15" t="n">
        <v>0</v>
      </c>
      <c r="O35" s="15"/>
      <c r="P35" s="14" t="str">
        <f aca="false">IF(O35="","",O35+E35-L35-N35)</f>
        <v/>
      </c>
      <c r="Q35" s="15"/>
      <c r="R35" s="14" t="str">
        <f aca="false">IF(OR(Q35="",P35=""),"",Q35-P35)</f>
        <v/>
      </c>
      <c r="S35" s="19" t="str">
        <f aca="false">IF(R35="","",IF(ABS(R35)&lt;=Léeme!$B$12,"Cuadra",IF(R35&lt;0,"Faltante","Sobrante")))</f>
        <v/>
      </c>
      <c r="T35" s="13" t="s">
        <v>101</v>
      </c>
    </row>
    <row r="36" customFormat="false" ht="15" hidden="false" customHeight="false" outlineLevel="0" collapsed="false">
      <c r="A36" s="17" t="n">
        <v>45679</v>
      </c>
      <c r="B36" s="13" t="s">
        <v>27</v>
      </c>
      <c r="C36" s="13"/>
      <c r="D36" s="13" t="s">
        <v>100</v>
      </c>
      <c r="E36" s="15" t="n">
        <v>277260</v>
      </c>
      <c r="F36" s="15" t="n">
        <v>37860</v>
      </c>
      <c r="G36" s="15" t="n">
        <v>14570</v>
      </c>
      <c r="H36" s="15" t="n">
        <v>0</v>
      </c>
      <c r="I36" s="15" t="n">
        <v>23190</v>
      </c>
      <c r="J36" s="14" t="n">
        <f aca="false">SUM(E36:I36)</f>
        <v>352880</v>
      </c>
      <c r="K36" s="18"/>
      <c r="L36" s="15" t="n">
        <v>6660</v>
      </c>
      <c r="M36" s="13" t="s">
        <v>104</v>
      </c>
      <c r="N36" s="15" t="n">
        <v>196000</v>
      </c>
      <c r="O36" s="15"/>
      <c r="P36" s="14" t="str">
        <f aca="false">IF(O36="","",O36+E36-L36-N36)</f>
        <v/>
      </c>
      <c r="Q36" s="15"/>
      <c r="R36" s="14" t="str">
        <f aca="false">IF(OR(Q36="",P36=""),"",Q36-P36)</f>
        <v/>
      </c>
      <c r="S36" s="19" t="str">
        <f aca="false">IF(R36="","",IF(ABS(R36)&lt;=Léeme!$B$12,"Cuadra",IF(R36&lt;0,"Faltante","Sobrante")))</f>
        <v/>
      </c>
      <c r="T36" s="13" t="s">
        <v>101</v>
      </c>
    </row>
    <row r="37" customFormat="false" ht="15" hidden="false" customHeight="false" outlineLevel="0" collapsed="false">
      <c r="A37" s="17" t="n">
        <v>45679</v>
      </c>
      <c r="B37" s="13" t="s">
        <v>28</v>
      </c>
      <c r="C37" s="13"/>
      <c r="D37" s="13" t="s">
        <v>100</v>
      </c>
      <c r="E37" s="15" t="n">
        <v>195620</v>
      </c>
      <c r="F37" s="15" t="n">
        <v>26130</v>
      </c>
      <c r="G37" s="15" t="n">
        <v>10410</v>
      </c>
      <c r="H37" s="15" t="n">
        <v>0</v>
      </c>
      <c r="I37" s="15" t="n">
        <v>15470</v>
      </c>
      <c r="J37" s="14" t="n">
        <f aca="false">SUM(E37:I37)</f>
        <v>247630</v>
      </c>
      <c r="K37" s="18"/>
      <c r="L37" s="15" t="n">
        <v>0</v>
      </c>
      <c r="M37" s="13"/>
      <c r="N37" s="15" t="n">
        <v>0</v>
      </c>
      <c r="O37" s="15"/>
      <c r="P37" s="14" t="str">
        <f aca="false">IF(O37="","",O37+E37-L37-N37)</f>
        <v/>
      </c>
      <c r="Q37" s="15"/>
      <c r="R37" s="14" t="str">
        <f aca="false">IF(OR(Q37="",P37=""),"",Q37-P37)</f>
        <v/>
      </c>
      <c r="S37" s="19" t="str">
        <f aca="false">IF(R37="","",IF(ABS(R37)&lt;=Léeme!$B$12,"Cuadra",IF(R37&lt;0,"Faltante","Sobrante")))</f>
        <v/>
      </c>
      <c r="T37" s="13" t="s">
        <v>101</v>
      </c>
    </row>
    <row r="38" customFormat="false" ht="15" hidden="false" customHeight="false" outlineLevel="0" collapsed="false">
      <c r="A38" s="17" t="n">
        <v>45680</v>
      </c>
      <c r="B38" s="13" t="s">
        <v>27</v>
      </c>
      <c r="C38" s="13"/>
      <c r="D38" s="13" t="s">
        <v>100</v>
      </c>
      <c r="E38" s="15" t="n">
        <v>244130</v>
      </c>
      <c r="F38" s="15" t="n">
        <v>30160</v>
      </c>
      <c r="G38" s="15" t="n">
        <v>11160</v>
      </c>
      <c r="H38" s="15" t="n">
        <v>0</v>
      </c>
      <c r="I38" s="15" t="n">
        <v>17210</v>
      </c>
      <c r="J38" s="14" t="n">
        <f aca="false">SUM(E38:I38)</f>
        <v>302660</v>
      </c>
      <c r="K38" s="18"/>
      <c r="L38" s="15" t="n">
        <v>0</v>
      </c>
      <c r="M38" s="13"/>
      <c r="N38" s="15" t="n">
        <v>0</v>
      </c>
      <c r="O38" s="15"/>
      <c r="P38" s="14" t="str">
        <f aca="false">IF(O38="","",O38+E38-L38-N38)</f>
        <v/>
      </c>
      <c r="Q38" s="15"/>
      <c r="R38" s="14" t="str">
        <f aca="false">IF(OR(Q38="",P38=""),"",Q38-P38)</f>
        <v/>
      </c>
      <c r="S38" s="19" t="str">
        <f aca="false">IF(R38="","",IF(ABS(R38)&lt;=Léeme!$B$12,"Cuadra",IF(R38&lt;0,"Faltante","Sobrante")))</f>
        <v/>
      </c>
      <c r="T38" s="13" t="s">
        <v>101</v>
      </c>
    </row>
    <row r="39" customFormat="false" ht="15" hidden="false" customHeight="false" outlineLevel="0" collapsed="false">
      <c r="A39" s="17" t="n">
        <v>45680</v>
      </c>
      <c r="B39" s="13" t="s">
        <v>28</v>
      </c>
      <c r="C39" s="13"/>
      <c r="D39" s="13" t="s">
        <v>100</v>
      </c>
      <c r="E39" s="15" t="n">
        <v>207440</v>
      </c>
      <c r="F39" s="15" t="n">
        <v>25910</v>
      </c>
      <c r="G39" s="15" t="n">
        <v>10460</v>
      </c>
      <c r="H39" s="15" t="n">
        <v>0</v>
      </c>
      <c r="I39" s="15" t="n">
        <v>16760</v>
      </c>
      <c r="J39" s="14" t="n">
        <f aca="false">SUM(E39:I39)</f>
        <v>260570</v>
      </c>
      <c r="K39" s="18"/>
      <c r="L39" s="15" t="n">
        <v>0</v>
      </c>
      <c r="M39" s="13"/>
      <c r="N39" s="15" t="n">
        <v>0</v>
      </c>
      <c r="O39" s="15"/>
      <c r="P39" s="14" t="str">
        <f aca="false">IF(O39="","",O39+E39-L39-N39)</f>
        <v/>
      </c>
      <c r="Q39" s="15"/>
      <c r="R39" s="14" t="str">
        <f aca="false">IF(OR(Q39="",P39=""),"",Q39-P39)</f>
        <v/>
      </c>
      <c r="S39" s="19" t="str">
        <f aca="false">IF(R39="","",IF(ABS(R39)&lt;=Léeme!$B$12,"Cuadra",IF(R39&lt;0,"Faltante","Sobrante")))</f>
        <v/>
      </c>
      <c r="T39" s="13" t="s">
        <v>101</v>
      </c>
    </row>
    <row r="40" customFormat="false" ht="15" hidden="false" customHeight="false" outlineLevel="0" collapsed="false">
      <c r="A40" s="17" t="n">
        <v>45681</v>
      </c>
      <c r="B40" s="13" t="s">
        <v>27</v>
      </c>
      <c r="C40" s="13"/>
      <c r="D40" s="13" t="s">
        <v>100</v>
      </c>
      <c r="E40" s="15" t="n">
        <v>271530</v>
      </c>
      <c r="F40" s="15" t="n">
        <v>39090</v>
      </c>
      <c r="G40" s="15" t="n">
        <v>14750</v>
      </c>
      <c r="H40" s="15" t="n">
        <v>0</v>
      </c>
      <c r="I40" s="15" t="n">
        <v>24830</v>
      </c>
      <c r="J40" s="14" t="n">
        <f aca="false">SUM(E40:I40)</f>
        <v>350200</v>
      </c>
      <c r="K40" s="18"/>
      <c r="L40" s="15" t="n">
        <v>0</v>
      </c>
      <c r="M40" s="13"/>
      <c r="N40" s="15" t="n">
        <v>0</v>
      </c>
      <c r="O40" s="15"/>
      <c r="P40" s="14" t="str">
        <f aca="false">IF(O40="","",O40+E40-L40-N40)</f>
        <v/>
      </c>
      <c r="Q40" s="15"/>
      <c r="R40" s="14" t="str">
        <f aca="false">IF(OR(Q40="",P40=""),"",Q40-P40)</f>
        <v/>
      </c>
      <c r="S40" s="19" t="str">
        <f aca="false">IF(R40="","",IF(ABS(R40)&lt;=Léeme!$B$12,"Cuadra",IF(R40&lt;0,"Faltante","Sobrante")))</f>
        <v/>
      </c>
      <c r="T40" s="13" t="s">
        <v>101</v>
      </c>
    </row>
    <row r="41" customFormat="false" ht="15" hidden="false" customHeight="false" outlineLevel="0" collapsed="false">
      <c r="A41" s="17" t="n">
        <v>45681</v>
      </c>
      <c r="B41" s="13" t="s">
        <v>28</v>
      </c>
      <c r="C41" s="13"/>
      <c r="D41" s="13" t="s">
        <v>100</v>
      </c>
      <c r="E41" s="15" t="n">
        <v>185780</v>
      </c>
      <c r="F41" s="15" t="n">
        <v>24010</v>
      </c>
      <c r="G41" s="15" t="n">
        <v>10130</v>
      </c>
      <c r="H41" s="15" t="n">
        <v>0</v>
      </c>
      <c r="I41" s="15" t="n">
        <v>16410</v>
      </c>
      <c r="J41" s="14" t="n">
        <f aca="false">SUM(E41:I41)</f>
        <v>236330</v>
      </c>
      <c r="K41" s="18"/>
      <c r="L41" s="15" t="n">
        <v>21490</v>
      </c>
      <c r="M41" s="13" t="s">
        <v>103</v>
      </c>
      <c r="N41" s="15" t="n">
        <v>0</v>
      </c>
      <c r="O41" s="15"/>
      <c r="P41" s="14" t="str">
        <f aca="false">IF(O41="","",O41+E41-L41-N41)</f>
        <v/>
      </c>
      <c r="Q41" s="15"/>
      <c r="R41" s="14" t="str">
        <f aca="false">IF(OR(Q41="",P41=""),"",Q41-P41)</f>
        <v/>
      </c>
      <c r="S41" s="19" t="str">
        <f aca="false">IF(R41="","",IF(ABS(R41)&lt;=Léeme!$B$12,"Cuadra",IF(R41&lt;0,"Faltante","Sobrante")))</f>
        <v/>
      </c>
      <c r="T41" s="13" t="s">
        <v>101</v>
      </c>
    </row>
    <row r="42" customFormat="false" ht="15" hidden="false" customHeight="false" outlineLevel="0" collapsed="false">
      <c r="A42" s="17" t="n">
        <v>45682</v>
      </c>
      <c r="B42" s="13" t="s">
        <v>27</v>
      </c>
      <c r="C42" s="13"/>
      <c r="D42" s="13" t="s">
        <v>100</v>
      </c>
      <c r="E42" s="15" t="n">
        <v>414940</v>
      </c>
      <c r="F42" s="15" t="n">
        <v>53810</v>
      </c>
      <c r="G42" s="15" t="n">
        <v>19840</v>
      </c>
      <c r="H42" s="15" t="n">
        <v>0</v>
      </c>
      <c r="I42" s="15" t="n">
        <v>33190</v>
      </c>
      <c r="J42" s="14" t="n">
        <f aca="false">SUM(E42:I42)</f>
        <v>521780</v>
      </c>
      <c r="K42" s="18"/>
      <c r="L42" s="15" t="n">
        <v>0</v>
      </c>
      <c r="M42" s="13"/>
      <c r="N42" s="15" t="n">
        <v>329000</v>
      </c>
      <c r="O42" s="15"/>
      <c r="P42" s="14" t="str">
        <f aca="false">IF(O42="","",O42+E42-L42-N42)</f>
        <v/>
      </c>
      <c r="Q42" s="15"/>
      <c r="R42" s="14" t="str">
        <f aca="false">IF(OR(Q42="",P42=""),"",Q42-P42)</f>
        <v/>
      </c>
      <c r="S42" s="19" t="str">
        <f aca="false">IF(R42="","",IF(ABS(R42)&lt;=Léeme!$B$12,"Cuadra",IF(R42&lt;0,"Faltante","Sobrante")))</f>
        <v/>
      </c>
      <c r="T42" s="13" t="s">
        <v>101</v>
      </c>
    </row>
    <row r="43" customFormat="false" ht="15" hidden="false" customHeight="false" outlineLevel="0" collapsed="false">
      <c r="A43" s="17" t="n">
        <v>45682</v>
      </c>
      <c r="B43" s="13" t="s">
        <v>28</v>
      </c>
      <c r="C43" s="13"/>
      <c r="D43" s="13" t="s">
        <v>100</v>
      </c>
      <c r="E43" s="15" t="n">
        <v>327180</v>
      </c>
      <c r="F43" s="15" t="n">
        <v>37210</v>
      </c>
      <c r="G43" s="15" t="n">
        <v>15540</v>
      </c>
      <c r="H43" s="15" t="n">
        <v>0</v>
      </c>
      <c r="I43" s="15" t="n">
        <v>24810</v>
      </c>
      <c r="J43" s="14" t="n">
        <f aca="false">SUM(E43:I43)</f>
        <v>404740</v>
      </c>
      <c r="K43" s="18"/>
      <c r="L43" s="15" t="n">
        <v>0</v>
      </c>
      <c r="M43" s="13"/>
      <c r="N43" s="15" t="n">
        <v>0</v>
      </c>
      <c r="O43" s="15"/>
      <c r="P43" s="14" t="str">
        <f aca="false">IF(O43="","",O43+E43-L43-N43)</f>
        <v/>
      </c>
      <c r="Q43" s="15"/>
      <c r="R43" s="14" t="str">
        <f aca="false">IF(OR(Q43="",P43=""),"",Q43-P43)</f>
        <v/>
      </c>
      <c r="S43" s="19" t="str">
        <f aca="false">IF(R43="","",IF(ABS(R43)&lt;=Léeme!$B$12,"Cuadra",IF(R43&lt;0,"Faltante","Sobrante")))</f>
        <v/>
      </c>
      <c r="T43" s="13" t="s">
        <v>101</v>
      </c>
    </row>
    <row r="44" customFormat="false" ht="15" hidden="false" customHeight="false" outlineLevel="0" collapsed="false">
      <c r="A44" s="17" t="n">
        <v>45683</v>
      </c>
      <c r="B44" s="13" t="s">
        <v>27</v>
      </c>
      <c r="C44" s="13"/>
      <c r="D44" s="13" t="s">
        <v>100</v>
      </c>
      <c r="E44" s="15" t="n">
        <v>722230</v>
      </c>
      <c r="F44" s="15" t="n">
        <v>97210</v>
      </c>
      <c r="G44" s="15" t="n">
        <v>39960</v>
      </c>
      <c r="H44" s="15" t="n">
        <v>0</v>
      </c>
      <c r="I44" s="15" t="n">
        <v>68540</v>
      </c>
      <c r="J44" s="14" t="n">
        <f aca="false">SUM(E44:I44)</f>
        <v>927940</v>
      </c>
      <c r="K44" s="18"/>
      <c r="L44" s="15" t="n">
        <v>17580</v>
      </c>
      <c r="M44" s="13" t="s">
        <v>103</v>
      </c>
      <c r="N44" s="15" t="n">
        <v>0</v>
      </c>
      <c r="O44" s="15"/>
      <c r="P44" s="14" t="str">
        <f aca="false">IF(O44="","",O44+E44-L44-N44)</f>
        <v/>
      </c>
      <c r="Q44" s="15"/>
      <c r="R44" s="14" t="str">
        <f aca="false">IF(OR(Q44="",P44=""),"",Q44-P44)</f>
        <v/>
      </c>
      <c r="S44" s="19" t="str">
        <f aca="false">IF(R44="","",IF(ABS(R44)&lt;=Léeme!$B$12,"Cuadra",IF(R44&lt;0,"Faltante","Sobrante")))</f>
        <v/>
      </c>
      <c r="T44" s="13" t="s">
        <v>101</v>
      </c>
    </row>
    <row r="45" customFormat="false" ht="15" hidden="false" customHeight="false" outlineLevel="0" collapsed="false">
      <c r="A45" s="17" t="n">
        <v>45683</v>
      </c>
      <c r="B45" s="13" t="s">
        <v>28</v>
      </c>
      <c r="C45" s="13"/>
      <c r="D45" s="13" t="s">
        <v>100</v>
      </c>
      <c r="E45" s="15" t="n">
        <v>510980</v>
      </c>
      <c r="F45" s="15" t="n">
        <v>60420</v>
      </c>
      <c r="G45" s="15" t="n">
        <v>22330</v>
      </c>
      <c r="H45" s="15" t="n">
        <v>0</v>
      </c>
      <c r="I45" s="15" t="n">
        <v>40030</v>
      </c>
      <c r="J45" s="14" t="n">
        <f aca="false">SUM(E45:I45)</f>
        <v>633760</v>
      </c>
      <c r="K45" s="18"/>
      <c r="L45" s="15" t="n">
        <v>3830</v>
      </c>
      <c r="M45" s="13" t="s">
        <v>104</v>
      </c>
      <c r="N45" s="15" t="n">
        <v>0</v>
      </c>
      <c r="O45" s="15"/>
      <c r="P45" s="14" t="str">
        <f aca="false">IF(O45="","",O45+E45-L45-N45)</f>
        <v/>
      </c>
      <c r="Q45" s="15"/>
      <c r="R45" s="14" t="str">
        <f aca="false">IF(OR(Q45="",P45=""),"",Q45-P45)</f>
        <v/>
      </c>
      <c r="S45" s="19" t="str">
        <f aca="false">IF(R45="","",IF(ABS(R45)&lt;=Léeme!$B$12,"Cuadra",IF(R45&lt;0,"Faltante","Sobrante")))</f>
        <v/>
      </c>
      <c r="T45" s="13" t="s">
        <v>101</v>
      </c>
    </row>
    <row r="46" customFormat="false" ht="15" hidden="false" customHeight="false" outlineLevel="0" collapsed="false">
      <c r="A46" s="17" t="n">
        <v>45685</v>
      </c>
      <c r="B46" s="13" t="s">
        <v>27</v>
      </c>
      <c r="C46" s="13"/>
      <c r="D46" s="13" t="s">
        <v>100</v>
      </c>
      <c r="E46" s="15" t="n">
        <v>272570</v>
      </c>
      <c r="F46" s="15" t="n">
        <v>34840</v>
      </c>
      <c r="G46" s="15" t="n">
        <v>15180</v>
      </c>
      <c r="H46" s="15" t="n">
        <v>0</v>
      </c>
      <c r="I46" s="15" t="n">
        <v>22790</v>
      </c>
      <c r="J46" s="14" t="n">
        <f aca="false">SUM(E46:I46)</f>
        <v>345380</v>
      </c>
      <c r="K46" s="18"/>
      <c r="L46" s="15" t="n">
        <v>8420</v>
      </c>
      <c r="M46" s="13" t="s">
        <v>103</v>
      </c>
      <c r="N46" s="15" t="n">
        <v>241000</v>
      </c>
      <c r="O46" s="15"/>
      <c r="P46" s="14" t="str">
        <f aca="false">IF(O46="","",O46+E46-L46-N46)</f>
        <v/>
      </c>
      <c r="Q46" s="15"/>
      <c r="R46" s="14" t="str">
        <f aca="false">IF(OR(Q46="",P46=""),"",Q46-P46)</f>
        <v/>
      </c>
      <c r="S46" s="19" t="str">
        <f aca="false">IF(R46="","",IF(ABS(R46)&lt;=Léeme!$B$12,"Cuadra",IF(R46&lt;0,"Faltante","Sobrante")))</f>
        <v/>
      </c>
      <c r="T46" s="13" t="s">
        <v>101</v>
      </c>
    </row>
    <row r="47" customFormat="false" ht="15" hidden="false" customHeight="false" outlineLevel="0" collapsed="false">
      <c r="A47" s="17" t="n">
        <v>45685</v>
      </c>
      <c r="B47" s="13" t="s">
        <v>28</v>
      </c>
      <c r="C47" s="13"/>
      <c r="D47" s="13" t="s">
        <v>100</v>
      </c>
      <c r="E47" s="15" t="n">
        <v>209840</v>
      </c>
      <c r="F47" s="15" t="n">
        <v>31070</v>
      </c>
      <c r="G47" s="15" t="n">
        <v>12380</v>
      </c>
      <c r="H47" s="15" t="n">
        <v>0</v>
      </c>
      <c r="I47" s="15" t="n">
        <v>19350</v>
      </c>
      <c r="J47" s="14" t="n">
        <f aca="false">SUM(E47:I47)</f>
        <v>272640</v>
      </c>
      <c r="K47" s="18"/>
      <c r="L47" s="15" t="n">
        <v>18450</v>
      </c>
      <c r="M47" s="13" t="s">
        <v>103</v>
      </c>
      <c r="N47" s="15" t="n">
        <v>0</v>
      </c>
      <c r="O47" s="15"/>
      <c r="P47" s="14" t="str">
        <f aca="false">IF(O47="","",O47+E47-L47-N47)</f>
        <v/>
      </c>
      <c r="Q47" s="15"/>
      <c r="R47" s="14" t="str">
        <f aca="false">IF(OR(Q47="",P47=""),"",Q47-P47)</f>
        <v/>
      </c>
      <c r="S47" s="19" t="str">
        <f aca="false">IF(R47="","",IF(ABS(R47)&lt;=Léeme!$B$12,"Cuadra",IF(R47&lt;0,"Faltante","Sobrante")))</f>
        <v/>
      </c>
      <c r="T47" s="13" t="s">
        <v>101</v>
      </c>
    </row>
    <row r="48" customFormat="false" ht="15" hidden="false" customHeight="false" outlineLevel="0" collapsed="false">
      <c r="A48" s="17" t="n">
        <v>45686</v>
      </c>
      <c r="B48" s="13" t="s">
        <v>27</v>
      </c>
      <c r="C48" s="13"/>
      <c r="D48" s="13" t="s">
        <v>100</v>
      </c>
      <c r="E48" s="15" t="n">
        <v>245500</v>
      </c>
      <c r="F48" s="15" t="n">
        <v>34180</v>
      </c>
      <c r="G48" s="15" t="n">
        <v>13510</v>
      </c>
      <c r="H48" s="15" t="n">
        <v>0</v>
      </c>
      <c r="I48" s="15" t="n">
        <v>18960</v>
      </c>
      <c r="J48" s="14" t="n">
        <f aca="false">SUM(E48:I48)</f>
        <v>312150</v>
      </c>
      <c r="K48" s="18"/>
      <c r="L48" s="15" t="n">
        <v>0</v>
      </c>
      <c r="M48" s="13"/>
      <c r="N48" s="15" t="n">
        <v>0</v>
      </c>
      <c r="O48" s="15"/>
      <c r="P48" s="14" t="str">
        <f aca="false">IF(O48="","",O48+E48-L48-N48)</f>
        <v/>
      </c>
      <c r="Q48" s="15"/>
      <c r="R48" s="14" t="str">
        <f aca="false">IF(OR(Q48="",P48=""),"",Q48-P48)</f>
        <v/>
      </c>
      <c r="S48" s="19" t="str">
        <f aca="false">IF(R48="","",IF(ABS(R48)&lt;=Léeme!$B$12,"Cuadra",IF(R48&lt;0,"Faltante","Sobrante")))</f>
        <v/>
      </c>
      <c r="T48" s="13" t="s">
        <v>101</v>
      </c>
    </row>
    <row r="49" customFormat="false" ht="15" hidden="false" customHeight="false" outlineLevel="0" collapsed="false">
      <c r="A49" s="17" t="n">
        <v>45686</v>
      </c>
      <c r="B49" s="13" t="s">
        <v>28</v>
      </c>
      <c r="C49" s="13"/>
      <c r="D49" s="13" t="s">
        <v>100</v>
      </c>
      <c r="E49" s="15" t="n">
        <v>210510</v>
      </c>
      <c r="F49" s="15" t="n">
        <v>26520</v>
      </c>
      <c r="G49" s="15" t="n">
        <v>10700</v>
      </c>
      <c r="H49" s="15" t="n">
        <v>0</v>
      </c>
      <c r="I49" s="15" t="n">
        <v>17440</v>
      </c>
      <c r="J49" s="14" t="n">
        <f aca="false">SUM(E49:I49)</f>
        <v>265170</v>
      </c>
      <c r="K49" s="18"/>
      <c r="L49" s="15" t="n">
        <v>0</v>
      </c>
      <c r="M49" s="13"/>
      <c r="N49" s="15" t="n">
        <v>0</v>
      </c>
      <c r="O49" s="15"/>
      <c r="P49" s="14" t="str">
        <f aca="false">IF(O49="","",O49+E49-L49-N49)</f>
        <v/>
      </c>
      <c r="Q49" s="15"/>
      <c r="R49" s="14" t="str">
        <f aca="false">IF(OR(Q49="",P49=""),"",Q49-P49)</f>
        <v/>
      </c>
      <c r="S49" s="19" t="str">
        <f aca="false">IF(R49="","",IF(ABS(R49)&lt;=Léeme!$B$12,"Cuadra",IF(R49&lt;0,"Faltante","Sobrante")))</f>
        <v/>
      </c>
      <c r="T49" s="13" t="s">
        <v>101</v>
      </c>
    </row>
    <row r="50" customFormat="false" ht="15" hidden="false" customHeight="false" outlineLevel="0" collapsed="false">
      <c r="A50" s="17" t="n">
        <v>45687</v>
      </c>
      <c r="B50" s="13" t="s">
        <v>27</v>
      </c>
      <c r="C50" s="13"/>
      <c r="D50" s="13" t="s">
        <v>100</v>
      </c>
      <c r="E50" s="15" t="n">
        <v>244070</v>
      </c>
      <c r="F50" s="15" t="n">
        <v>37770</v>
      </c>
      <c r="G50" s="15" t="n">
        <v>13080</v>
      </c>
      <c r="H50" s="15" t="n">
        <v>0</v>
      </c>
      <c r="I50" s="15" t="n">
        <v>22520</v>
      </c>
      <c r="J50" s="14" t="n">
        <f aca="false">SUM(E50:I50)</f>
        <v>317440</v>
      </c>
      <c r="K50" s="18"/>
      <c r="L50" s="15" t="n">
        <v>3460</v>
      </c>
      <c r="M50" s="13" t="s">
        <v>105</v>
      </c>
      <c r="N50" s="15" t="n">
        <v>133000</v>
      </c>
      <c r="O50" s="15"/>
      <c r="P50" s="14" t="str">
        <f aca="false">IF(O50="","",O50+E50-L50-N50)</f>
        <v/>
      </c>
      <c r="Q50" s="15"/>
      <c r="R50" s="14" t="str">
        <f aca="false">IF(OR(Q50="",P50=""),"",Q50-P50)</f>
        <v/>
      </c>
      <c r="S50" s="19" t="str">
        <f aca="false">IF(R50="","",IF(ABS(R50)&lt;=Léeme!$B$12,"Cuadra",IF(R50&lt;0,"Faltante","Sobrante")))</f>
        <v/>
      </c>
      <c r="T50" s="13" t="s">
        <v>101</v>
      </c>
    </row>
    <row r="51" customFormat="false" ht="15" hidden="false" customHeight="false" outlineLevel="0" collapsed="false">
      <c r="A51" s="17" t="n">
        <v>45687</v>
      </c>
      <c r="B51" s="13" t="s">
        <v>28</v>
      </c>
      <c r="C51" s="13"/>
      <c r="D51" s="13" t="s">
        <v>100</v>
      </c>
      <c r="E51" s="15" t="n">
        <v>174460</v>
      </c>
      <c r="F51" s="15" t="n">
        <v>22480</v>
      </c>
      <c r="G51" s="15" t="n">
        <v>10780</v>
      </c>
      <c r="H51" s="15" t="n">
        <v>0</v>
      </c>
      <c r="I51" s="15" t="n">
        <v>16690</v>
      </c>
      <c r="J51" s="14" t="n">
        <f aca="false">SUM(E51:I51)</f>
        <v>224410</v>
      </c>
      <c r="K51" s="18"/>
      <c r="L51" s="15" t="n">
        <v>0</v>
      </c>
      <c r="M51" s="13"/>
      <c r="N51" s="15" t="n">
        <v>124000</v>
      </c>
      <c r="O51" s="15"/>
      <c r="P51" s="14" t="str">
        <f aca="false">IF(O51="","",O51+E51-L51-N51)</f>
        <v/>
      </c>
      <c r="Q51" s="15"/>
      <c r="R51" s="14" t="str">
        <f aca="false">IF(OR(Q51="",P51=""),"",Q51-P51)</f>
        <v/>
      </c>
      <c r="S51" s="19" t="str">
        <f aca="false">IF(R51="","",IF(ABS(R51)&lt;=Léeme!$B$12,"Cuadra",IF(R51&lt;0,"Faltante","Sobrante")))</f>
        <v/>
      </c>
      <c r="T51" s="13" t="s">
        <v>101</v>
      </c>
    </row>
    <row r="52" customFormat="false" ht="15" hidden="false" customHeight="false" outlineLevel="0" collapsed="false">
      <c r="A52" s="17" t="n">
        <v>45688</v>
      </c>
      <c r="B52" s="13" t="s">
        <v>27</v>
      </c>
      <c r="C52" s="13"/>
      <c r="D52" s="13" t="s">
        <v>100</v>
      </c>
      <c r="E52" s="15" t="n">
        <v>255820</v>
      </c>
      <c r="F52" s="15" t="n">
        <v>34620</v>
      </c>
      <c r="G52" s="15" t="n">
        <v>12830</v>
      </c>
      <c r="H52" s="15" t="n">
        <v>0</v>
      </c>
      <c r="I52" s="15" t="n">
        <v>20480</v>
      </c>
      <c r="J52" s="14" t="n">
        <f aca="false">SUM(E52:I52)</f>
        <v>323750</v>
      </c>
      <c r="K52" s="18"/>
      <c r="L52" s="15" t="n">
        <v>8980</v>
      </c>
      <c r="M52" s="13" t="s">
        <v>103</v>
      </c>
      <c r="N52" s="15" t="n">
        <v>0</v>
      </c>
      <c r="O52" s="15"/>
      <c r="P52" s="14" t="str">
        <f aca="false">IF(O52="","",O52+E52-L52-N52)</f>
        <v/>
      </c>
      <c r="Q52" s="15"/>
      <c r="R52" s="14" t="str">
        <f aca="false">IF(OR(Q52="",P52=""),"",Q52-P52)</f>
        <v/>
      </c>
      <c r="S52" s="19" t="str">
        <f aca="false">IF(R52="","",IF(ABS(R52)&lt;=Léeme!$B$12,"Cuadra",IF(R52&lt;0,"Faltante","Sobrante")))</f>
        <v/>
      </c>
      <c r="T52" s="13" t="s">
        <v>101</v>
      </c>
    </row>
    <row r="53" customFormat="false" ht="15" hidden="false" customHeight="false" outlineLevel="0" collapsed="false">
      <c r="A53" s="17" t="n">
        <v>45688</v>
      </c>
      <c r="B53" s="13" t="s">
        <v>28</v>
      </c>
      <c r="C53" s="13"/>
      <c r="D53" s="13" t="s">
        <v>100</v>
      </c>
      <c r="E53" s="15" t="n">
        <v>198160</v>
      </c>
      <c r="F53" s="15" t="n">
        <v>25640</v>
      </c>
      <c r="G53" s="15" t="n">
        <v>10300</v>
      </c>
      <c r="H53" s="15" t="n">
        <v>0</v>
      </c>
      <c r="I53" s="15" t="n">
        <v>16860</v>
      </c>
      <c r="J53" s="14" t="n">
        <f aca="false">SUM(E53:I53)</f>
        <v>250960</v>
      </c>
      <c r="K53" s="18"/>
      <c r="L53" s="15" t="n">
        <v>0</v>
      </c>
      <c r="M53" s="13"/>
      <c r="N53" s="15" t="n">
        <v>0</v>
      </c>
      <c r="O53" s="15"/>
      <c r="P53" s="14" t="str">
        <f aca="false">IF(O53="","",O53+E53-L53-N53)</f>
        <v/>
      </c>
      <c r="Q53" s="15"/>
      <c r="R53" s="14" t="str">
        <f aca="false">IF(OR(Q53="",P53=""),"",Q53-P53)</f>
        <v/>
      </c>
      <c r="S53" s="19" t="str">
        <f aca="false">IF(R53="","",IF(ABS(R53)&lt;=Léeme!$B$12,"Cuadra",IF(R53&lt;0,"Faltante","Sobrante")))</f>
        <v/>
      </c>
      <c r="T53" s="13" t="s">
        <v>101</v>
      </c>
    </row>
    <row r="54" customFormat="false" ht="15" hidden="false" customHeight="false" outlineLevel="0" collapsed="false">
      <c r="A54" s="17" t="n">
        <v>45689</v>
      </c>
      <c r="B54" s="13" t="s">
        <v>27</v>
      </c>
      <c r="C54" s="13"/>
      <c r="D54" s="13" t="s">
        <v>100</v>
      </c>
      <c r="E54" s="15" t="n">
        <v>422290</v>
      </c>
      <c r="F54" s="15" t="n">
        <v>58300</v>
      </c>
      <c r="G54" s="15" t="n">
        <v>22340</v>
      </c>
      <c r="H54" s="15" t="n">
        <v>0</v>
      </c>
      <c r="I54" s="15" t="n">
        <v>38870</v>
      </c>
      <c r="J54" s="14" t="n">
        <f aca="false">SUM(E54:I54)</f>
        <v>541800</v>
      </c>
      <c r="K54" s="18"/>
      <c r="L54" s="15" t="n">
        <v>15520</v>
      </c>
      <c r="M54" s="13" t="s">
        <v>103</v>
      </c>
      <c r="N54" s="15" t="n">
        <v>250000</v>
      </c>
      <c r="O54" s="15"/>
      <c r="P54" s="14" t="str">
        <f aca="false">IF(O54="","",O54+E54-L54-N54)</f>
        <v/>
      </c>
      <c r="Q54" s="15"/>
      <c r="R54" s="14" t="str">
        <f aca="false">IF(OR(Q54="",P54=""),"",Q54-P54)</f>
        <v/>
      </c>
      <c r="S54" s="19" t="str">
        <f aca="false">IF(R54="","",IF(ABS(R54)&lt;=Léeme!$B$12,"Cuadra",IF(R54&lt;0,"Faltante","Sobrante")))</f>
        <v/>
      </c>
      <c r="T54" s="13" t="s">
        <v>101</v>
      </c>
    </row>
    <row r="55" customFormat="false" ht="15" hidden="false" customHeight="false" outlineLevel="0" collapsed="false">
      <c r="A55" s="17" t="n">
        <v>45689</v>
      </c>
      <c r="B55" s="13" t="s">
        <v>28</v>
      </c>
      <c r="C55" s="13"/>
      <c r="D55" s="13" t="s">
        <v>100</v>
      </c>
      <c r="E55" s="15" t="n">
        <v>348230</v>
      </c>
      <c r="F55" s="15" t="n">
        <v>47860</v>
      </c>
      <c r="G55" s="15" t="n">
        <v>17540</v>
      </c>
      <c r="H55" s="15" t="n">
        <v>0</v>
      </c>
      <c r="I55" s="15" t="n">
        <v>28220</v>
      </c>
      <c r="J55" s="14" t="n">
        <f aca="false">SUM(E55:I55)</f>
        <v>441850</v>
      </c>
      <c r="K55" s="18"/>
      <c r="L55" s="15" t="n">
        <v>0</v>
      </c>
      <c r="M55" s="13"/>
      <c r="N55" s="15" t="n">
        <v>0</v>
      </c>
      <c r="O55" s="15"/>
      <c r="P55" s="14" t="str">
        <f aca="false">IF(O55="","",O55+E55-L55-N55)</f>
        <v/>
      </c>
      <c r="Q55" s="15"/>
      <c r="R55" s="14" t="str">
        <f aca="false">IF(OR(Q55="",P55=""),"",Q55-P55)</f>
        <v/>
      </c>
      <c r="S55" s="19" t="str">
        <f aca="false">IF(R55="","",IF(ABS(R55)&lt;=Léeme!$B$12,"Cuadra",IF(R55&lt;0,"Faltante","Sobrante")))</f>
        <v/>
      </c>
      <c r="T55" s="13" t="s">
        <v>101</v>
      </c>
    </row>
    <row r="56" customFormat="false" ht="15" hidden="false" customHeight="false" outlineLevel="0" collapsed="false">
      <c r="A56" s="17" t="n">
        <v>45690</v>
      </c>
      <c r="B56" s="13" t="s">
        <v>27</v>
      </c>
      <c r="C56" s="13"/>
      <c r="D56" s="13" t="s">
        <v>100</v>
      </c>
      <c r="E56" s="15" t="n">
        <v>700750</v>
      </c>
      <c r="F56" s="15" t="n">
        <v>82570</v>
      </c>
      <c r="G56" s="15" t="n">
        <v>38940</v>
      </c>
      <c r="H56" s="15" t="n">
        <v>0</v>
      </c>
      <c r="I56" s="15" t="n">
        <v>63290</v>
      </c>
      <c r="J56" s="14" t="n">
        <f aca="false">SUM(E56:I56)</f>
        <v>885550</v>
      </c>
      <c r="K56" s="18"/>
      <c r="L56" s="15" t="n">
        <v>4300</v>
      </c>
      <c r="M56" s="13" t="s">
        <v>105</v>
      </c>
      <c r="N56" s="15" t="n">
        <v>420000</v>
      </c>
      <c r="O56" s="15"/>
      <c r="P56" s="14" t="str">
        <f aca="false">IF(O56="","",O56+E56-L56-N56)</f>
        <v/>
      </c>
      <c r="Q56" s="15"/>
      <c r="R56" s="14" t="str">
        <f aca="false">IF(OR(Q56="",P56=""),"",Q56-P56)</f>
        <v/>
      </c>
      <c r="S56" s="19" t="str">
        <f aca="false">IF(R56="","",IF(ABS(R56)&lt;=Léeme!$B$12,"Cuadra",IF(R56&lt;0,"Faltante","Sobrante")))</f>
        <v/>
      </c>
      <c r="T56" s="13" t="s">
        <v>101</v>
      </c>
    </row>
    <row r="57" customFormat="false" ht="15" hidden="false" customHeight="false" outlineLevel="0" collapsed="false">
      <c r="A57" s="17" t="n">
        <v>45690</v>
      </c>
      <c r="B57" s="13" t="s">
        <v>28</v>
      </c>
      <c r="C57" s="13"/>
      <c r="D57" s="13" t="s">
        <v>100</v>
      </c>
      <c r="E57" s="15" t="n">
        <v>492960</v>
      </c>
      <c r="F57" s="15" t="n">
        <v>63920</v>
      </c>
      <c r="G57" s="15" t="n">
        <v>29320</v>
      </c>
      <c r="H57" s="15" t="n">
        <v>0</v>
      </c>
      <c r="I57" s="15" t="n">
        <v>41300</v>
      </c>
      <c r="J57" s="14" t="n">
        <f aca="false">SUM(E57:I57)</f>
        <v>627500</v>
      </c>
      <c r="K57" s="18"/>
      <c r="L57" s="15" t="n">
        <v>0</v>
      </c>
      <c r="M57" s="13"/>
      <c r="N57" s="15" t="n">
        <v>374000</v>
      </c>
      <c r="O57" s="15"/>
      <c r="P57" s="14" t="str">
        <f aca="false">IF(O57="","",O57+E57-L57-N57)</f>
        <v/>
      </c>
      <c r="Q57" s="15"/>
      <c r="R57" s="14" t="str">
        <f aca="false">IF(OR(Q57="",P57=""),"",Q57-P57)</f>
        <v/>
      </c>
      <c r="S57" s="19" t="str">
        <f aca="false">IF(R57="","",IF(ABS(R57)&lt;=Léeme!$B$12,"Cuadra",IF(R57&lt;0,"Faltante","Sobrante")))</f>
        <v/>
      </c>
      <c r="T57" s="13" t="s">
        <v>101</v>
      </c>
    </row>
    <row r="58" customFormat="false" ht="15" hidden="false" customHeight="false" outlineLevel="0" collapsed="false">
      <c r="A58" s="17" t="n">
        <v>45692</v>
      </c>
      <c r="B58" s="13" t="s">
        <v>27</v>
      </c>
      <c r="C58" s="13"/>
      <c r="D58" s="13" t="s">
        <v>100</v>
      </c>
      <c r="E58" s="15" t="n">
        <v>285320</v>
      </c>
      <c r="F58" s="15" t="n">
        <v>42560</v>
      </c>
      <c r="G58" s="15" t="n">
        <v>17630</v>
      </c>
      <c r="H58" s="15" t="n">
        <v>0</v>
      </c>
      <c r="I58" s="15" t="n">
        <v>29210</v>
      </c>
      <c r="J58" s="14" t="n">
        <f aca="false">SUM(E58:I58)</f>
        <v>374720</v>
      </c>
      <c r="K58" s="18"/>
      <c r="L58" s="15" t="n">
        <v>0</v>
      </c>
      <c r="M58" s="13"/>
      <c r="N58" s="15" t="n">
        <v>0</v>
      </c>
      <c r="O58" s="15"/>
      <c r="P58" s="14" t="str">
        <f aca="false">IF(O58="","",O58+E58-L58-N58)</f>
        <v/>
      </c>
      <c r="Q58" s="15"/>
      <c r="R58" s="14" t="str">
        <f aca="false">IF(OR(Q58="",P58=""),"",Q58-P58)</f>
        <v/>
      </c>
      <c r="S58" s="19" t="str">
        <f aca="false">IF(R58="","",IF(ABS(R58)&lt;=Léeme!$B$12,"Cuadra",IF(R58&lt;0,"Faltante","Sobrante")))</f>
        <v/>
      </c>
      <c r="T58" s="13" t="s">
        <v>101</v>
      </c>
    </row>
    <row r="59" customFormat="false" ht="15" hidden="false" customHeight="false" outlineLevel="0" collapsed="false">
      <c r="A59" s="17" t="n">
        <v>45692</v>
      </c>
      <c r="B59" s="13" t="s">
        <v>28</v>
      </c>
      <c r="C59" s="13"/>
      <c r="D59" s="13" t="s">
        <v>100</v>
      </c>
      <c r="E59" s="15" t="n">
        <v>188950</v>
      </c>
      <c r="F59" s="15" t="n">
        <v>26120</v>
      </c>
      <c r="G59" s="15" t="n">
        <v>10900</v>
      </c>
      <c r="H59" s="15" t="n">
        <v>0</v>
      </c>
      <c r="I59" s="15" t="n">
        <v>16230</v>
      </c>
      <c r="J59" s="14" t="n">
        <f aca="false">SUM(E59:I59)</f>
        <v>242200</v>
      </c>
      <c r="K59" s="18"/>
      <c r="L59" s="15" t="n">
        <v>8270</v>
      </c>
      <c r="M59" s="13" t="s">
        <v>103</v>
      </c>
      <c r="N59" s="15" t="n">
        <v>0</v>
      </c>
      <c r="O59" s="15"/>
      <c r="P59" s="14" t="str">
        <f aca="false">IF(O59="","",O59+E59-L59-N59)</f>
        <v/>
      </c>
      <c r="Q59" s="15"/>
      <c r="R59" s="14" t="str">
        <f aca="false">IF(OR(Q59="",P59=""),"",Q59-P59)</f>
        <v/>
      </c>
      <c r="S59" s="19" t="str">
        <f aca="false">IF(R59="","",IF(ABS(R59)&lt;=Léeme!$B$12,"Cuadra",IF(R59&lt;0,"Faltante","Sobrante")))</f>
        <v/>
      </c>
      <c r="T59" s="13" t="s">
        <v>101</v>
      </c>
    </row>
    <row r="60" customFormat="false" ht="15" hidden="false" customHeight="false" outlineLevel="0" collapsed="false">
      <c r="A60" s="17" t="n">
        <v>45693</v>
      </c>
      <c r="B60" s="13" t="s">
        <v>27</v>
      </c>
      <c r="C60" s="13"/>
      <c r="D60" s="13" t="s">
        <v>100</v>
      </c>
      <c r="E60" s="15" t="n">
        <v>275270</v>
      </c>
      <c r="F60" s="15" t="n">
        <v>32810</v>
      </c>
      <c r="G60" s="15" t="n">
        <v>12730</v>
      </c>
      <c r="H60" s="15" t="n">
        <v>0</v>
      </c>
      <c r="I60" s="15" t="n">
        <v>24310</v>
      </c>
      <c r="J60" s="14" t="n">
        <f aca="false">SUM(E60:I60)</f>
        <v>345120</v>
      </c>
      <c r="K60" s="18"/>
      <c r="L60" s="15" t="n">
        <v>0</v>
      </c>
      <c r="M60" s="13"/>
      <c r="N60" s="15" t="n">
        <v>0</v>
      </c>
      <c r="O60" s="15"/>
      <c r="P60" s="14" t="str">
        <f aca="false">IF(O60="","",O60+E60-L60-N60)</f>
        <v/>
      </c>
      <c r="Q60" s="15"/>
      <c r="R60" s="14" t="str">
        <f aca="false">IF(OR(Q60="",P60=""),"",Q60-P60)</f>
        <v/>
      </c>
      <c r="S60" s="19" t="str">
        <f aca="false">IF(R60="","",IF(ABS(R60)&lt;=Léeme!$B$12,"Cuadra",IF(R60&lt;0,"Faltante","Sobrante")))</f>
        <v/>
      </c>
      <c r="T60" s="13" t="s">
        <v>101</v>
      </c>
    </row>
    <row r="61" customFormat="false" ht="15" hidden="false" customHeight="false" outlineLevel="0" collapsed="false">
      <c r="A61" s="17" t="n">
        <v>45693</v>
      </c>
      <c r="B61" s="13" t="s">
        <v>28</v>
      </c>
      <c r="C61" s="13"/>
      <c r="D61" s="13" t="s">
        <v>100</v>
      </c>
      <c r="E61" s="15" t="n">
        <v>207570</v>
      </c>
      <c r="F61" s="15" t="n">
        <v>28800</v>
      </c>
      <c r="G61" s="15" t="n">
        <v>12300</v>
      </c>
      <c r="H61" s="15" t="n">
        <v>0</v>
      </c>
      <c r="I61" s="15" t="n">
        <v>19150</v>
      </c>
      <c r="J61" s="14" t="n">
        <f aca="false">SUM(E61:I61)</f>
        <v>267820</v>
      </c>
      <c r="K61" s="18"/>
      <c r="L61" s="15" t="n">
        <v>0</v>
      </c>
      <c r="M61" s="13"/>
      <c r="N61" s="15" t="n">
        <v>0</v>
      </c>
      <c r="O61" s="15"/>
      <c r="P61" s="14" t="str">
        <f aca="false">IF(O61="","",O61+E61-L61-N61)</f>
        <v/>
      </c>
      <c r="Q61" s="15"/>
      <c r="R61" s="14" t="str">
        <f aca="false">IF(OR(Q61="",P61=""),"",Q61-P61)</f>
        <v/>
      </c>
      <c r="S61" s="19" t="str">
        <f aca="false">IF(R61="","",IF(ABS(R61)&lt;=Léeme!$B$12,"Cuadra",IF(R61&lt;0,"Faltante","Sobrante")))</f>
        <v/>
      </c>
      <c r="T61" s="13" t="s">
        <v>101</v>
      </c>
    </row>
    <row r="62" customFormat="false" ht="15" hidden="false" customHeight="false" outlineLevel="0" collapsed="false">
      <c r="A62" s="17" t="n">
        <v>45694</v>
      </c>
      <c r="B62" s="13" t="s">
        <v>27</v>
      </c>
      <c r="C62" s="13"/>
      <c r="D62" s="13" t="s">
        <v>100</v>
      </c>
      <c r="E62" s="15" t="n">
        <v>252140</v>
      </c>
      <c r="F62" s="15" t="n">
        <v>32930</v>
      </c>
      <c r="G62" s="15" t="n">
        <v>12210</v>
      </c>
      <c r="H62" s="15" t="n">
        <v>0</v>
      </c>
      <c r="I62" s="15" t="n">
        <v>21240</v>
      </c>
      <c r="J62" s="14" t="n">
        <f aca="false">SUM(E62:I62)</f>
        <v>318520</v>
      </c>
      <c r="K62" s="18"/>
      <c r="L62" s="15" t="n">
        <v>23930</v>
      </c>
      <c r="M62" s="13" t="s">
        <v>103</v>
      </c>
      <c r="N62" s="15" t="n">
        <v>184000</v>
      </c>
      <c r="O62" s="15"/>
      <c r="P62" s="14" t="str">
        <f aca="false">IF(O62="","",O62+E62-L62-N62)</f>
        <v/>
      </c>
      <c r="Q62" s="15"/>
      <c r="R62" s="14" t="str">
        <f aca="false">IF(OR(Q62="",P62=""),"",Q62-P62)</f>
        <v/>
      </c>
      <c r="S62" s="19" t="str">
        <f aca="false">IF(R62="","",IF(ABS(R62)&lt;=Léeme!$B$12,"Cuadra",IF(R62&lt;0,"Faltante","Sobrante")))</f>
        <v/>
      </c>
      <c r="T62" s="13" t="s">
        <v>101</v>
      </c>
    </row>
    <row r="63" customFormat="false" ht="15" hidden="false" customHeight="false" outlineLevel="0" collapsed="false">
      <c r="A63" s="17" t="n">
        <v>45694</v>
      </c>
      <c r="B63" s="13" t="s">
        <v>28</v>
      </c>
      <c r="C63" s="13"/>
      <c r="D63" s="13" t="s">
        <v>100</v>
      </c>
      <c r="E63" s="15" t="n">
        <v>208120</v>
      </c>
      <c r="F63" s="15" t="n">
        <v>27810</v>
      </c>
      <c r="G63" s="15" t="n">
        <v>12460</v>
      </c>
      <c r="H63" s="15" t="n">
        <v>0</v>
      </c>
      <c r="I63" s="15" t="n">
        <v>17290</v>
      </c>
      <c r="J63" s="14" t="n">
        <f aca="false">SUM(E63:I63)</f>
        <v>265680</v>
      </c>
      <c r="K63" s="18"/>
      <c r="L63" s="15" t="n">
        <v>0</v>
      </c>
      <c r="M63" s="13"/>
      <c r="N63" s="15" t="n">
        <v>0</v>
      </c>
      <c r="O63" s="15"/>
      <c r="P63" s="14" t="str">
        <f aca="false">IF(O63="","",O63+E63-L63-N63)</f>
        <v/>
      </c>
      <c r="Q63" s="15"/>
      <c r="R63" s="14" t="str">
        <f aca="false">IF(OR(Q63="",P63=""),"",Q63-P63)</f>
        <v/>
      </c>
      <c r="S63" s="19" t="str">
        <f aca="false">IF(R63="","",IF(ABS(R63)&lt;=Léeme!$B$12,"Cuadra",IF(R63&lt;0,"Faltante","Sobrante")))</f>
        <v/>
      </c>
      <c r="T63" s="13" t="s">
        <v>101</v>
      </c>
    </row>
    <row r="64" customFormat="false" ht="15" hidden="false" customHeight="false" outlineLevel="0" collapsed="false">
      <c r="A64" s="17" t="n">
        <v>45695</v>
      </c>
      <c r="B64" s="13" t="s">
        <v>27</v>
      </c>
      <c r="C64" s="13"/>
      <c r="D64" s="13" t="s">
        <v>100</v>
      </c>
      <c r="E64" s="15" t="n">
        <v>279930</v>
      </c>
      <c r="F64" s="15" t="n">
        <v>33630</v>
      </c>
      <c r="G64" s="15" t="n">
        <v>13740</v>
      </c>
      <c r="H64" s="15" t="n">
        <v>0</v>
      </c>
      <c r="I64" s="15" t="n">
        <v>23730</v>
      </c>
      <c r="J64" s="14" t="n">
        <f aca="false">SUM(E64:I64)</f>
        <v>351030</v>
      </c>
      <c r="K64" s="18"/>
      <c r="L64" s="15" t="n">
        <v>21460</v>
      </c>
      <c r="M64" s="13" t="s">
        <v>103</v>
      </c>
      <c r="N64" s="15" t="n">
        <v>215000</v>
      </c>
      <c r="O64" s="15"/>
      <c r="P64" s="14" t="str">
        <f aca="false">IF(O64="","",O64+E64-L64-N64)</f>
        <v/>
      </c>
      <c r="Q64" s="15"/>
      <c r="R64" s="14" t="str">
        <f aca="false">IF(OR(Q64="",P64=""),"",Q64-P64)</f>
        <v/>
      </c>
      <c r="S64" s="19" t="str">
        <f aca="false">IF(R64="","",IF(ABS(R64)&lt;=Léeme!$B$12,"Cuadra",IF(R64&lt;0,"Faltante","Sobrante")))</f>
        <v/>
      </c>
      <c r="T64" s="13" t="s">
        <v>101</v>
      </c>
    </row>
    <row r="65" customFormat="false" ht="15" hidden="false" customHeight="false" outlineLevel="0" collapsed="false">
      <c r="A65" s="17" t="n">
        <v>45695</v>
      </c>
      <c r="B65" s="13" t="s">
        <v>28</v>
      </c>
      <c r="C65" s="13"/>
      <c r="D65" s="13" t="s">
        <v>100</v>
      </c>
      <c r="E65" s="15" t="n">
        <v>220580</v>
      </c>
      <c r="F65" s="15" t="n">
        <v>28130</v>
      </c>
      <c r="G65" s="15" t="n">
        <v>11980</v>
      </c>
      <c r="H65" s="15" t="n">
        <v>0</v>
      </c>
      <c r="I65" s="15" t="n">
        <v>20400</v>
      </c>
      <c r="J65" s="14" t="n">
        <f aca="false">SUM(E65:I65)</f>
        <v>281090</v>
      </c>
      <c r="K65" s="18"/>
      <c r="L65" s="15" t="n">
        <v>22540</v>
      </c>
      <c r="M65" s="13" t="s">
        <v>103</v>
      </c>
      <c r="N65" s="15" t="n">
        <v>0</v>
      </c>
      <c r="O65" s="15"/>
      <c r="P65" s="14" t="str">
        <f aca="false">IF(O65="","",O65+E65-L65-N65)</f>
        <v/>
      </c>
      <c r="Q65" s="15"/>
      <c r="R65" s="14" t="str">
        <f aca="false">IF(OR(Q65="",P65=""),"",Q65-P65)</f>
        <v/>
      </c>
      <c r="S65" s="19" t="str">
        <f aca="false">IF(R65="","",IF(ABS(R65)&lt;=Léeme!$B$12,"Cuadra",IF(R65&lt;0,"Faltante","Sobrante")))</f>
        <v/>
      </c>
      <c r="T65" s="13" t="s">
        <v>101</v>
      </c>
    </row>
    <row r="66" customFormat="false" ht="15" hidden="false" customHeight="false" outlineLevel="0" collapsed="false">
      <c r="A66" s="17" t="n">
        <v>45696</v>
      </c>
      <c r="B66" s="13" t="s">
        <v>27</v>
      </c>
      <c r="C66" s="13"/>
      <c r="D66" s="13" t="s">
        <v>100</v>
      </c>
      <c r="E66" s="15" t="n">
        <v>406770</v>
      </c>
      <c r="F66" s="15" t="n">
        <v>54410</v>
      </c>
      <c r="G66" s="15" t="n">
        <v>20190</v>
      </c>
      <c r="H66" s="15" t="n">
        <v>0</v>
      </c>
      <c r="I66" s="15" t="n">
        <v>38160</v>
      </c>
      <c r="J66" s="14" t="n">
        <f aca="false">SUM(E66:I66)</f>
        <v>519530</v>
      </c>
      <c r="K66" s="18"/>
      <c r="L66" s="15" t="n">
        <v>8690</v>
      </c>
      <c r="M66" s="13" t="s">
        <v>104</v>
      </c>
      <c r="N66" s="15" t="n">
        <v>261000</v>
      </c>
      <c r="O66" s="15"/>
      <c r="P66" s="14" t="str">
        <f aca="false">IF(O66="","",O66+E66-L66-N66)</f>
        <v/>
      </c>
      <c r="Q66" s="15"/>
      <c r="R66" s="14" t="str">
        <f aca="false">IF(OR(Q66="",P66=""),"",Q66-P66)</f>
        <v/>
      </c>
      <c r="S66" s="19" t="str">
        <f aca="false">IF(R66="","",IF(ABS(R66)&lt;=Léeme!$B$12,"Cuadra",IF(R66&lt;0,"Faltante","Sobrante")))</f>
        <v/>
      </c>
      <c r="T66" s="13" t="s">
        <v>101</v>
      </c>
    </row>
    <row r="67" customFormat="false" ht="15" hidden="false" customHeight="false" outlineLevel="0" collapsed="false">
      <c r="A67" s="17" t="n">
        <v>45696</v>
      </c>
      <c r="B67" s="13" t="s">
        <v>28</v>
      </c>
      <c r="C67" s="13"/>
      <c r="D67" s="13" t="s">
        <v>100</v>
      </c>
      <c r="E67" s="15" t="n">
        <v>310900</v>
      </c>
      <c r="F67" s="15" t="n">
        <v>40560</v>
      </c>
      <c r="G67" s="15" t="n">
        <v>15860</v>
      </c>
      <c r="H67" s="15" t="n">
        <v>0</v>
      </c>
      <c r="I67" s="15" t="n">
        <v>24840</v>
      </c>
      <c r="J67" s="14" t="n">
        <f aca="false">SUM(E67:I67)</f>
        <v>392160</v>
      </c>
      <c r="K67" s="18"/>
      <c r="L67" s="15" t="n">
        <v>0</v>
      </c>
      <c r="M67" s="13"/>
      <c r="N67" s="15" t="n">
        <v>0</v>
      </c>
      <c r="O67" s="15"/>
      <c r="P67" s="14" t="str">
        <f aca="false">IF(O67="","",O67+E67-L67-N67)</f>
        <v/>
      </c>
      <c r="Q67" s="15"/>
      <c r="R67" s="14" t="str">
        <f aca="false">IF(OR(Q67="",P67=""),"",Q67-P67)</f>
        <v/>
      </c>
      <c r="S67" s="19" t="str">
        <f aca="false">IF(R67="","",IF(ABS(R67)&lt;=Léeme!$B$12,"Cuadra",IF(R67&lt;0,"Faltante","Sobrante")))</f>
        <v/>
      </c>
      <c r="T67" s="13" t="s">
        <v>101</v>
      </c>
    </row>
    <row r="68" customFormat="false" ht="15" hidden="false" customHeight="false" outlineLevel="0" collapsed="false">
      <c r="A68" s="17" t="n">
        <v>45697</v>
      </c>
      <c r="B68" s="13" t="s">
        <v>27</v>
      </c>
      <c r="C68" s="13"/>
      <c r="D68" s="13" t="s">
        <v>100</v>
      </c>
      <c r="E68" s="15" t="n">
        <v>698650</v>
      </c>
      <c r="F68" s="15" t="n">
        <v>105960</v>
      </c>
      <c r="G68" s="15" t="n">
        <v>43180</v>
      </c>
      <c r="H68" s="15" t="n">
        <v>0</v>
      </c>
      <c r="I68" s="15" t="n">
        <v>69860</v>
      </c>
      <c r="J68" s="14" t="n">
        <f aca="false">SUM(E68:I68)</f>
        <v>917650</v>
      </c>
      <c r="K68" s="18"/>
      <c r="L68" s="15" t="n">
        <v>0</v>
      </c>
      <c r="M68" s="13"/>
      <c r="N68" s="15" t="n">
        <v>365000</v>
      </c>
      <c r="O68" s="15"/>
      <c r="P68" s="14" t="str">
        <f aca="false">IF(O68="","",O68+E68-L68-N68)</f>
        <v/>
      </c>
      <c r="Q68" s="15"/>
      <c r="R68" s="14" t="str">
        <f aca="false">IF(OR(Q68="",P68=""),"",Q68-P68)</f>
        <v/>
      </c>
      <c r="S68" s="19" t="str">
        <f aca="false">IF(R68="","",IF(ABS(R68)&lt;=Léeme!$B$12,"Cuadra",IF(R68&lt;0,"Faltante","Sobrante")))</f>
        <v/>
      </c>
      <c r="T68" s="13" t="s">
        <v>101</v>
      </c>
    </row>
    <row r="69" customFormat="false" ht="15" hidden="false" customHeight="false" outlineLevel="0" collapsed="false">
      <c r="A69" s="17" t="n">
        <v>45697</v>
      </c>
      <c r="B69" s="13" t="s">
        <v>28</v>
      </c>
      <c r="C69" s="13"/>
      <c r="D69" s="13" t="s">
        <v>100</v>
      </c>
      <c r="E69" s="15" t="n">
        <v>544280</v>
      </c>
      <c r="F69" s="15" t="n">
        <v>68000</v>
      </c>
      <c r="G69" s="15" t="n">
        <v>30580</v>
      </c>
      <c r="H69" s="15" t="n">
        <v>0</v>
      </c>
      <c r="I69" s="15" t="n">
        <v>50070</v>
      </c>
      <c r="J69" s="14" t="n">
        <f aca="false">SUM(E69:I69)</f>
        <v>692930</v>
      </c>
      <c r="K69" s="18"/>
      <c r="L69" s="15" t="n">
        <v>0</v>
      </c>
      <c r="M69" s="13"/>
      <c r="N69" s="15" t="n">
        <v>313000</v>
      </c>
      <c r="O69" s="15"/>
      <c r="P69" s="14" t="str">
        <f aca="false">IF(O69="","",O69+E69-L69-N69)</f>
        <v/>
      </c>
      <c r="Q69" s="15"/>
      <c r="R69" s="14" t="str">
        <f aca="false">IF(OR(Q69="",P69=""),"",Q69-P69)</f>
        <v/>
      </c>
      <c r="S69" s="19" t="str">
        <f aca="false">IF(R69="","",IF(ABS(R69)&lt;=Léeme!$B$12,"Cuadra",IF(R69&lt;0,"Faltante","Sobrante")))</f>
        <v/>
      </c>
      <c r="T69" s="13" t="s">
        <v>101</v>
      </c>
    </row>
    <row r="70" customFormat="false" ht="15" hidden="false" customHeight="false" outlineLevel="0" collapsed="false">
      <c r="A70" s="17" t="n">
        <v>45699</v>
      </c>
      <c r="B70" s="13" t="s">
        <v>27</v>
      </c>
      <c r="C70" s="13"/>
      <c r="D70" s="13" t="s">
        <v>100</v>
      </c>
      <c r="E70" s="15" t="n">
        <v>274210</v>
      </c>
      <c r="F70" s="15" t="n">
        <v>32470</v>
      </c>
      <c r="G70" s="15" t="n">
        <v>13610</v>
      </c>
      <c r="H70" s="15" t="n">
        <v>0</v>
      </c>
      <c r="I70" s="15" t="n">
        <v>23420</v>
      </c>
      <c r="J70" s="14" t="n">
        <f aca="false">SUM(E70:I70)</f>
        <v>343710</v>
      </c>
      <c r="K70" s="18"/>
      <c r="L70" s="15" t="n">
        <v>0</v>
      </c>
      <c r="M70" s="13"/>
      <c r="N70" s="15" t="n">
        <v>0</v>
      </c>
      <c r="O70" s="15"/>
      <c r="P70" s="14" t="str">
        <f aca="false">IF(O70="","",O70+E70-L70-N70)</f>
        <v/>
      </c>
      <c r="Q70" s="15"/>
      <c r="R70" s="14" t="str">
        <f aca="false">IF(OR(Q70="",P70=""),"",Q70-P70)</f>
        <v/>
      </c>
      <c r="S70" s="19" t="str">
        <f aca="false">IF(R70="","",IF(ABS(R70)&lt;=Léeme!$B$12,"Cuadra",IF(R70&lt;0,"Faltante","Sobrante")))</f>
        <v/>
      </c>
      <c r="T70" s="13" t="s">
        <v>101</v>
      </c>
    </row>
    <row r="71" customFormat="false" ht="15" hidden="false" customHeight="false" outlineLevel="0" collapsed="false">
      <c r="A71" s="17" t="n">
        <v>45699</v>
      </c>
      <c r="B71" s="13" t="s">
        <v>28</v>
      </c>
      <c r="C71" s="13"/>
      <c r="D71" s="13" t="s">
        <v>100</v>
      </c>
      <c r="E71" s="15" t="n">
        <v>210730</v>
      </c>
      <c r="F71" s="15" t="n">
        <v>25700</v>
      </c>
      <c r="G71" s="15" t="n">
        <v>10400</v>
      </c>
      <c r="H71" s="15" t="n">
        <v>0</v>
      </c>
      <c r="I71" s="15" t="n">
        <v>18030</v>
      </c>
      <c r="J71" s="14" t="n">
        <f aca="false">SUM(E71:I71)</f>
        <v>264860</v>
      </c>
      <c r="K71" s="18"/>
      <c r="L71" s="15" t="n">
        <v>15620</v>
      </c>
      <c r="M71" s="13" t="s">
        <v>103</v>
      </c>
      <c r="N71" s="15" t="n">
        <v>0</v>
      </c>
      <c r="O71" s="15"/>
      <c r="P71" s="14" t="str">
        <f aca="false">IF(O71="","",O71+E71-L71-N71)</f>
        <v/>
      </c>
      <c r="Q71" s="15"/>
      <c r="R71" s="14" t="str">
        <f aca="false">IF(OR(Q71="",P71=""),"",Q71-P71)</f>
        <v/>
      </c>
      <c r="S71" s="19" t="str">
        <f aca="false">IF(R71="","",IF(ABS(R71)&lt;=Léeme!$B$12,"Cuadra",IF(R71&lt;0,"Faltante","Sobrante")))</f>
        <v/>
      </c>
      <c r="T71" s="13" t="s">
        <v>101</v>
      </c>
    </row>
    <row r="72" customFormat="false" ht="15" hidden="false" customHeight="false" outlineLevel="0" collapsed="false">
      <c r="A72" s="17" t="n">
        <v>45700</v>
      </c>
      <c r="B72" s="13" t="s">
        <v>27</v>
      </c>
      <c r="C72" s="13"/>
      <c r="D72" s="13" t="s">
        <v>100</v>
      </c>
      <c r="E72" s="15" t="n">
        <v>250340</v>
      </c>
      <c r="F72" s="15" t="n">
        <v>33980</v>
      </c>
      <c r="G72" s="15" t="n">
        <v>13670</v>
      </c>
      <c r="H72" s="15" t="n">
        <v>0</v>
      </c>
      <c r="I72" s="15" t="n">
        <v>22160</v>
      </c>
      <c r="J72" s="14" t="n">
        <f aca="false">SUM(E72:I72)</f>
        <v>320150</v>
      </c>
      <c r="K72" s="18"/>
      <c r="L72" s="15" t="n">
        <v>0</v>
      </c>
      <c r="M72" s="13"/>
      <c r="N72" s="15" t="n">
        <v>0</v>
      </c>
      <c r="O72" s="15"/>
      <c r="P72" s="14" t="str">
        <f aca="false">IF(O72="","",O72+E72-L72-N72)</f>
        <v/>
      </c>
      <c r="Q72" s="15"/>
      <c r="R72" s="14" t="str">
        <f aca="false">IF(OR(Q72="",P72=""),"",Q72-P72)</f>
        <v/>
      </c>
      <c r="S72" s="19" t="str">
        <f aca="false">IF(R72="","",IF(ABS(R72)&lt;=Léeme!$B$12,"Cuadra",IF(R72&lt;0,"Faltante","Sobrante")))</f>
        <v/>
      </c>
      <c r="T72" s="13" t="s">
        <v>101</v>
      </c>
    </row>
    <row r="73" customFormat="false" ht="15" hidden="false" customHeight="false" outlineLevel="0" collapsed="false">
      <c r="A73" s="17" t="n">
        <v>45700</v>
      </c>
      <c r="B73" s="13" t="s">
        <v>28</v>
      </c>
      <c r="C73" s="13"/>
      <c r="D73" s="13" t="s">
        <v>100</v>
      </c>
      <c r="E73" s="15" t="n">
        <v>188540</v>
      </c>
      <c r="F73" s="15" t="n">
        <v>24480</v>
      </c>
      <c r="G73" s="15" t="n">
        <v>9520</v>
      </c>
      <c r="H73" s="15" t="n">
        <v>0</v>
      </c>
      <c r="I73" s="15" t="n">
        <v>16100</v>
      </c>
      <c r="J73" s="14" t="n">
        <f aca="false">SUM(E73:I73)</f>
        <v>238640</v>
      </c>
      <c r="K73" s="18"/>
      <c r="L73" s="15" t="n">
        <v>0</v>
      </c>
      <c r="M73" s="13"/>
      <c r="N73" s="15" t="n">
        <v>0</v>
      </c>
      <c r="O73" s="15"/>
      <c r="P73" s="14" t="str">
        <f aca="false">IF(O73="","",O73+E73-L73-N73)</f>
        <v/>
      </c>
      <c r="Q73" s="15"/>
      <c r="R73" s="14" t="str">
        <f aca="false">IF(OR(Q73="",P73=""),"",Q73-P73)</f>
        <v/>
      </c>
      <c r="S73" s="19" t="str">
        <f aca="false">IF(R73="","",IF(ABS(R73)&lt;=Léeme!$B$12,"Cuadra",IF(R73&lt;0,"Faltante","Sobrante")))</f>
        <v/>
      </c>
      <c r="T73" s="13" t="s">
        <v>101</v>
      </c>
    </row>
    <row r="74" customFormat="false" ht="15" hidden="false" customHeight="false" outlineLevel="0" collapsed="false">
      <c r="A74" s="17" t="n">
        <v>45701</v>
      </c>
      <c r="B74" s="13" t="s">
        <v>27</v>
      </c>
      <c r="C74" s="13"/>
      <c r="D74" s="13" t="s">
        <v>100</v>
      </c>
      <c r="E74" s="15" t="n">
        <v>284300</v>
      </c>
      <c r="F74" s="15" t="n">
        <v>34100</v>
      </c>
      <c r="G74" s="15" t="n">
        <v>15940</v>
      </c>
      <c r="H74" s="15" t="n">
        <v>0</v>
      </c>
      <c r="I74" s="15" t="n">
        <v>25300</v>
      </c>
      <c r="J74" s="14" t="n">
        <f aca="false">SUM(E74:I74)</f>
        <v>359640</v>
      </c>
      <c r="K74" s="18"/>
      <c r="L74" s="15" t="n">
        <v>0</v>
      </c>
      <c r="M74" s="13"/>
      <c r="N74" s="15" t="n">
        <v>209000</v>
      </c>
      <c r="O74" s="15"/>
      <c r="P74" s="14" t="str">
        <f aca="false">IF(O74="","",O74+E74-L74-N74)</f>
        <v/>
      </c>
      <c r="Q74" s="15"/>
      <c r="R74" s="14" t="str">
        <f aca="false">IF(OR(Q74="",P74=""),"",Q74-P74)</f>
        <v/>
      </c>
      <c r="S74" s="19" t="str">
        <f aca="false">IF(R74="","",IF(ABS(R74)&lt;=Léeme!$B$12,"Cuadra",IF(R74&lt;0,"Faltante","Sobrante")))</f>
        <v/>
      </c>
      <c r="T74" s="13" t="s">
        <v>101</v>
      </c>
    </row>
    <row r="75" customFormat="false" ht="15" hidden="false" customHeight="false" outlineLevel="0" collapsed="false">
      <c r="A75" s="17" t="n">
        <v>45701</v>
      </c>
      <c r="B75" s="13" t="s">
        <v>28</v>
      </c>
      <c r="C75" s="13"/>
      <c r="D75" s="13" t="s">
        <v>100</v>
      </c>
      <c r="E75" s="15" t="n">
        <v>204640</v>
      </c>
      <c r="F75" s="15" t="n">
        <v>27610</v>
      </c>
      <c r="G75" s="15" t="n">
        <v>12200</v>
      </c>
      <c r="H75" s="15" t="n">
        <v>0</v>
      </c>
      <c r="I75" s="15" t="n">
        <v>18630</v>
      </c>
      <c r="J75" s="14" t="n">
        <f aca="false">SUM(E75:I75)</f>
        <v>263080</v>
      </c>
      <c r="K75" s="18"/>
      <c r="L75" s="15" t="n">
        <v>0</v>
      </c>
      <c r="M75" s="13"/>
      <c r="N75" s="15" t="n">
        <v>0</v>
      </c>
      <c r="O75" s="15"/>
      <c r="P75" s="14" t="str">
        <f aca="false">IF(O75="","",O75+E75-L75-N75)</f>
        <v/>
      </c>
      <c r="Q75" s="15"/>
      <c r="R75" s="14" t="str">
        <f aca="false">IF(OR(Q75="",P75=""),"",Q75-P75)</f>
        <v/>
      </c>
      <c r="S75" s="19" t="str">
        <f aca="false">IF(R75="","",IF(ABS(R75)&lt;=Léeme!$B$12,"Cuadra",IF(R75&lt;0,"Faltante","Sobrante")))</f>
        <v/>
      </c>
      <c r="T75" s="13" t="s">
        <v>101</v>
      </c>
    </row>
    <row r="76" customFormat="false" ht="15" hidden="false" customHeight="false" outlineLevel="0" collapsed="false">
      <c r="A76" s="17" t="n">
        <v>45702</v>
      </c>
      <c r="B76" s="13" t="s">
        <v>27</v>
      </c>
      <c r="C76" s="13"/>
      <c r="D76" s="13" t="s">
        <v>100</v>
      </c>
      <c r="E76" s="15" t="n">
        <v>289250</v>
      </c>
      <c r="F76" s="15" t="n">
        <v>43930</v>
      </c>
      <c r="G76" s="15" t="n">
        <v>17850</v>
      </c>
      <c r="H76" s="15" t="n">
        <v>0</v>
      </c>
      <c r="I76" s="15" t="n">
        <v>26100</v>
      </c>
      <c r="J76" s="14" t="n">
        <f aca="false">SUM(E76:I76)</f>
        <v>377130</v>
      </c>
      <c r="K76" s="18"/>
      <c r="L76" s="15" t="n">
        <v>0</v>
      </c>
      <c r="M76" s="13"/>
      <c r="N76" s="15" t="n">
        <v>200000</v>
      </c>
      <c r="O76" s="15"/>
      <c r="P76" s="14" t="str">
        <f aca="false">IF(O76="","",O76+E76-L76-N76)</f>
        <v/>
      </c>
      <c r="Q76" s="15"/>
      <c r="R76" s="14" t="str">
        <f aca="false">IF(OR(Q76="",P76=""),"",Q76-P76)</f>
        <v/>
      </c>
      <c r="S76" s="19" t="str">
        <f aca="false">IF(R76="","",IF(ABS(R76)&lt;=Léeme!$B$12,"Cuadra",IF(R76&lt;0,"Faltante","Sobrante")))</f>
        <v/>
      </c>
      <c r="T76" s="13" t="s">
        <v>101</v>
      </c>
    </row>
    <row r="77" customFormat="false" ht="15" hidden="false" customHeight="false" outlineLevel="0" collapsed="false">
      <c r="A77" s="17" t="n">
        <v>45702</v>
      </c>
      <c r="B77" s="13" t="s">
        <v>28</v>
      </c>
      <c r="C77" s="13"/>
      <c r="D77" s="13" t="s">
        <v>100</v>
      </c>
      <c r="E77" s="15" t="n">
        <v>209960</v>
      </c>
      <c r="F77" s="15" t="n">
        <v>30550</v>
      </c>
      <c r="G77" s="15" t="n">
        <v>12160</v>
      </c>
      <c r="H77" s="15" t="n">
        <v>0</v>
      </c>
      <c r="I77" s="15" t="n">
        <v>21050</v>
      </c>
      <c r="J77" s="14" t="n">
        <f aca="false">SUM(E77:I77)</f>
        <v>273720</v>
      </c>
      <c r="K77" s="18"/>
      <c r="L77" s="15" t="n">
        <v>8150</v>
      </c>
      <c r="M77" s="13" t="s">
        <v>104</v>
      </c>
      <c r="N77" s="15" t="n">
        <v>0</v>
      </c>
      <c r="O77" s="15"/>
      <c r="P77" s="14" t="str">
        <f aca="false">IF(O77="","",O77+E77-L77-N77)</f>
        <v/>
      </c>
      <c r="Q77" s="15"/>
      <c r="R77" s="14" t="str">
        <f aca="false">IF(OR(Q77="",P77=""),"",Q77-P77)</f>
        <v/>
      </c>
      <c r="S77" s="19" t="str">
        <f aca="false">IF(R77="","",IF(ABS(R77)&lt;=Léeme!$B$12,"Cuadra",IF(R77&lt;0,"Faltante","Sobrante")))</f>
        <v/>
      </c>
      <c r="T77" s="13" t="s">
        <v>101</v>
      </c>
    </row>
    <row r="78" customFormat="false" ht="15" hidden="false" customHeight="false" outlineLevel="0" collapsed="false">
      <c r="A78" s="17" t="n">
        <v>45703</v>
      </c>
      <c r="B78" s="13" t="s">
        <v>27</v>
      </c>
      <c r="C78" s="13"/>
      <c r="D78" s="13" t="s">
        <v>100</v>
      </c>
      <c r="E78" s="15" t="n">
        <v>423320</v>
      </c>
      <c r="F78" s="15" t="n">
        <v>52710</v>
      </c>
      <c r="G78" s="15" t="n">
        <v>21560</v>
      </c>
      <c r="H78" s="15" t="n">
        <v>0</v>
      </c>
      <c r="I78" s="15" t="n">
        <v>37840</v>
      </c>
      <c r="J78" s="14" t="n">
        <f aca="false">SUM(E78:I78)</f>
        <v>535430</v>
      </c>
      <c r="K78" s="18"/>
      <c r="L78" s="15" t="n">
        <v>0</v>
      </c>
      <c r="M78" s="13"/>
      <c r="N78" s="15" t="n">
        <v>229000</v>
      </c>
      <c r="O78" s="15"/>
      <c r="P78" s="14" t="str">
        <f aca="false">IF(O78="","",O78+E78-L78-N78)</f>
        <v/>
      </c>
      <c r="Q78" s="15"/>
      <c r="R78" s="14" t="str">
        <f aca="false">IF(OR(Q78="",P78=""),"",Q78-P78)</f>
        <v/>
      </c>
      <c r="S78" s="19" t="str">
        <f aca="false">IF(R78="","",IF(ABS(R78)&lt;=Léeme!$B$12,"Cuadra",IF(R78&lt;0,"Faltante","Sobrante")))</f>
        <v/>
      </c>
      <c r="T78" s="13" t="s">
        <v>101</v>
      </c>
    </row>
    <row r="79" customFormat="false" ht="15" hidden="false" customHeight="false" outlineLevel="0" collapsed="false">
      <c r="A79" s="17" t="n">
        <v>45703</v>
      </c>
      <c r="B79" s="13" t="s">
        <v>28</v>
      </c>
      <c r="C79" s="13"/>
      <c r="D79" s="13" t="s">
        <v>100</v>
      </c>
      <c r="E79" s="15" t="n">
        <v>302560</v>
      </c>
      <c r="F79" s="15" t="n">
        <v>36020</v>
      </c>
      <c r="G79" s="15" t="n">
        <v>14490</v>
      </c>
      <c r="H79" s="15" t="n">
        <v>0</v>
      </c>
      <c r="I79" s="15" t="n">
        <v>25140</v>
      </c>
      <c r="J79" s="14" t="n">
        <f aca="false">SUM(E79:I79)</f>
        <v>378210</v>
      </c>
      <c r="K79" s="18"/>
      <c r="L79" s="15" t="n">
        <v>4890</v>
      </c>
      <c r="M79" s="13" t="s">
        <v>104</v>
      </c>
      <c r="N79" s="15" t="n">
        <v>0</v>
      </c>
      <c r="O79" s="15"/>
      <c r="P79" s="14" t="str">
        <f aca="false">IF(O79="","",O79+E79-L79-N79)</f>
        <v/>
      </c>
      <c r="Q79" s="15"/>
      <c r="R79" s="14" t="str">
        <f aca="false">IF(OR(Q79="",P79=""),"",Q79-P79)</f>
        <v/>
      </c>
      <c r="S79" s="19" t="str">
        <f aca="false">IF(R79="","",IF(ABS(R79)&lt;=Léeme!$B$12,"Cuadra",IF(R79&lt;0,"Faltante","Sobrante")))</f>
        <v/>
      </c>
      <c r="T79" s="13" t="s">
        <v>101</v>
      </c>
    </row>
    <row r="80" customFormat="false" ht="15" hidden="false" customHeight="false" outlineLevel="0" collapsed="false">
      <c r="A80" s="17" t="n">
        <v>45704</v>
      </c>
      <c r="B80" s="13" t="s">
        <v>27</v>
      </c>
      <c r="C80" s="13"/>
      <c r="D80" s="13" t="s">
        <v>100</v>
      </c>
      <c r="E80" s="15" t="n">
        <v>631920</v>
      </c>
      <c r="F80" s="15" t="n">
        <v>91530</v>
      </c>
      <c r="G80" s="15" t="n">
        <v>36730</v>
      </c>
      <c r="H80" s="15" t="n">
        <v>0</v>
      </c>
      <c r="I80" s="15" t="n">
        <v>59830</v>
      </c>
      <c r="J80" s="14" t="n">
        <f aca="false">SUM(E80:I80)</f>
        <v>820010</v>
      </c>
      <c r="K80" s="18"/>
      <c r="L80" s="15" t="n">
        <v>7580</v>
      </c>
      <c r="M80" s="13" t="s">
        <v>102</v>
      </c>
      <c r="N80" s="15" t="n">
        <v>0</v>
      </c>
      <c r="O80" s="15"/>
      <c r="P80" s="14" t="str">
        <f aca="false">IF(O80="","",O80+E80-L80-N80)</f>
        <v/>
      </c>
      <c r="Q80" s="15"/>
      <c r="R80" s="14" t="str">
        <f aca="false">IF(OR(Q80="",P80=""),"",Q80-P80)</f>
        <v/>
      </c>
      <c r="S80" s="19" t="str">
        <f aca="false">IF(R80="","",IF(ABS(R80)&lt;=Léeme!$B$12,"Cuadra",IF(R80&lt;0,"Faltante","Sobrante")))</f>
        <v/>
      </c>
      <c r="T80" s="13" t="s">
        <v>101</v>
      </c>
    </row>
    <row r="81" customFormat="false" ht="15" hidden="false" customHeight="false" outlineLevel="0" collapsed="false">
      <c r="A81" s="17" t="n">
        <v>45704</v>
      </c>
      <c r="B81" s="13" t="s">
        <v>28</v>
      </c>
      <c r="C81" s="13"/>
      <c r="D81" s="13" t="s">
        <v>100</v>
      </c>
      <c r="E81" s="15" t="n">
        <v>509680</v>
      </c>
      <c r="F81" s="15" t="n">
        <v>77950</v>
      </c>
      <c r="G81" s="15" t="n">
        <v>33780</v>
      </c>
      <c r="H81" s="15" t="n">
        <v>0</v>
      </c>
      <c r="I81" s="15" t="n">
        <v>52210</v>
      </c>
      <c r="J81" s="14" t="n">
        <f aca="false">SUM(E81:I81)</f>
        <v>673620</v>
      </c>
      <c r="K81" s="18"/>
      <c r="L81" s="15" t="n">
        <v>6780</v>
      </c>
      <c r="M81" s="13" t="s">
        <v>102</v>
      </c>
      <c r="N81" s="15" t="n">
        <v>321000</v>
      </c>
      <c r="O81" s="15"/>
      <c r="P81" s="14" t="str">
        <f aca="false">IF(O81="","",O81+E81-L81-N81)</f>
        <v/>
      </c>
      <c r="Q81" s="15"/>
      <c r="R81" s="14" t="str">
        <f aca="false">IF(OR(Q81="",P81=""),"",Q81-P81)</f>
        <v/>
      </c>
      <c r="S81" s="19" t="str">
        <f aca="false">IF(R81="","",IF(ABS(R81)&lt;=Léeme!$B$12,"Cuadra",IF(R81&lt;0,"Faltante","Sobrante")))</f>
        <v/>
      </c>
      <c r="T81" s="13" t="s">
        <v>101</v>
      </c>
    </row>
    <row r="82" customFormat="false" ht="15" hidden="false" customHeight="false" outlineLevel="0" collapsed="false">
      <c r="A82" s="17" t="n">
        <v>45706</v>
      </c>
      <c r="B82" s="13" t="s">
        <v>27</v>
      </c>
      <c r="C82" s="13"/>
      <c r="D82" s="13" t="s">
        <v>100</v>
      </c>
      <c r="E82" s="15" t="n">
        <v>259270</v>
      </c>
      <c r="F82" s="15" t="n">
        <v>32870</v>
      </c>
      <c r="G82" s="15" t="n">
        <v>14430</v>
      </c>
      <c r="H82" s="15" t="n">
        <v>0</v>
      </c>
      <c r="I82" s="15" t="n">
        <v>22060</v>
      </c>
      <c r="J82" s="14" t="n">
        <f aca="false">SUM(E82:I82)</f>
        <v>328630</v>
      </c>
      <c r="K82" s="18"/>
      <c r="L82" s="15" t="n">
        <v>16880</v>
      </c>
      <c r="M82" s="13" t="s">
        <v>103</v>
      </c>
      <c r="N82" s="15" t="n">
        <v>0</v>
      </c>
      <c r="O82" s="15"/>
      <c r="P82" s="14" t="str">
        <f aca="false">IF(O82="","",O82+E82-L82-N82)</f>
        <v/>
      </c>
      <c r="Q82" s="15"/>
      <c r="R82" s="14" t="str">
        <f aca="false">IF(OR(Q82="",P82=""),"",Q82-P82)</f>
        <v/>
      </c>
      <c r="S82" s="19" t="str">
        <f aca="false">IF(R82="","",IF(ABS(R82)&lt;=Léeme!$B$12,"Cuadra",IF(R82&lt;0,"Faltante","Sobrante")))</f>
        <v/>
      </c>
      <c r="T82" s="13" t="s">
        <v>101</v>
      </c>
    </row>
    <row r="83" customFormat="false" ht="15" hidden="false" customHeight="false" outlineLevel="0" collapsed="false">
      <c r="A83" s="17" t="n">
        <v>45706</v>
      </c>
      <c r="B83" s="13" t="s">
        <v>28</v>
      </c>
      <c r="C83" s="13"/>
      <c r="D83" s="13" t="s">
        <v>100</v>
      </c>
      <c r="E83" s="15" t="n">
        <v>220540</v>
      </c>
      <c r="F83" s="15" t="n">
        <v>25770</v>
      </c>
      <c r="G83" s="15" t="n">
        <v>12090</v>
      </c>
      <c r="H83" s="15" t="n">
        <v>0</v>
      </c>
      <c r="I83" s="15" t="n">
        <v>18860</v>
      </c>
      <c r="J83" s="14" t="n">
        <f aca="false">SUM(E83:I83)</f>
        <v>277260</v>
      </c>
      <c r="K83" s="18"/>
      <c r="L83" s="15" t="n">
        <v>0</v>
      </c>
      <c r="M83" s="13"/>
      <c r="N83" s="15" t="n">
        <v>0</v>
      </c>
      <c r="O83" s="15"/>
      <c r="P83" s="14" t="str">
        <f aca="false">IF(O83="","",O83+E83-L83-N83)</f>
        <v/>
      </c>
      <c r="Q83" s="15"/>
      <c r="R83" s="14" t="str">
        <f aca="false">IF(OR(Q83="",P83=""),"",Q83-P83)</f>
        <v/>
      </c>
      <c r="S83" s="19" t="str">
        <f aca="false">IF(R83="","",IF(ABS(R83)&lt;=Léeme!$B$12,"Cuadra",IF(R83&lt;0,"Faltante","Sobrante")))</f>
        <v/>
      </c>
      <c r="T83" s="13" t="s">
        <v>101</v>
      </c>
    </row>
    <row r="84" customFormat="false" ht="15" hidden="false" customHeight="false" outlineLevel="0" collapsed="false">
      <c r="A84" s="17" t="n">
        <v>45707</v>
      </c>
      <c r="B84" s="13" t="s">
        <v>27</v>
      </c>
      <c r="C84" s="13"/>
      <c r="D84" s="13" t="s">
        <v>100</v>
      </c>
      <c r="E84" s="15" t="n">
        <v>285050</v>
      </c>
      <c r="F84" s="15" t="n">
        <v>38320</v>
      </c>
      <c r="G84" s="15" t="n">
        <v>15240</v>
      </c>
      <c r="H84" s="15" t="n">
        <v>0</v>
      </c>
      <c r="I84" s="15" t="n">
        <v>30620</v>
      </c>
      <c r="J84" s="14" t="n">
        <f aca="false">SUM(E84:I84)</f>
        <v>369230</v>
      </c>
      <c r="K84" s="18"/>
      <c r="L84" s="15" t="n">
        <v>0</v>
      </c>
      <c r="M84" s="13"/>
      <c r="N84" s="15" t="n">
        <v>0</v>
      </c>
      <c r="O84" s="15"/>
      <c r="P84" s="14" t="str">
        <f aca="false">IF(O84="","",O84+E84-L84-N84)</f>
        <v/>
      </c>
      <c r="Q84" s="15"/>
      <c r="R84" s="14" t="str">
        <f aca="false">IF(OR(Q84="",P84=""),"",Q84-P84)</f>
        <v/>
      </c>
      <c r="S84" s="19" t="str">
        <f aca="false">IF(R84="","",IF(ABS(R84)&lt;=Léeme!$B$12,"Cuadra",IF(R84&lt;0,"Faltante","Sobrante")))</f>
        <v/>
      </c>
      <c r="T84" s="13" t="s">
        <v>101</v>
      </c>
    </row>
    <row r="85" customFormat="false" ht="15" hidden="false" customHeight="false" outlineLevel="0" collapsed="false">
      <c r="A85" s="17" t="n">
        <v>45707</v>
      </c>
      <c r="B85" s="13" t="s">
        <v>28</v>
      </c>
      <c r="C85" s="13"/>
      <c r="D85" s="13" t="s">
        <v>100</v>
      </c>
      <c r="E85" s="15" t="n">
        <v>185560</v>
      </c>
      <c r="F85" s="15" t="n">
        <v>28360</v>
      </c>
      <c r="G85" s="15" t="n">
        <v>11690</v>
      </c>
      <c r="H85" s="15" t="n">
        <v>0</v>
      </c>
      <c r="I85" s="15" t="n">
        <v>17490</v>
      </c>
      <c r="J85" s="14" t="n">
        <f aca="false">SUM(E85:I85)</f>
        <v>243100</v>
      </c>
      <c r="K85" s="18"/>
      <c r="L85" s="15" t="n">
        <v>16430</v>
      </c>
      <c r="M85" s="13" t="s">
        <v>103</v>
      </c>
      <c r="N85" s="15" t="n">
        <v>0</v>
      </c>
      <c r="O85" s="15"/>
      <c r="P85" s="14" t="str">
        <f aca="false">IF(O85="","",O85+E85-L85-N85)</f>
        <v/>
      </c>
      <c r="Q85" s="15"/>
      <c r="R85" s="14" t="str">
        <f aca="false">IF(OR(Q85="",P85=""),"",Q85-P85)</f>
        <v/>
      </c>
      <c r="S85" s="19" t="str">
        <f aca="false">IF(R85="","",IF(ABS(R85)&lt;=Léeme!$B$12,"Cuadra",IF(R85&lt;0,"Faltante","Sobrante")))</f>
        <v/>
      </c>
      <c r="T85" s="13" t="s">
        <v>101</v>
      </c>
    </row>
    <row r="86" customFormat="false" ht="15" hidden="false" customHeight="false" outlineLevel="0" collapsed="false">
      <c r="A86" s="17" t="n">
        <v>45708</v>
      </c>
      <c r="B86" s="13" t="s">
        <v>27</v>
      </c>
      <c r="C86" s="13"/>
      <c r="D86" s="13" t="s">
        <v>100</v>
      </c>
      <c r="E86" s="15" t="n">
        <v>261710</v>
      </c>
      <c r="F86" s="15" t="n">
        <v>41150</v>
      </c>
      <c r="G86" s="15" t="n">
        <v>17200</v>
      </c>
      <c r="H86" s="15" t="n">
        <v>0</v>
      </c>
      <c r="I86" s="15" t="n">
        <v>27170</v>
      </c>
      <c r="J86" s="14" t="n">
        <f aca="false">SUM(E86:I86)</f>
        <v>347230</v>
      </c>
      <c r="K86" s="18"/>
      <c r="L86" s="15" t="n">
        <v>0</v>
      </c>
      <c r="M86" s="13"/>
      <c r="N86" s="15" t="n">
        <v>0</v>
      </c>
      <c r="O86" s="15"/>
      <c r="P86" s="14" t="str">
        <f aca="false">IF(O86="","",O86+E86-L86-N86)</f>
        <v/>
      </c>
      <c r="Q86" s="15"/>
      <c r="R86" s="14" t="str">
        <f aca="false">IF(OR(Q86="",P86=""),"",Q86-P86)</f>
        <v/>
      </c>
      <c r="S86" s="19" t="str">
        <f aca="false">IF(R86="","",IF(ABS(R86)&lt;=Léeme!$B$12,"Cuadra",IF(R86&lt;0,"Faltante","Sobrante")))</f>
        <v/>
      </c>
      <c r="T86" s="13" t="s">
        <v>101</v>
      </c>
    </row>
    <row r="87" customFormat="false" ht="15" hidden="false" customHeight="false" outlineLevel="0" collapsed="false">
      <c r="A87" s="17" t="n">
        <v>45708</v>
      </c>
      <c r="B87" s="13" t="s">
        <v>28</v>
      </c>
      <c r="C87" s="13"/>
      <c r="D87" s="13" t="s">
        <v>100</v>
      </c>
      <c r="E87" s="15" t="n">
        <v>192450</v>
      </c>
      <c r="F87" s="15" t="n">
        <v>25290</v>
      </c>
      <c r="G87" s="15" t="n">
        <v>10940</v>
      </c>
      <c r="H87" s="15" t="n">
        <v>0</v>
      </c>
      <c r="I87" s="15" t="n">
        <v>18100</v>
      </c>
      <c r="J87" s="14" t="n">
        <f aca="false">SUM(E87:I87)</f>
        <v>246780</v>
      </c>
      <c r="K87" s="18"/>
      <c r="L87" s="15" t="n">
        <v>0</v>
      </c>
      <c r="M87" s="13"/>
      <c r="N87" s="15" t="n">
        <v>0</v>
      </c>
      <c r="O87" s="15"/>
      <c r="P87" s="14" t="str">
        <f aca="false">IF(O87="","",O87+E87-L87-N87)</f>
        <v/>
      </c>
      <c r="Q87" s="15"/>
      <c r="R87" s="14" t="str">
        <f aca="false">IF(OR(Q87="",P87=""),"",Q87-P87)</f>
        <v/>
      </c>
      <c r="S87" s="19" t="str">
        <f aca="false">IF(R87="","",IF(ABS(R87)&lt;=Léeme!$B$12,"Cuadra",IF(R87&lt;0,"Faltante","Sobrante")))</f>
        <v/>
      </c>
      <c r="T87" s="13" t="s">
        <v>101</v>
      </c>
    </row>
    <row r="88" customFormat="false" ht="15" hidden="false" customHeight="false" outlineLevel="0" collapsed="false">
      <c r="A88" s="17" t="n">
        <v>45709</v>
      </c>
      <c r="B88" s="13" t="s">
        <v>27</v>
      </c>
      <c r="C88" s="13"/>
      <c r="D88" s="13" t="s">
        <v>100</v>
      </c>
      <c r="E88" s="15" t="n">
        <v>233050</v>
      </c>
      <c r="F88" s="15" t="n">
        <v>32250</v>
      </c>
      <c r="G88" s="15" t="n">
        <v>13700</v>
      </c>
      <c r="H88" s="15" t="n">
        <v>0</v>
      </c>
      <c r="I88" s="15" t="n">
        <v>24490</v>
      </c>
      <c r="J88" s="14" t="n">
        <f aca="false">SUM(E88:I88)</f>
        <v>303490</v>
      </c>
      <c r="K88" s="18"/>
      <c r="L88" s="15" t="n">
        <v>19830</v>
      </c>
      <c r="M88" s="13" t="s">
        <v>103</v>
      </c>
      <c r="N88" s="15" t="n">
        <v>141000</v>
      </c>
      <c r="O88" s="15"/>
      <c r="P88" s="14" t="str">
        <f aca="false">IF(O88="","",O88+E88-L88-N88)</f>
        <v/>
      </c>
      <c r="Q88" s="15"/>
      <c r="R88" s="14" t="str">
        <f aca="false">IF(OR(Q88="",P88=""),"",Q88-P88)</f>
        <v/>
      </c>
      <c r="S88" s="19" t="str">
        <f aca="false">IF(R88="","",IF(ABS(R88)&lt;=Léeme!$B$12,"Cuadra",IF(R88&lt;0,"Faltante","Sobrante")))</f>
        <v/>
      </c>
      <c r="T88" s="13" t="s">
        <v>101</v>
      </c>
    </row>
    <row r="89" customFormat="false" ht="15" hidden="false" customHeight="false" outlineLevel="0" collapsed="false">
      <c r="A89" s="17" t="n">
        <v>45709</v>
      </c>
      <c r="B89" s="13" t="s">
        <v>28</v>
      </c>
      <c r="C89" s="13"/>
      <c r="D89" s="13" t="s">
        <v>100</v>
      </c>
      <c r="E89" s="15" t="n">
        <v>223700</v>
      </c>
      <c r="F89" s="15" t="n">
        <v>31130</v>
      </c>
      <c r="G89" s="15" t="n">
        <v>12860</v>
      </c>
      <c r="H89" s="15" t="n">
        <v>0</v>
      </c>
      <c r="I89" s="15" t="n">
        <v>24170</v>
      </c>
      <c r="J89" s="14" t="n">
        <f aca="false">SUM(E89:I89)</f>
        <v>291860</v>
      </c>
      <c r="K89" s="18"/>
      <c r="L89" s="15" t="n">
        <v>10120</v>
      </c>
      <c r="M89" s="13" t="s">
        <v>103</v>
      </c>
      <c r="N89" s="15" t="n">
        <v>169000</v>
      </c>
      <c r="O89" s="15"/>
      <c r="P89" s="14" t="str">
        <f aca="false">IF(O89="","",O89+E89-L89-N89)</f>
        <v/>
      </c>
      <c r="Q89" s="15"/>
      <c r="R89" s="14" t="str">
        <f aca="false">IF(OR(Q89="",P89=""),"",Q89-P89)</f>
        <v/>
      </c>
      <c r="S89" s="19" t="str">
        <f aca="false">IF(R89="","",IF(ABS(R89)&lt;=Léeme!$B$12,"Cuadra",IF(R89&lt;0,"Faltante","Sobrante")))</f>
        <v/>
      </c>
      <c r="T89" s="13" t="s">
        <v>101</v>
      </c>
    </row>
    <row r="90" customFormat="false" ht="15" hidden="false" customHeight="false" outlineLevel="0" collapsed="false">
      <c r="A90" s="17" t="n">
        <v>45710</v>
      </c>
      <c r="B90" s="13" t="s">
        <v>27</v>
      </c>
      <c r="C90" s="13"/>
      <c r="D90" s="13" t="s">
        <v>100</v>
      </c>
      <c r="E90" s="15" t="n">
        <v>448380</v>
      </c>
      <c r="F90" s="15" t="n">
        <v>67450</v>
      </c>
      <c r="G90" s="15" t="n">
        <v>23340</v>
      </c>
      <c r="H90" s="15" t="n">
        <v>0</v>
      </c>
      <c r="I90" s="15" t="n">
        <v>46980</v>
      </c>
      <c r="J90" s="14" t="n">
        <f aca="false">SUM(E90:I90)</f>
        <v>586150</v>
      </c>
      <c r="K90" s="18"/>
      <c r="L90" s="15" t="n">
        <v>0</v>
      </c>
      <c r="M90" s="13"/>
      <c r="N90" s="15" t="n">
        <v>343000</v>
      </c>
      <c r="O90" s="15"/>
      <c r="P90" s="14" t="str">
        <f aca="false">IF(O90="","",O90+E90-L90-N90)</f>
        <v/>
      </c>
      <c r="Q90" s="15"/>
      <c r="R90" s="14" t="str">
        <f aca="false">IF(OR(Q90="",P90=""),"",Q90-P90)</f>
        <v/>
      </c>
      <c r="S90" s="19" t="str">
        <f aca="false">IF(R90="","",IF(ABS(R90)&lt;=Léeme!$B$12,"Cuadra",IF(R90&lt;0,"Faltante","Sobrante")))</f>
        <v/>
      </c>
      <c r="T90" s="13" t="s">
        <v>101</v>
      </c>
    </row>
    <row r="91" customFormat="false" ht="15" hidden="false" customHeight="false" outlineLevel="0" collapsed="false">
      <c r="A91" s="17" t="n">
        <v>45710</v>
      </c>
      <c r="B91" s="13" t="s">
        <v>28</v>
      </c>
      <c r="C91" s="13"/>
      <c r="D91" s="13" t="s">
        <v>100</v>
      </c>
      <c r="E91" s="15" t="n">
        <v>355690</v>
      </c>
      <c r="F91" s="15" t="n">
        <v>51170</v>
      </c>
      <c r="G91" s="15" t="n">
        <v>19150</v>
      </c>
      <c r="H91" s="15" t="n">
        <v>0</v>
      </c>
      <c r="I91" s="15" t="n">
        <v>33530</v>
      </c>
      <c r="J91" s="14" t="n">
        <f aca="false">SUM(E91:I91)</f>
        <v>459540</v>
      </c>
      <c r="K91" s="18"/>
      <c r="L91" s="15" t="n">
        <v>0</v>
      </c>
      <c r="M91" s="13"/>
      <c r="N91" s="15" t="n">
        <v>0</v>
      </c>
      <c r="O91" s="15"/>
      <c r="P91" s="14" t="str">
        <f aca="false">IF(O91="","",O91+E91-L91-N91)</f>
        <v/>
      </c>
      <c r="Q91" s="15"/>
      <c r="R91" s="14" t="str">
        <f aca="false">IF(OR(Q91="",P91=""),"",Q91-P91)</f>
        <v/>
      </c>
      <c r="S91" s="19" t="str">
        <f aca="false">IF(R91="","",IF(ABS(R91)&lt;=Léeme!$B$12,"Cuadra",IF(R91&lt;0,"Faltante","Sobrante")))</f>
        <v/>
      </c>
      <c r="T91" s="13" t="s">
        <v>101</v>
      </c>
    </row>
    <row r="92" customFormat="false" ht="15" hidden="false" customHeight="false" outlineLevel="0" collapsed="false">
      <c r="A92" s="17" t="n">
        <v>45711</v>
      </c>
      <c r="B92" s="13" t="s">
        <v>27</v>
      </c>
      <c r="C92" s="13"/>
      <c r="D92" s="13" t="s">
        <v>100</v>
      </c>
      <c r="E92" s="15" t="n">
        <v>678190</v>
      </c>
      <c r="F92" s="15" t="n">
        <v>99700</v>
      </c>
      <c r="G92" s="15" t="n">
        <v>45290</v>
      </c>
      <c r="H92" s="15" t="n">
        <v>0</v>
      </c>
      <c r="I92" s="15" t="n">
        <v>73550</v>
      </c>
      <c r="J92" s="14" t="n">
        <f aca="false">SUM(E92:I92)</f>
        <v>896730</v>
      </c>
      <c r="K92" s="18"/>
      <c r="L92" s="15" t="n">
        <v>4850</v>
      </c>
      <c r="M92" s="13" t="s">
        <v>105</v>
      </c>
      <c r="N92" s="15" t="n">
        <v>573000</v>
      </c>
      <c r="O92" s="15"/>
      <c r="P92" s="14" t="str">
        <f aca="false">IF(O92="","",O92+E92-L92-N92)</f>
        <v/>
      </c>
      <c r="Q92" s="15"/>
      <c r="R92" s="14" t="str">
        <f aca="false">IF(OR(Q92="",P92=""),"",Q92-P92)</f>
        <v/>
      </c>
      <c r="S92" s="19" t="str">
        <f aca="false">IF(R92="","",IF(ABS(R92)&lt;=Léeme!$B$12,"Cuadra",IF(R92&lt;0,"Faltante","Sobrante")))</f>
        <v/>
      </c>
      <c r="T92" s="13" t="s">
        <v>101</v>
      </c>
    </row>
    <row r="93" customFormat="false" ht="15" hidden="false" customHeight="false" outlineLevel="0" collapsed="false">
      <c r="A93" s="17" t="n">
        <v>45711</v>
      </c>
      <c r="B93" s="13" t="s">
        <v>28</v>
      </c>
      <c r="C93" s="13"/>
      <c r="D93" s="13" t="s">
        <v>100</v>
      </c>
      <c r="E93" s="15" t="n">
        <v>520190</v>
      </c>
      <c r="F93" s="15" t="n">
        <v>73780</v>
      </c>
      <c r="G93" s="15" t="n">
        <v>29080</v>
      </c>
      <c r="H93" s="15" t="n">
        <v>0</v>
      </c>
      <c r="I93" s="15" t="n">
        <v>53080</v>
      </c>
      <c r="J93" s="14" t="n">
        <f aca="false">SUM(E93:I93)</f>
        <v>676130</v>
      </c>
      <c r="K93" s="18"/>
      <c r="L93" s="15" t="n">
        <v>0</v>
      </c>
      <c r="M93" s="13"/>
      <c r="N93" s="15" t="n">
        <v>0</v>
      </c>
      <c r="O93" s="15"/>
      <c r="P93" s="14" t="str">
        <f aca="false">IF(O93="","",O93+E93-L93-N93)</f>
        <v/>
      </c>
      <c r="Q93" s="15"/>
      <c r="R93" s="14" t="str">
        <f aca="false">IF(OR(Q93="",P93=""),"",Q93-P93)</f>
        <v/>
      </c>
      <c r="S93" s="19" t="str">
        <f aca="false">IF(R93="","",IF(ABS(R93)&lt;=Léeme!$B$12,"Cuadra",IF(R93&lt;0,"Faltante","Sobrante")))</f>
        <v/>
      </c>
      <c r="T93" s="13" t="s">
        <v>101</v>
      </c>
    </row>
    <row r="94" customFormat="false" ht="15" hidden="false" customHeight="false" outlineLevel="0" collapsed="false">
      <c r="A94" s="17" t="n">
        <v>45713</v>
      </c>
      <c r="B94" s="13" t="s">
        <v>27</v>
      </c>
      <c r="C94" s="13"/>
      <c r="D94" s="13" t="s">
        <v>100</v>
      </c>
      <c r="E94" s="15" t="n">
        <v>257450</v>
      </c>
      <c r="F94" s="15" t="n">
        <v>35530</v>
      </c>
      <c r="G94" s="15" t="n">
        <v>14670</v>
      </c>
      <c r="H94" s="15" t="n">
        <v>0</v>
      </c>
      <c r="I94" s="15" t="n">
        <v>27380</v>
      </c>
      <c r="J94" s="14" t="n">
        <f aca="false">SUM(E94:I94)</f>
        <v>335030</v>
      </c>
      <c r="K94" s="18"/>
      <c r="L94" s="15" t="n">
        <v>0</v>
      </c>
      <c r="M94" s="13"/>
      <c r="N94" s="15" t="n">
        <v>157000</v>
      </c>
      <c r="O94" s="15"/>
      <c r="P94" s="14" t="str">
        <f aca="false">IF(O94="","",O94+E94-L94-N94)</f>
        <v/>
      </c>
      <c r="Q94" s="15"/>
      <c r="R94" s="14" t="str">
        <f aca="false">IF(OR(Q94="",P94=""),"",Q94-P94)</f>
        <v/>
      </c>
      <c r="S94" s="19" t="str">
        <f aca="false">IF(R94="","",IF(ABS(R94)&lt;=Léeme!$B$12,"Cuadra",IF(R94&lt;0,"Faltante","Sobrante")))</f>
        <v/>
      </c>
      <c r="T94" s="13" t="s">
        <v>101</v>
      </c>
    </row>
    <row r="95" customFormat="false" ht="15" hidden="false" customHeight="false" outlineLevel="0" collapsed="false">
      <c r="A95" s="17" t="n">
        <v>45713</v>
      </c>
      <c r="B95" s="13" t="s">
        <v>28</v>
      </c>
      <c r="C95" s="13"/>
      <c r="D95" s="13" t="s">
        <v>100</v>
      </c>
      <c r="E95" s="15" t="n">
        <v>209190</v>
      </c>
      <c r="F95" s="15" t="n">
        <v>30280</v>
      </c>
      <c r="G95" s="15" t="n">
        <v>11810</v>
      </c>
      <c r="H95" s="15" t="n">
        <v>0</v>
      </c>
      <c r="I95" s="15" t="n">
        <v>20560</v>
      </c>
      <c r="J95" s="14" t="n">
        <f aca="false">SUM(E95:I95)</f>
        <v>271840</v>
      </c>
      <c r="K95" s="18"/>
      <c r="L95" s="15" t="n">
        <v>18200</v>
      </c>
      <c r="M95" s="13" t="s">
        <v>103</v>
      </c>
      <c r="N95" s="15" t="n">
        <v>0</v>
      </c>
      <c r="O95" s="15"/>
      <c r="P95" s="14" t="str">
        <f aca="false">IF(O95="","",O95+E95-L95-N95)</f>
        <v/>
      </c>
      <c r="Q95" s="15"/>
      <c r="R95" s="14" t="str">
        <f aca="false">IF(OR(Q95="",P95=""),"",Q95-P95)</f>
        <v/>
      </c>
      <c r="S95" s="19" t="str">
        <f aca="false">IF(R95="","",IF(ABS(R95)&lt;=Léeme!$B$12,"Cuadra",IF(R95&lt;0,"Faltante","Sobrante")))</f>
        <v/>
      </c>
      <c r="T95" s="13" t="s">
        <v>101</v>
      </c>
    </row>
    <row r="96" customFormat="false" ht="15" hidden="false" customHeight="false" outlineLevel="0" collapsed="false">
      <c r="A96" s="17" t="n">
        <v>45714</v>
      </c>
      <c r="B96" s="13" t="s">
        <v>27</v>
      </c>
      <c r="C96" s="13"/>
      <c r="D96" s="13" t="s">
        <v>100</v>
      </c>
      <c r="E96" s="15" t="n">
        <v>285740</v>
      </c>
      <c r="F96" s="15" t="n">
        <v>42570</v>
      </c>
      <c r="G96" s="15" t="n">
        <v>17980</v>
      </c>
      <c r="H96" s="15" t="n">
        <v>0</v>
      </c>
      <c r="I96" s="15" t="n">
        <v>29450</v>
      </c>
      <c r="J96" s="14" t="n">
        <f aca="false">SUM(E96:I96)</f>
        <v>375740</v>
      </c>
      <c r="K96" s="18"/>
      <c r="L96" s="15" t="n">
        <v>12540</v>
      </c>
      <c r="M96" s="13" t="s">
        <v>102</v>
      </c>
      <c r="N96" s="15" t="n">
        <v>0</v>
      </c>
      <c r="O96" s="15"/>
      <c r="P96" s="14" t="str">
        <f aca="false">IF(O96="","",O96+E96-L96-N96)</f>
        <v/>
      </c>
      <c r="Q96" s="15"/>
      <c r="R96" s="14" t="str">
        <f aca="false">IF(OR(Q96="",P96=""),"",Q96-P96)</f>
        <v/>
      </c>
      <c r="S96" s="19" t="str">
        <f aca="false">IF(R96="","",IF(ABS(R96)&lt;=Léeme!$B$12,"Cuadra",IF(R96&lt;0,"Faltante","Sobrante")))</f>
        <v/>
      </c>
      <c r="T96" s="13" t="s">
        <v>101</v>
      </c>
    </row>
    <row r="97" customFormat="false" ht="15" hidden="false" customHeight="false" outlineLevel="0" collapsed="false">
      <c r="A97" s="17" t="n">
        <v>45714</v>
      </c>
      <c r="B97" s="13" t="s">
        <v>28</v>
      </c>
      <c r="C97" s="13"/>
      <c r="D97" s="13" t="s">
        <v>100</v>
      </c>
      <c r="E97" s="15" t="n">
        <v>183430</v>
      </c>
      <c r="F97" s="15" t="n">
        <v>25710</v>
      </c>
      <c r="G97" s="15" t="n">
        <v>9760</v>
      </c>
      <c r="H97" s="15" t="n">
        <v>0</v>
      </c>
      <c r="I97" s="15" t="n">
        <v>16880</v>
      </c>
      <c r="J97" s="14" t="n">
        <f aca="false">SUM(E97:I97)</f>
        <v>235780</v>
      </c>
      <c r="K97" s="18"/>
      <c r="L97" s="15" t="n">
        <v>0</v>
      </c>
      <c r="M97" s="13"/>
      <c r="N97" s="15" t="n">
        <v>0</v>
      </c>
      <c r="O97" s="15"/>
      <c r="P97" s="14" t="str">
        <f aca="false">IF(O97="","",O97+E97-L97-N97)</f>
        <v/>
      </c>
      <c r="Q97" s="15"/>
      <c r="R97" s="14" t="str">
        <f aca="false">IF(OR(Q97="",P97=""),"",Q97-P97)</f>
        <v/>
      </c>
      <c r="S97" s="19" t="str">
        <f aca="false">IF(R97="","",IF(ABS(R97)&lt;=Léeme!$B$12,"Cuadra",IF(R97&lt;0,"Faltante","Sobrante")))</f>
        <v/>
      </c>
      <c r="T97" s="13" t="s">
        <v>101</v>
      </c>
    </row>
    <row r="98" customFormat="false" ht="15" hidden="false" customHeight="false" outlineLevel="0" collapsed="false">
      <c r="A98" s="17" t="n">
        <v>45715</v>
      </c>
      <c r="B98" s="13" t="s">
        <v>27</v>
      </c>
      <c r="C98" s="13"/>
      <c r="D98" s="13" t="s">
        <v>100</v>
      </c>
      <c r="E98" s="15" t="n">
        <v>242150</v>
      </c>
      <c r="F98" s="15" t="n">
        <v>28650</v>
      </c>
      <c r="G98" s="15" t="n">
        <v>13180</v>
      </c>
      <c r="H98" s="15" t="n">
        <v>0</v>
      </c>
      <c r="I98" s="15" t="n">
        <v>21460</v>
      </c>
      <c r="J98" s="14" t="n">
        <f aca="false">SUM(E98:I98)</f>
        <v>305440</v>
      </c>
      <c r="K98" s="18"/>
      <c r="L98" s="15" t="n">
        <v>19260</v>
      </c>
      <c r="M98" s="13" t="s">
        <v>103</v>
      </c>
      <c r="N98" s="15" t="n">
        <v>0</v>
      </c>
      <c r="O98" s="15"/>
      <c r="P98" s="14" t="str">
        <f aca="false">IF(O98="","",O98+E98-L98-N98)</f>
        <v/>
      </c>
      <c r="Q98" s="15"/>
      <c r="R98" s="14" t="str">
        <f aca="false">IF(OR(Q98="",P98=""),"",Q98-P98)</f>
        <v/>
      </c>
      <c r="S98" s="19" t="str">
        <f aca="false">IF(R98="","",IF(ABS(R98)&lt;=Léeme!$B$12,"Cuadra",IF(R98&lt;0,"Faltante","Sobrante")))</f>
        <v/>
      </c>
      <c r="T98" s="13" t="s">
        <v>101</v>
      </c>
    </row>
    <row r="99" customFormat="false" ht="15" hidden="false" customHeight="false" outlineLevel="0" collapsed="false">
      <c r="A99" s="17" t="n">
        <v>45715</v>
      </c>
      <c r="B99" s="13" t="s">
        <v>28</v>
      </c>
      <c r="C99" s="13"/>
      <c r="D99" s="13" t="s">
        <v>100</v>
      </c>
      <c r="E99" s="15" t="n">
        <v>206410</v>
      </c>
      <c r="F99" s="15" t="n">
        <v>30560</v>
      </c>
      <c r="G99" s="15" t="n">
        <v>11990</v>
      </c>
      <c r="H99" s="15" t="n">
        <v>0</v>
      </c>
      <c r="I99" s="15" t="n">
        <v>22840</v>
      </c>
      <c r="J99" s="14" t="n">
        <f aca="false">SUM(E99:I99)</f>
        <v>271800</v>
      </c>
      <c r="K99" s="18"/>
      <c r="L99" s="15" t="n">
        <v>0</v>
      </c>
      <c r="M99" s="13"/>
      <c r="N99" s="15" t="n">
        <v>0</v>
      </c>
      <c r="O99" s="15"/>
      <c r="P99" s="14" t="str">
        <f aca="false">IF(O99="","",O99+E99-L99-N99)</f>
        <v/>
      </c>
      <c r="Q99" s="15"/>
      <c r="R99" s="14" t="str">
        <f aca="false">IF(OR(Q99="",P99=""),"",Q99-P99)</f>
        <v/>
      </c>
      <c r="S99" s="19" t="str">
        <f aca="false">IF(R99="","",IF(ABS(R99)&lt;=Léeme!$B$12,"Cuadra",IF(R99&lt;0,"Faltante","Sobrante")))</f>
        <v/>
      </c>
      <c r="T99" s="13" t="s">
        <v>101</v>
      </c>
    </row>
    <row r="100" customFormat="false" ht="15" hidden="false" customHeight="false" outlineLevel="0" collapsed="false">
      <c r="A100" s="17" t="n">
        <v>45716</v>
      </c>
      <c r="B100" s="13" t="s">
        <v>27</v>
      </c>
      <c r="C100" s="13"/>
      <c r="D100" s="13" t="s">
        <v>100</v>
      </c>
      <c r="E100" s="15" t="n">
        <v>271460</v>
      </c>
      <c r="F100" s="15" t="n">
        <v>45540</v>
      </c>
      <c r="G100" s="15" t="n">
        <v>16920</v>
      </c>
      <c r="H100" s="15" t="n">
        <v>0</v>
      </c>
      <c r="I100" s="15" t="n">
        <v>30200</v>
      </c>
      <c r="J100" s="14" t="n">
        <f aca="false">SUM(E100:I100)</f>
        <v>364120</v>
      </c>
      <c r="K100" s="18"/>
      <c r="L100" s="15" t="n">
        <v>0</v>
      </c>
      <c r="M100" s="13"/>
      <c r="N100" s="15" t="n">
        <v>203000</v>
      </c>
      <c r="O100" s="15"/>
      <c r="P100" s="14" t="str">
        <f aca="false">IF(O100="","",O100+E100-L100-N100)</f>
        <v/>
      </c>
      <c r="Q100" s="15"/>
      <c r="R100" s="14" t="str">
        <f aca="false">IF(OR(Q100="",P100=""),"",Q100-P100)</f>
        <v/>
      </c>
      <c r="S100" s="19" t="str">
        <f aca="false">IF(R100="","",IF(ABS(R100)&lt;=Léeme!$B$12,"Cuadra",IF(R100&lt;0,"Faltante","Sobrante")))</f>
        <v/>
      </c>
      <c r="T100" s="13" t="s">
        <v>101</v>
      </c>
    </row>
    <row r="101" customFormat="false" ht="15" hidden="false" customHeight="false" outlineLevel="0" collapsed="false">
      <c r="A101" s="17" t="n">
        <v>45716</v>
      </c>
      <c r="B101" s="13" t="s">
        <v>28</v>
      </c>
      <c r="C101" s="13"/>
      <c r="D101" s="13" t="s">
        <v>100</v>
      </c>
      <c r="E101" s="15" t="n">
        <v>220320</v>
      </c>
      <c r="F101" s="15" t="n">
        <v>33210</v>
      </c>
      <c r="G101" s="15" t="n">
        <v>13510</v>
      </c>
      <c r="H101" s="15" t="n">
        <v>0</v>
      </c>
      <c r="I101" s="15" t="n">
        <v>23040</v>
      </c>
      <c r="J101" s="14" t="n">
        <f aca="false">SUM(E101:I101)</f>
        <v>290080</v>
      </c>
      <c r="K101" s="18"/>
      <c r="L101" s="15" t="n">
        <v>0</v>
      </c>
      <c r="M101" s="13"/>
      <c r="N101" s="15" t="n">
        <v>0</v>
      </c>
      <c r="O101" s="15"/>
      <c r="P101" s="14" t="str">
        <f aca="false">IF(O101="","",O101+E101-L101-N101)</f>
        <v/>
      </c>
      <c r="Q101" s="15"/>
      <c r="R101" s="14" t="str">
        <f aca="false">IF(OR(Q101="",P101=""),"",Q101-P101)</f>
        <v/>
      </c>
      <c r="S101" s="19" t="str">
        <f aca="false">IF(R101="","",IF(ABS(R101)&lt;=Léeme!$B$12,"Cuadra",IF(R101&lt;0,"Faltante","Sobrante")))</f>
        <v/>
      </c>
      <c r="T101" s="13" t="s">
        <v>101</v>
      </c>
    </row>
    <row r="102" customFormat="false" ht="15" hidden="false" customHeight="false" outlineLevel="0" collapsed="false">
      <c r="A102" s="17" t="n">
        <v>45717</v>
      </c>
      <c r="B102" s="13" t="s">
        <v>27</v>
      </c>
      <c r="C102" s="13"/>
      <c r="D102" s="13" t="s">
        <v>100</v>
      </c>
      <c r="E102" s="15" t="n">
        <v>432120</v>
      </c>
      <c r="F102" s="15" t="n">
        <v>66640</v>
      </c>
      <c r="G102" s="15" t="n">
        <v>24360</v>
      </c>
      <c r="H102" s="15" t="n">
        <v>0</v>
      </c>
      <c r="I102" s="15" t="n">
        <v>46560</v>
      </c>
      <c r="J102" s="14" t="n">
        <f aca="false">SUM(E102:I102)</f>
        <v>569680</v>
      </c>
      <c r="K102" s="18"/>
      <c r="L102" s="15" t="n">
        <v>0</v>
      </c>
      <c r="M102" s="13"/>
      <c r="N102" s="15" t="n">
        <v>0</v>
      </c>
      <c r="O102" s="15"/>
      <c r="P102" s="14" t="str">
        <f aca="false">IF(O102="","",O102+E102-L102-N102)</f>
        <v/>
      </c>
      <c r="Q102" s="15"/>
      <c r="R102" s="14" t="str">
        <f aca="false">IF(OR(Q102="",P102=""),"",Q102-P102)</f>
        <v/>
      </c>
      <c r="S102" s="19" t="str">
        <f aca="false">IF(R102="","",IF(ABS(R102)&lt;=Léeme!$B$12,"Cuadra",IF(R102&lt;0,"Faltante","Sobrante")))</f>
        <v/>
      </c>
      <c r="T102" s="13" t="s">
        <v>101</v>
      </c>
    </row>
    <row r="103" customFormat="false" ht="15" hidden="false" customHeight="false" outlineLevel="0" collapsed="false">
      <c r="A103" s="17" t="n">
        <v>45717</v>
      </c>
      <c r="B103" s="13" t="s">
        <v>28</v>
      </c>
      <c r="C103" s="13"/>
      <c r="D103" s="13" t="s">
        <v>100</v>
      </c>
      <c r="E103" s="15" t="n">
        <v>385220</v>
      </c>
      <c r="F103" s="15" t="n">
        <v>54510</v>
      </c>
      <c r="G103" s="15" t="n">
        <v>21610</v>
      </c>
      <c r="H103" s="15" t="n">
        <v>0</v>
      </c>
      <c r="I103" s="15" t="n">
        <v>37470</v>
      </c>
      <c r="J103" s="14" t="n">
        <f aca="false">SUM(E103:I103)</f>
        <v>498810</v>
      </c>
      <c r="K103" s="18"/>
      <c r="L103" s="15" t="n">
        <v>0</v>
      </c>
      <c r="M103" s="13"/>
      <c r="N103" s="15" t="n">
        <v>213000</v>
      </c>
      <c r="O103" s="15"/>
      <c r="P103" s="14" t="str">
        <f aca="false">IF(O103="","",O103+E103-L103-N103)</f>
        <v/>
      </c>
      <c r="Q103" s="15"/>
      <c r="R103" s="14" t="str">
        <f aca="false">IF(OR(Q103="",P103=""),"",Q103-P103)</f>
        <v/>
      </c>
      <c r="S103" s="19" t="str">
        <f aca="false">IF(R103="","",IF(ABS(R103)&lt;=Léeme!$B$12,"Cuadra",IF(R103&lt;0,"Faltante","Sobrante")))</f>
        <v/>
      </c>
      <c r="T103" s="13" t="s">
        <v>101</v>
      </c>
    </row>
    <row r="104" customFormat="false" ht="15" hidden="false" customHeight="false" outlineLevel="0" collapsed="false">
      <c r="A104" s="17" t="n">
        <v>45718</v>
      </c>
      <c r="B104" s="13" t="s">
        <v>27</v>
      </c>
      <c r="C104" s="13"/>
      <c r="D104" s="13" t="s">
        <v>100</v>
      </c>
      <c r="E104" s="15" t="n">
        <v>854390</v>
      </c>
      <c r="F104" s="15" t="n">
        <v>129080</v>
      </c>
      <c r="G104" s="15" t="n">
        <v>47590</v>
      </c>
      <c r="H104" s="15" t="n">
        <v>0</v>
      </c>
      <c r="I104" s="15" t="n">
        <v>84340</v>
      </c>
      <c r="J104" s="14" t="n">
        <f aca="false">SUM(E104:I104)</f>
        <v>1115400</v>
      </c>
      <c r="K104" s="18"/>
      <c r="L104" s="15" t="n">
        <v>0</v>
      </c>
      <c r="M104" s="13"/>
      <c r="N104" s="15" t="n">
        <v>691000</v>
      </c>
      <c r="O104" s="15"/>
      <c r="P104" s="14" t="str">
        <f aca="false">IF(O104="","",O104+E104-L104-N104)</f>
        <v/>
      </c>
      <c r="Q104" s="15"/>
      <c r="R104" s="14" t="str">
        <f aca="false">IF(OR(Q104="",P104=""),"",Q104-P104)</f>
        <v/>
      </c>
      <c r="S104" s="19" t="str">
        <f aca="false">IF(R104="","",IF(ABS(R104)&lt;=Léeme!$B$12,"Cuadra",IF(R104&lt;0,"Faltante","Sobrante")))</f>
        <v/>
      </c>
      <c r="T104" s="13" t="s">
        <v>101</v>
      </c>
    </row>
    <row r="105" customFormat="false" ht="15" hidden="false" customHeight="false" outlineLevel="0" collapsed="false">
      <c r="A105" s="17" t="n">
        <v>45718</v>
      </c>
      <c r="B105" s="13" t="s">
        <v>28</v>
      </c>
      <c r="C105" s="13"/>
      <c r="D105" s="13" t="s">
        <v>100</v>
      </c>
      <c r="E105" s="15" t="n">
        <v>561160</v>
      </c>
      <c r="F105" s="15" t="n">
        <v>80750</v>
      </c>
      <c r="G105" s="15" t="n">
        <v>34830</v>
      </c>
      <c r="H105" s="15" t="n">
        <v>0</v>
      </c>
      <c r="I105" s="15" t="n">
        <v>62470</v>
      </c>
      <c r="J105" s="14" t="n">
        <f aca="false">SUM(E105:I105)</f>
        <v>739210</v>
      </c>
      <c r="K105" s="18"/>
      <c r="L105" s="15" t="n">
        <v>0</v>
      </c>
      <c r="M105" s="13"/>
      <c r="N105" s="15" t="n">
        <v>0</v>
      </c>
      <c r="O105" s="15"/>
      <c r="P105" s="14" t="str">
        <f aca="false">IF(O105="","",O105+E105-L105-N105)</f>
        <v/>
      </c>
      <c r="Q105" s="15"/>
      <c r="R105" s="14" t="str">
        <f aca="false">IF(OR(Q105="",P105=""),"",Q105-P105)</f>
        <v/>
      </c>
      <c r="S105" s="19" t="str">
        <f aca="false">IF(R105="","",IF(ABS(R105)&lt;=Léeme!$B$12,"Cuadra",IF(R105&lt;0,"Faltante","Sobrante")))</f>
        <v/>
      </c>
      <c r="T105" s="13" t="s">
        <v>101</v>
      </c>
    </row>
    <row r="106" customFormat="false" ht="15" hidden="false" customHeight="false" outlineLevel="0" collapsed="false">
      <c r="A106" s="17" t="n">
        <v>45720</v>
      </c>
      <c r="B106" s="13" t="s">
        <v>27</v>
      </c>
      <c r="C106" s="13"/>
      <c r="D106" s="13" t="s">
        <v>100</v>
      </c>
      <c r="E106" s="15" t="n">
        <v>339280</v>
      </c>
      <c r="F106" s="15" t="n">
        <v>45120</v>
      </c>
      <c r="G106" s="15" t="n">
        <v>17970</v>
      </c>
      <c r="H106" s="15" t="n">
        <v>0</v>
      </c>
      <c r="I106" s="15" t="n">
        <v>31980</v>
      </c>
      <c r="J106" s="14" t="n">
        <f aca="false">SUM(E106:I106)</f>
        <v>434350</v>
      </c>
      <c r="K106" s="18"/>
      <c r="L106" s="15" t="n">
        <v>0</v>
      </c>
      <c r="M106" s="13"/>
      <c r="N106" s="15" t="n">
        <v>250000</v>
      </c>
      <c r="O106" s="15"/>
      <c r="P106" s="14" t="str">
        <f aca="false">IF(O106="","",O106+E106-L106-N106)</f>
        <v/>
      </c>
      <c r="Q106" s="15"/>
      <c r="R106" s="14" t="str">
        <f aca="false">IF(OR(Q106="",P106=""),"",Q106-P106)</f>
        <v/>
      </c>
      <c r="S106" s="19" t="str">
        <f aca="false">IF(R106="","",IF(ABS(R106)&lt;=Léeme!$B$12,"Cuadra",IF(R106&lt;0,"Faltante","Sobrante")))</f>
        <v/>
      </c>
      <c r="T106" s="13" t="s">
        <v>101</v>
      </c>
    </row>
    <row r="107" customFormat="false" ht="15" hidden="false" customHeight="false" outlineLevel="0" collapsed="false">
      <c r="A107" s="17" t="n">
        <v>45720</v>
      </c>
      <c r="B107" s="13" t="s">
        <v>28</v>
      </c>
      <c r="C107" s="13"/>
      <c r="D107" s="13" t="s">
        <v>100</v>
      </c>
      <c r="E107" s="15" t="n">
        <v>251730</v>
      </c>
      <c r="F107" s="15" t="n">
        <v>40890</v>
      </c>
      <c r="G107" s="15" t="n">
        <v>14500</v>
      </c>
      <c r="H107" s="15" t="n">
        <v>0</v>
      </c>
      <c r="I107" s="15" t="n">
        <v>26560</v>
      </c>
      <c r="J107" s="14" t="n">
        <f aca="false">SUM(E107:I107)</f>
        <v>333680</v>
      </c>
      <c r="K107" s="18"/>
      <c r="L107" s="15" t="n">
        <v>0</v>
      </c>
      <c r="M107" s="13"/>
      <c r="N107" s="15" t="n">
        <v>0</v>
      </c>
      <c r="O107" s="15"/>
      <c r="P107" s="14" t="str">
        <f aca="false">IF(O107="","",O107+E107-L107-N107)</f>
        <v/>
      </c>
      <c r="Q107" s="15"/>
      <c r="R107" s="14" t="str">
        <f aca="false">IF(OR(Q107="",P107=""),"",Q107-P107)</f>
        <v/>
      </c>
      <c r="S107" s="19" t="str">
        <f aca="false">IF(R107="","",IF(ABS(R107)&lt;=Léeme!$B$12,"Cuadra",IF(R107&lt;0,"Faltante","Sobrante")))</f>
        <v/>
      </c>
      <c r="T107" s="13" t="s">
        <v>101</v>
      </c>
    </row>
    <row r="108" customFormat="false" ht="15" hidden="false" customHeight="false" outlineLevel="0" collapsed="false">
      <c r="A108" s="17" t="n">
        <v>45721</v>
      </c>
      <c r="B108" s="13" t="s">
        <v>27</v>
      </c>
      <c r="C108" s="13"/>
      <c r="D108" s="13" t="s">
        <v>100</v>
      </c>
      <c r="E108" s="15" t="n">
        <v>335180</v>
      </c>
      <c r="F108" s="15" t="n">
        <v>46070</v>
      </c>
      <c r="G108" s="15" t="n">
        <v>18190</v>
      </c>
      <c r="H108" s="15" t="n">
        <v>0</v>
      </c>
      <c r="I108" s="15" t="n">
        <v>32390</v>
      </c>
      <c r="J108" s="14" t="n">
        <f aca="false">SUM(E108:I108)</f>
        <v>431830</v>
      </c>
      <c r="K108" s="18"/>
      <c r="L108" s="15" t="n">
        <v>0</v>
      </c>
      <c r="M108" s="13"/>
      <c r="N108" s="15" t="n">
        <v>0</v>
      </c>
      <c r="O108" s="15"/>
      <c r="P108" s="14" t="str">
        <f aca="false">IF(O108="","",O108+E108-L108-N108)</f>
        <v/>
      </c>
      <c r="Q108" s="15"/>
      <c r="R108" s="14" t="str">
        <f aca="false">IF(OR(Q108="",P108=""),"",Q108-P108)</f>
        <v/>
      </c>
      <c r="S108" s="19" t="str">
        <f aca="false">IF(R108="","",IF(ABS(R108)&lt;=Léeme!$B$12,"Cuadra",IF(R108&lt;0,"Faltante","Sobrante")))</f>
        <v/>
      </c>
      <c r="T108" s="13" t="s">
        <v>101</v>
      </c>
    </row>
    <row r="109" customFormat="false" ht="15" hidden="false" customHeight="false" outlineLevel="0" collapsed="false">
      <c r="A109" s="17" t="n">
        <v>45721</v>
      </c>
      <c r="B109" s="13" t="s">
        <v>28</v>
      </c>
      <c r="C109" s="13"/>
      <c r="D109" s="13" t="s">
        <v>100</v>
      </c>
      <c r="E109" s="15" t="n">
        <v>224890</v>
      </c>
      <c r="F109" s="15" t="n">
        <v>31090</v>
      </c>
      <c r="G109" s="15" t="n">
        <v>13460</v>
      </c>
      <c r="H109" s="15" t="n">
        <v>0</v>
      </c>
      <c r="I109" s="15" t="n">
        <v>21440</v>
      </c>
      <c r="J109" s="14" t="n">
        <f aca="false">SUM(E109:I109)</f>
        <v>290880</v>
      </c>
      <c r="K109" s="18"/>
      <c r="L109" s="15" t="n">
        <v>0</v>
      </c>
      <c r="M109" s="13"/>
      <c r="N109" s="15" t="n">
        <v>0</v>
      </c>
      <c r="O109" s="15"/>
      <c r="P109" s="14" t="str">
        <f aca="false">IF(O109="","",O109+E109-L109-N109)</f>
        <v/>
      </c>
      <c r="Q109" s="15"/>
      <c r="R109" s="14" t="str">
        <f aca="false">IF(OR(Q109="",P109=""),"",Q109-P109)</f>
        <v/>
      </c>
      <c r="S109" s="19" t="str">
        <f aca="false">IF(R109="","",IF(ABS(R109)&lt;=Léeme!$B$12,"Cuadra",IF(R109&lt;0,"Faltante","Sobrante")))</f>
        <v/>
      </c>
      <c r="T109" s="13" t="s">
        <v>101</v>
      </c>
    </row>
    <row r="110" customFormat="false" ht="15" hidden="false" customHeight="false" outlineLevel="0" collapsed="false">
      <c r="A110" s="17" t="n">
        <v>45722</v>
      </c>
      <c r="B110" s="13" t="s">
        <v>27</v>
      </c>
      <c r="C110" s="13"/>
      <c r="D110" s="13" t="s">
        <v>100</v>
      </c>
      <c r="E110" s="15" t="n">
        <v>313340</v>
      </c>
      <c r="F110" s="15" t="n">
        <v>47470</v>
      </c>
      <c r="G110" s="15" t="n">
        <v>18240</v>
      </c>
      <c r="H110" s="15" t="n">
        <v>0</v>
      </c>
      <c r="I110" s="15" t="n">
        <v>30400</v>
      </c>
      <c r="J110" s="14" t="n">
        <f aca="false">SUM(E110:I110)</f>
        <v>409450</v>
      </c>
      <c r="K110" s="18"/>
      <c r="L110" s="15" t="n">
        <v>0</v>
      </c>
      <c r="M110" s="13"/>
      <c r="N110" s="15" t="n">
        <v>0</v>
      </c>
      <c r="O110" s="15"/>
      <c r="P110" s="14" t="str">
        <f aca="false">IF(O110="","",O110+E110-L110-N110)</f>
        <v/>
      </c>
      <c r="Q110" s="15"/>
      <c r="R110" s="14" t="str">
        <f aca="false">IF(OR(Q110="",P110=""),"",Q110-P110)</f>
        <v/>
      </c>
      <c r="S110" s="19" t="str">
        <f aca="false">IF(R110="","",IF(ABS(R110)&lt;=Léeme!$B$12,"Cuadra",IF(R110&lt;0,"Faltante","Sobrante")))</f>
        <v/>
      </c>
      <c r="T110" s="13" t="s">
        <v>101</v>
      </c>
    </row>
    <row r="111" customFormat="false" ht="15" hidden="false" customHeight="false" outlineLevel="0" collapsed="false">
      <c r="A111" s="17" t="n">
        <v>45722</v>
      </c>
      <c r="B111" s="13" t="s">
        <v>28</v>
      </c>
      <c r="C111" s="13"/>
      <c r="D111" s="13" t="s">
        <v>100</v>
      </c>
      <c r="E111" s="15" t="n">
        <v>217130</v>
      </c>
      <c r="F111" s="15" t="n">
        <v>31440</v>
      </c>
      <c r="G111" s="15" t="n">
        <v>11250</v>
      </c>
      <c r="H111" s="15" t="n">
        <v>0</v>
      </c>
      <c r="I111" s="15" t="n">
        <v>21890</v>
      </c>
      <c r="J111" s="14" t="n">
        <f aca="false">SUM(E111:I111)</f>
        <v>281710</v>
      </c>
      <c r="K111" s="18"/>
      <c r="L111" s="15" t="n">
        <v>0</v>
      </c>
      <c r="M111" s="13"/>
      <c r="N111" s="15" t="n">
        <v>0</v>
      </c>
      <c r="O111" s="15"/>
      <c r="P111" s="14" t="str">
        <f aca="false">IF(O111="","",O111+E111-L111-N111)</f>
        <v/>
      </c>
      <c r="Q111" s="15"/>
      <c r="R111" s="14" t="str">
        <f aca="false">IF(OR(Q111="",P111=""),"",Q111-P111)</f>
        <v/>
      </c>
      <c r="S111" s="19" t="str">
        <f aca="false">IF(R111="","",IF(ABS(R111)&lt;=Léeme!$B$12,"Cuadra",IF(R111&lt;0,"Faltante","Sobrante")))</f>
        <v/>
      </c>
      <c r="T111" s="13" t="s">
        <v>101</v>
      </c>
    </row>
    <row r="112" customFormat="false" ht="15" hidden="false" customHeight="false" outlineLevel="0" collapsed="false">
      <c r="A112" s="17" t="n">
        <v>45723</v>
      </c>
      <c r="B112" s="13" t="s">
        <v>27</v>
      </c>
      <c r="C112" s="13"/>
      <c r="D112" s="13" t="s">
        <v>100</v>
      </c>
      <c r="E112" s="15" t="n">
        <v>287720</v>
      </c>
      <c r="F112" s="15" t="n">
        <v>39130</v>
      </c>
      <c r="G112" s="15" t="n">
        <v>14970</v>
      </c>
      <c r="H112" s="15" t="n">
        <v>0</v>
      </c>
      <c r="I112" s="15" t="n">
        <v>30020</v>
      </c>
      <c r="J112" s="14" t="n">
        <f aca="false">SUM(E112:I112)</f>
        <v>371840</v>
      </c>
      <c r="K112" s="18"/>
      <c r="L112" s="15" t="n">
        <v>0</v>
      </c>
      <c r="M112" s="13"/>
      <c r="N112" s="15" t="n">
        <v>0</v>
      </c>
      <c r="O112" s="15"/>
      <c r="P112" s="14" t="str">
        <f aca="false">IF(O112="","",O112+E112-L112-N112)</f>
        <v/>
      </c>
      <c r="Q112" s="15"/>
      <c r="R112" s="14" t="str">
        <f aca="false">IF(OR(Q112="",P112=""),"",Q112-P112)</f>
        <v/>
      </c>
      <c r="S112" s="19" t="str">
        <f aca="false">IF(R112="","",IF(ABS(R112)&lt;=Léeme!$B$12,"Cuadra",IF(R112&lt;0,"Faltante","Sobrante")))</f>
        <v/>
      </c>
      <c r="T112" s="13" t="s">
        <v>101</v>
      </c>
    </row>
    <row r="113" customFormat="false" ht="15" hidden="false" customHeight="false" outlineLevel="0" collapsed="false">
      <c r="A113" s="17" t="n">
        <v>45723</v>
      </c>
      <c r="B113" s="13" t="s">
        <v>28</v>
      </c>
      <c r="C113" s="13"/>
      <c r="D113" s="13" t="s">
        <v>100</v>
      </c>
      <c r="E113" s="15" t="n">
        <v>241530</v>
      </c>
      <c r="F113" s="15" t="n">
        <v>30410</v>
      </c>
      <c r="G113" s="15" t="n">
        <v>13450</v>
      </c>
      <c r="H113" s="15" t="n">
        <v>0</v>
      </c>
      <c r="I113" s="15" t="n">
        <v>25060</v>
      </c>
      <c r="J113" s="14" t="n">
        <f aca="false">SUM(E113:I113)</f>
        <v>310450</v>
      </c>
      <c r="K113" s="18"/>
      <c r="L113" s="15" t="n">
        <v>23690</v>
      </c>
      <c r="M113" s="13" t="s">
        <v>103</v>
      </c>
      <c r="N113" s="15" t="n">
        <v>0</v>
      </c>
      <c r="O113" s="15"/>
      <c r="P113" s="14" t="str">
        <f aca="false">IF(O113="","",O113+E113-L113-N113)</f>
        <v/>
      </c>
      <c r="Q113" s="15"/>
      <c r="R113" s="14" t="str">
        <f aca="false">IF(OR(Q113="",P113=""),"",Q113-P113)</f>
        <v/>
      </c>
      <c r="S113" s="19" t="str">
        <f aca="false">IF(R113="","",IF(ABS(R113)&lt;=Léeme!$B$12,"Cuadra",IF(R113&lt;0,"Faltante","Sobrante")))</f>
        <v/>
      </c>
      <c r="T113" s="13" t="s">
        <v>101</v>
      </c>
    </row>
    <row r="114" customFormat="false" ht="15" hidden="false" customHeight="false" outlineLevel="0" collapsed="false">
      <c r="A114" s="17" t="n">
        <v>45724</v>
      </c>
      <c r="B114" s="13" t="s">
        <v>27</v>
      </c>
      <c r="C114" s="13"/>
      <c r="D114" s="13" t="s">
        <v>100</v>
      </c>
      <c r="E114" s="15" t="n">
        <v>516580</v>
      </c>
      <c r="F114" s="15" t="n">
        <v>73310</v>
      </c>
      <c r="G114" s="15" t="n">
        <v>28600</v>
      </c>
      <c r="H114" s="15" t="n">
        <v>0</v>
      </c>
      <c r="I114" s="15" t="n">
        <v>51920</v>
      </c>
      <c r="J114" s="14" t="n">
        <f aca="false">SUM(E114:I114)</f>
        <v>670410</v>
      </c>
      <c r="K114" s="18"/>
      <c r="L114" s="15" t="n">
        <v>0</v>
      </c>
      <c r="M114" s="13"/>
      <c r="N114" s="15" t="n">
        <v>0</v>
      </c>
      <c r="O114" s="15"/>
      <c r="P114" s="14" t="str">
        <f aca="false">IF(O114="","",O114+E114-L114-N114)</f>
        <v/>
      </c>
      <c r="Q114" s="15"/>
      <c r="R114" s="14" t="str">
        <f aca="false">IF(OR(Q114="",P114=""),"",Q114-P114)</f>
        <v/>
      </c>
      <c r="S114" s="19" t="str">
        <f aca="false">IF(R114="","",IF(ABS(R114)&lt;=Léeme!$B$12,"Cuadra",IF(R114&lt;0,"Faltante","Sobrante")))</f>
        <v/>
      </c>
      <c r="T114" s="13" t="s">
        <v>101</v>
      </c>
    </row>
    <row r="115" customFormat="false" ht="15" hidden="false" customHeight="false" outlineLevel="0" collapsed="false">
      <c r="A115" s="17" t="n">
        <v>45724</v>
      </c>
      <c r="B115" s="13" t="s">
        <v>28</v>
      </c>
      <c r="C115" s="13"/>
      <c r="D115" s="13" t="s">
        <v>100</v>
      </c>
      <c r="E115" s="15" t="n">
        <v>408340</v>
      </c>
      <c r="F115" s="15" t="n">
        <v>52590</v>
      </c>
      <c r="G115" s="15" t="n">
        <v>20500</v>
      </c>
      <c r="H115" s="15" t="n">
        <v>0</v>
      </c>
      <c r="I115" s="15" t="n">
        <v>36390</v>
      </c>
      <c r="J115" s="14" t="n">
        <f aca="false">SUM(E115:I115)</f>
        <v>517820</v>
      </c>
      <c r="K115" s="18"/>
      <c r="L115" s="15" t="n">
        <v>0</v>
      </c>
      <c r="M115" s="13"/>
      <c r="N115" s="15" t="n">
        <v>290000</v>
      </c>
      <c r="O115" s="15"/>
      <c r="P115" s="14" t="str">
        <f aca="false">IF(O115="","",O115+E115-L115-N115)</f>
        <v/>
      </c>
      <c r="Q115" s="15"/>
      <c r="R115" s="14" t="str">
        <f aca="false">IF(OR(Q115="",P115=""),"",Q115-P115)</f>
        <v/>
      </c>
      <c r="S115" s="19" t="str">
        <f aca="false">IF(R115="","",IF(ABS(R115)&lt;=Léeme!$B$12,"Cuadra",IF(R115&lt;0,"Faltante","Sobrante")))</f>
        <v/>
      </c>
      <c r="T115" s="13" t="s">
        <v>101</v>
      </c>
    </row>
    <row r="116" customFormat="false" ht="15" hidden="false" customHeight="false" outlineLevel="0" collapsed="false">
      <c r="A116" s="17" t="n">
        <v>45725</v>
      </c>
      <c r="B116" s="13" t="s">
        <v>27</v>
      </c>
      <c r="C116" s="13"/>
      <c r="D116" s="13" t="s">
        <v>100</v>
      </c>
      <c r="E116" s="15" t="n">
        <v>779380</v>
      </c>
      <c r="F116" s="15" t="n">
        <v>103610</v>
      </c>
      <c r="G116" s="15" t="n">
        <v>46420</v>
      </c>
      <c r="H116" s="15" t="n">
        <v>0</v>
      </c>
      <c r="I116" s="15" t="n">
        <v>79260</v>
      </c>
      <c r="J116" s="14" t="n">
        <f aca="false">SUM(E116:I116)</f>
        <v>1008670</v>
      </c>
      <c r="K116" s="18"/>
      <c r="L116" s="15" t="n">
        <v>0</v>
      </c>
      <c r="M116" s="13"/>
      <c r="N116" s="15" t="n">
        <v>0</v>
      </c>
      <c r="O116" s="15"/>
      <c r="P116" s="14" t="str">
        <f aca="false">IF(O116="","",O116+E116-L116-N116)</f>
        <v/>
      </c>
      <c r="Q116" s="15"/>
      <c r="R116" s="14" t="str">
        <f aca="false">IF(OR(Q116="",P116=""),"",Q116-P116)</f>
        <v/>
      </c>
      <c r="S116" s="19" t="str">
        <f aca="false">IF(R116="","",IF(ABS(R116)&lt;=Léeme!$B$12,"Cuadra",IF(R116&lt;0,"Faltante","Sobrante")))</f>
        <v/>
      </c>
      <c r="T116" s="13" t="s">
        <v>101</v>
      </c>
    </row>
    <row r="117" customFormat="false" ht="15" hidden="false" customHeight="false" outlineLevel="0" collapsed="false">
      <c r="A117" s="17" t="n">
        <v>45725</v>
      </c>
      <c r="B117" s="13" t="s">
        <v>28</v>
      </c>
      <c r="C117" s="13"/>
      <c r="D117" s="13" t="s">
        <v>100</v>
      </c>
      <c r="E117" s="15" t="n">
        <v>552360</v>
      </c>
      <c r="F117" s="15" t="n">
        <v>78280</v>
      </c>
      <c r="G117" s="15" t="n">
        <v>35420</v>
      </c>
      <c r="H117" s="15" t="n">
        <v>0</v>
      </c>
      <c r="I117" s="15" t="n">
        <v>63200</v>
      </c>
      <c r="J117" s="14" t="n">
        <f aca="false">SUM(E117:I117)</f>
        <v>729260</v>
      </c>
      <c r="K117" s="18"/>
      <c r="L117" s="15" t="n">
        <v>0</v>
      </c>
      <c r="M117" s="13"/>
      <c r="N117" s="15" t="n">
        <v>416000</v>
      </c>
      <c r="O117" s="15"/>
      <c r="P117" s="14" t="str">
        <f aca="false">IF(O117="","",O117+E117-L117-N117)</f>
        <v/>
      </c>
      <c r="Q117" s="15"/>
      <c r="R117" s="14" t="str">
        <f aca="false">IF(OR(Q117="",P117=""),"",Q117-P117)</f>
        <v/>
      </c>
      <c r="S117" s="19" t="str">
        <f aca="false">IF(R117="","",IF(ABS(R117)&lt;=Léeme!$B$12,"Cuadra",IF(R117&lt;0,"Faltante","Sobrante")))</f>
        <v/>
      </c>
      <c r="T117" s="13" t="s">
        <v>101</v>
      </c>
    </row>
    <row r="118" customFormat="false" ht="15" hidden="false" customHeight="false" outlineLevel="0" collapsed="false">
      <c r="A118" s="17" t="n">
        <v>45727</v>
      </c>
      <c r="B118" s="13" t="s">
        <v>27</v>
      </c>
      <c r="C118" s="13"/>
      <c r="D118" s="13" t="s">
        <v>100</v>
      </c>
      <c r="E118" s="15" t="n">
        <v>312200</v>
      </c>
      <c r="F118" s="15" t="n">
        <v>46960</v>
      </c>
      <c r="G118" s="15" t="n">
        <v>19280</v>
      </c>
      <c r="H118" s="15" t="n">
        <v>0</v>
      </c>
      <c r="I118" s="15" t="n">
        <v>31080</v>
      </c>
      <c r="J118" s="14" t="n">
        <f aca="false">SUM(E118:I118)</f>
        <v>409520</v>
      </c>
      <c r="K118" s="18"/>
      <c r="L118" s="15" t="n">
        <v>0</v>
      </c>
      <c r="M118" s="13"/>
      <c r="N118" s="15" t="n">
        <v>0</v>
      </c>
      <c r="O118" s="15"/>
      <c r="P118" s="14" t="str">
        <f aca="false">IF(O118="","",O118+E118-L118-N118)</f>
        <v/>
      </c>
      <c r="Q118" s="15"/>
      <c r="R118" s="14" t="str">
        <f aca="false">IF(OR(Q118="",P118=""),"",Q118-P118)</f>
        <v/>
      </c>
      <c r="S118" s="19" t="str">
        <f aca="false">IF(R118="","",IF(ABS(R118)&lt;=Léeme!$B$12,"Cuadra",IF(R118&lt;0,"Faltante","Sobrante")))</f>
        <v/>
      </c>
      <c r="T118" s="13" t="s">
        <v>101</v>
      </c>
    </row>
    <row r="119" customFormat="false" ht="15" hidden="false" customHeight="false" outlineLevel="0" collapsed="false">
      <c r="A119" s="17" t="n">
        <v>45727</v>
      </c>
      <c r="B119" s="13" t="s">
        <v>28</v>
      </c>
      <c r="C119" s="13"/>
      <c r="D119" s="13" t="s">
        <v>100</v>
      </c>
      <c r="E119" s="15" t="n">
        <v>231050</v>
      </c>
      <c r="F119" s="15" t="n">
        <v>30410</v>
      </c>
      <c r="G119" s="15" t="n">
        <v>13190</v>
      </c>
      <c r="H119" s="15" t="n">
        <v>0</v>
      </c>
      <c r="I119" s="15" t="n">
        <v>24220</v>
      </c>
      <c r="J119" s="14" t="n">
        <f aca="false">SUM(E119:I119)</f>
        <v>298870</v>
      </c>
      <c r="K119" s="18"/>
      <c r="L119" s="15" t="n">
        <v>0</v>
      </c>
      <c r="M119" s="13"/>
      <c r="N119" s="15" t="n">
        <v>0</v>
      </c>
      <c r="O119" s="15"/>
      <c r="P119" s="14" t="str">
        <f aca="false">IF(O119="","",O119+E119-L119-N119)</f>
        <v/>
      </c>
      <c r="Q119" s="15"/>
      <c r="R119" s="14" t="str">
        <f aca="false">IF(OR(Q119="",P119=""),"",Q119-P119)</f>
        <v/>
      </c>
      <c r="S119" s="19" t="str">
        <f aca="false">IF(R119="","",IF(ABS(R119)&lt;=Léeme!$B$12,"Cuadra",IF(R119&lt;0,"Faltante","Sobrante")))</f>
        <v/>
      </c>
      <c r="T119" s="13" t="s">
        <v>101</v>
      </c>
    </row>
    <row r="120" customFormat="false" ht="15" hidden="false" customHeight="false" outlineLevel="0" collapsed="false">
      <c r="A120" s="17" t="n">
        <v>45728</v>
      </c>
      <c r="B120" s="13" t="s">
        <v>27</v>
      </c>
      <c r="C120" s="13"/>
      <c r="D120" s="13" t="s">
        <v>100</v>
      </c>
      <c r="E120" s="15" t="n">
        <v>339160</v>
      </c>
      <c r="F120" s="15" t="n">
        <v>45120</v>
      </c>
      <c r="G120" s="15" t="n">
        <v>19440</v>
      </c>
      <c r="H120" s="15" t="n">
        <v>0</v>
      </c>
      <c r="I120" s="15" t="n">
        <v>33980</v>
      </c>
      <c r="J120" s="14" t="n">
        <f aca="false">SUM(E120:I120)</f>
        <v>437700</v>
      </c>
      <c r="K120" s="18"/>
      <c r="L120" s="15" t="n">
        <v>3040</v>
      </c>
      <c r="M120" s="13" t="s">
        <v>105</v>
      </c>
      <c r="N120" s="15" t="n">
        <v>0</v>
      </c>
      <c r="O120" s="15"/>
      <c r="P120" s="14" t="str">
        <f aca="false">IF(O120="","",O120+E120-L120-N120)</f>
        <v/>
      </c>
      <c r="Q120" s="15"/>
      <c r="R120" s="14" t="str">
        <f aca="false">IF(OR(Q120="",P120=""),"",Q120-P120)</f>
        <v/>
      </c>
      <c r="S120" s="19" t="str">
        <f aca="false">IF(R120="","",IF(ABS(R120)&lt;=Léeme!$B$12,"Cuadra",IF(R120&lt;0,"Faltante","Sobrante")))</f>
        <v/>
      </c>
      <c r="T120" s="13" t="s">
        <v>101</v>
      </c>
    </row>
    <row r="121" customFormat="false" ht="15" hidden="false" customHeight="false" outlineLevel="0" collapsed="false">
      <c r="A121" s="17" t="n">
        <v>45728</v>
      </c>
      <c r="B121" s="13" t="s">
        <v>28</v>
      </c>
      <c r="C121" s="13"/>
      <c r="D121" s="13" t="s">
        <v>100</v>
      </c>
      <c r="E121" s="15" t="n">
        <v>224670</v>
      </c>
      <c r="F121" s="15" t="n">
        <v>29910</v>
      </c>
      <c r="G121" s="15" t="n">
        <v>13230</v>
      </c>
      <c r="H121" s="15" t="n">
        <v>0</v>
      </c>
      <c r="I121" s="15" t="n">
        <v>22090</v>
      </c>
      <c r="J121" s="14" t="n">
        <f aca="false">SUM(E121:I121)</f>
        <v>289900</v>
      </c>
      <c r="K121" s="18"/>
      <c r="L121" s="15" t="n">
        <v>0</v>
      </c>
      <c r="M121" s="13"/>
      <c r="N121" s="15" t="n">
        <v>202000</v>
      </c>
      <c r="O121" s="15"/>
      <c r="P121" s="14" t="str">
        <f aca="false">IF(O121="","",O121+E121-L121-N121)</f>
        <v/>
      </c>
      <c r="Q121" s="15"/>
      <c r="R121" s="14" t="str">
        <f aca="false">IF(OR(Q121="",P121=""),"",Q121-P121)</f>
        <v/>
      </c>
      <c r="S121" s="19" t="str">
        <f aca="false">IF(R121="","",IF(ABS(R121)&lt;=Léeme!$B$12,"Cuadra",IF(R121&lt;0,"Faltante","Sobrante")))</f>
        <v/>
      </c>
      <c r="T121" s="13" t="s">
        <v>101</v>
      </c>
    </row>
    <row r="122" customFormat="false" ht="15" hidden="false" customHeight="false" outlineLevel="0" collapsed="false">
      <c r="A122" s="17" t="n">
        <v>45729</v>
      </c>
      <c r="B122" s="13" t="s">
        <v>27</v>
      </c>
      <c r="C122" s="13"/>
      <c r="D122" s="13" t="s">
        <v>100</v>
      </c>
      <c r="E122" s="15" t="n">
        <v>325940</v>
      </c>
      <c r="F122" s="15" t="n">
        <v>54520</v>
      </c>
      <c r="G122" s="15" t="n">
        <v>20500</v>
      </c>
      <c r="H122" s="15" t="n">
        <v>0</v>
      </c>
      <c r="I122" s="15" t="n">
        <v>36090</v>
      </c>
      <c r="J122" s="14" t="n">
        <f aca="false">SUM(E122:I122)</f>
        <v>437050</v>
      </c>
      <c r="K122" s="18"/>
      <c r="L122" s="15" t="n">
        <v>0</v>
      </c>
      <c r="M122" s="13"/>
      <c r="N122" s="15" t="n">
        <v>186000</v>
      </c>
      <c r="O122" s="15"/>
      <c r="P122" s="14" t="str">
        <f aca="false">IF(O122="","",O122+E122-L122-N122)</f>
        <v/>
      </c>
      <c r="Q122" s="15"/>
      <c r="R122" s="14" t="str">
        <f aca="false">IF(OR(Q122="",P122=""),"",Q122-P122)</f>
        <v/>
      </c>
      <c r="S122" s="19" t="str">
        <f aca="false">IF(R122="","",IF(ABS(R122)&lt;=Léeme!$B$12,"Cuadra",IF(R122&lt;0,"Faltante","Sobrante")))</f>
        <v/>
      </c>
      <c r="T122" s="13" t="s">
        <v>101</v>
      </c>
    </row>
    <row r="123" customFormat="false" ht="15" hidden="false" customHeight="false" outlineLevel="0" collapsed="false">
      <c r="A123" s="17" t="n">
        <v>45729</v>
      </c>
      <c r="B123" s="13" t="s">
        <v>28</v>
      </c>
      <c r="C123" s="13"/>
      <c r="D123" s="13" t="s">
        <v>100</v>
      </c>
      <c r="E123" s="15" t="n">
        <v>265050</v>
      </c>
      <c r="F123" s="15" t="n">
        <v>33690</v>
      </c>
      <c r="G123" s="15" t="n">
        <v>13740</v>
      </c>
      <c r="H123" s="15" t="n">
        <v>0</v>
      </c>
      <c r="I123" s="15" t="n">
        <v>26080</v>
      </c>
      <c r="J123" s="14" t="n">
        <f aca="false">SUM(E123:I123)</f>
        <v>338560</v>
      </c>
      <c r="K123" s="18"/>
      <c r="L123" s="15" t="n">
        <v>4400</v>
      </c>
      <c r="M123" s="13" t="s">
        <v>105</v>
      </c>
      <c r="N123" s="15" t="n">
        <v>0</v>
      </c>
      <c r="O123" s="15"/>
      <c r="P123" s="14" t="str">
        <f aca="false">IF(O123="","",O123+E123-L123-N123)</f>
        <v/>
      </c>
      <c r="Q123" s="15"/>
      <c r="R123" s="14" t="str">
        <f aca="false">IF(OR(Q123="",P123=""),"",Q123-P123)</f>
        <v/>
      </c>
      <c r="S123" s="19" t="str">
        <f aca="false">IF(R123="","",IF(ABS(R123)&lt;=Léeme!$B$12,"Cuadra",IF(R123&lt;0,"Faltante","Sobrante")))</f>
        <v/>
      </c>
      <c r="T123" s="13" t="s">
        <v>101</v>
      </c>
    </row>
    <row r="124" customFormat="false" ht="15" hidden="false" customHeight="false" outlineLevel="0" collapsed="false">
      <c r="A124" s="17" t="n">
        <v>45730</v>
      </c>
      <c r="B124" s="13" t="s">
        <v>27</v>
      </c>
      <c r="C124" s="13"/>
      <c r="D124" s="13" t="s">
        <v>100</v>
      </c>
      <c r="E124" s="15" t="n">
        <v>289440</v>
      </c>
      <c r="F124" s="15" t="n">
        <v>43980</v>
      </c>
      <c r="G124" s="15" t="n">
        <v>18400</v>
      </c>
      <c r="H124" s="15" t="n">
        <v>0</v>
      </c>
      <c r="I124" s="15" t="n">
        <v>32810</v>
      </c>
      <c r="J124" s="14" t="n">
        <f aca="false">SUM(E124:I124)</f>
        <v>384630</v>
      </c>
      <c r="K124" s="18"/>
      <c r="L124" s="15" t="n">
        <v>4630</v>
      </c>
      <c r="M124" s="13" t="s">
        <v>105</v>
      </c>
      <c r="N124" s="15" t="n">
        <v>154000</v>
      </c>
      <c r="O124" s="15"/>
      <c r="P124" s="14" t="str">
        <f aca="false">IF(O124="","",O124+E124-L124-N124)</f>
        <v/>
      </c>
      <c r="Q124" s="15"/>
      <c r="R124" s="14" t="str">
        <f aca="false">IF(OR(Q124="",P124=""),"",Q124-P124)</f>
        <v/>
      </c>
      <c r="S124" s="19" t="str">
        <f aca="false">IF(R124="","",IF(ABS(R124)&lt;=Léeme!$B$12,"Cuadra",IF(R124&lt;0,"Faltante","Sobrante")))</f>
        <v/>
      </c>
      <c r="T124" s="13" t="s">
        <v>101</v>
      </c>
    </row>
    <row r="125" customFormat="false" ht="15" hidden="false" customHeight="false" outlineLevel="0" collapsed="false">
      <c r="A125" s="17" t="n">
        <v>45730</v>
      </c>
      <c r="B125" s="13" t="s">
        <v>28</v>
      </c>
      <c r="C125" s="13"/>
      <c r="D125" s="13" t="s">
        <v>100</v>
      </c>
      <c r="E125" s="15" t="n">
        <v>232850</v>
      </c>
      <c r="F125" s="15" t="n">
        <v>37770</v>
      </c>
      <c r="G125" s="15" t="n">
        <v>14770</v>
      </c>
      <c r="H125" s="15" t="n">
        <v>0</v>
      </c>
      <c r="I125" s="15" t="n">
        <v>24360</v>
      </c>
      <c r="J125" s="14" t="n">
        <f aca="false">SUM(E125:I125)</f>
        <v>309750</v>
      </c>
      <c r="K125" s="18"/>
      <c r="L125" s="15" t="n">
        <v>0</v>
      </c>
      <c r="M125" s="13"/>
      <c r="N125" s="15" t="n">
        <v>0</v>
      </c>
      <c r="O125" s="15"/>
      <c r="P125" s="14" t="str">
        <f aca="false">IF(O125="","",O125+E125-L125-N125)</f>
        <v/>
      </c>
      <c r="Q125" s="15"/>
      <c r="R125" s="14" t="str">
        <f aca="false">IF(OR(Q125="",P125=""),"",Q125-P125)</f>
        <v/>
      </c>
      <c r="S125" s="19" t="str">
        <f aca="false">IF(R125="","",IF(ABS(R125)&lt;=Léeme!$B$12,"Cuadra",IF(R125&lt;0,"Faltante","Sobrante")))</f>
        <v/>
      </c>
      <c r="T125" s="13" t="s">
        <v>101</v>
      </c>
    </row>
    <row r="126" customFormat="false" ht="15" hidden="false" customHeight="false" outlineLevel="0" collapsed="false">
      <c r="A126" s="17" t="n">
        <v>45731</v>
      </c>
      <c r="B126" s="13" t="s">
        <v>27</v>
      </c>
      <c r="C126" s="13"/>
      <c r="D126" s="13" t="s">
        <v>100</v>
      </c>
      <c r="E126" s="15" t="n">
        <v>454830</v>
      </c>
      <c r="F126" s="15" t="n">
        <v>60870</v>
      </c>
      <c r="G126" s="15" t="n">
        <v>24890</v>
      </c>
      <c r="H126" s="15" t="n">
        <v>0</v>
      </c>
      <c r="I126" s="15" t="n">
        <v>52370</v>
      </c>
      <c r="J126" s="14" t="n">
        <f aca="false">SUM(E126:I126)</f>
        <v>592960</v>
      </c>
      <c r="K126" s="18"/>
      <c r="L126" s="15" t="n">
        <v>0</v>
      </c>
      <c r="M126" s="13"/>
      <c r="N126" s="15" t="n">
        <v>0</v>
      </c>
      <c r="O126" s="15"/>
      <c r="P126" s="14" t="str">
        <f aca="false">IF(O126="","",O126+E126-L126-N126)</f>
        <v/>
      </c>
      <c r="Q126" s="15"/>
      <c r="R126" s="14" t="str">
        <f aca="false">IF(OR(Q126="",P126=""),"",Q126-P126)</f>
        <v/>
      </c>
      <c r="S126" s="19" t="str">
        <f aca="false">IF(R126="","",IF(ABS(R126)&lt;=Léeme!$B$12,"Cuadra",IF(R126&lt;0,"Faltante","Sobrante")))</f>
        <v/>
      </c>
      <c r="T126" s="13" t="s">
        <v>101</v>
      </c>
    </row>
    <row r="127" customFormat="false" ht="15" hidden="false" customHeight="false" outlineLevel="0" collapsed="false">
      <c r="A127" s="17" t="n">
        <v>45731</v>
      </c>
      <c r="B127" s="13" t="s">
        <v>28</v>
      </c>
      <c r="C127" s="13"/>
      <c r="D127" s="13" t="s">
        <v>100</v>
      </c>
      <c r="E127" s="15" t="n">
        <v>321660</v>
      </c>
      <c r="F127" s="15" t="n">
        <v>55720</v>
      </c>
      <c r="G127" s="15" t="n">
        <v>21560</v>
      </c>
      <c r="H127" s="15" t="n">
        <v>0</v>
      </c>
      <c r="I127" s="15" t="n">
        <v>34980</v>
      </c>
      <c r="J127" s="14" t="n">
        <f aca="false">SUM(E127:I127)</f>
        <v>433920</v>
      </c>
      <c r="K127" s="18"/>
      <c r="L127" s="15" t="n">
        <v>25340</v>
      </c>
      <c r="M127" s="13" t="s">
        <v>103</v>
      </c>
      <c r="N127" s="15" t="n">
        <v>0</v>
      </c>
      <c r="O127" s="15"/>
      <c r="P127" s="14" t="str">
        <f aca="false">IF(O127="","",O127+E127-L127-N127)</f>
        <v/>
      </c>
      <c r="Q127" s="15"/>
      <c r="R127" s="14" t="str">
        <f aca="false">IF(OR(Q127="",P127=""),"",Q127-P127)</f>
        <v/>
      </c>
      <c r="S127" s="19" t="str">
        <f aca="false">IF(R127="","",IF(ABS(R127)&lt;=Léeme!$B$12,"Cuadra",IF(R127&lt;0,"Faltante","Sobrante")))</f>
        <v/>
      </c>
      <c r="T127" s="13" t="s">
        <v>101</v>
      </c>
    </row>
    <row r="128" customFormat="false" ht="15" hidden="false" customHeight="false" outlineLevel="0" collapsed="false">
      <c r="A128" s="17" t="n">
        <v>45732</v>
      </c>
      <c r="B128" s="13" t="s">
        <v>27</v>
      </c>
      <c r="C128" s="13"/>
      <c r="D128" s="13" t="s">
        <v>100</v>
      </c>
      <c r="E128" s="15" t="n">
        <v>777290</v>
      </c>
      <c r="F128" s="15" t="n">
        <v>96160</v>
      </c>
      <c r="G128" s="15" t="n">
        <v>43160</v>
      </c>
      <c r="H128" s="15" t="n">
        <v>0</v>
      </c>
      <c r="I128" s="15" t="n">
        <v>78890</v>
      </c>
      <c r="J128" s="14" t="n">
        <f aca="false">SUM(E128:I128)</f>
        <v>995500</v>
      </c>
      <c r="K128" s="18"/>
      <c r="L128" s="15" t="n">
        <v>9790</v>
      </c>
      <c r="M128" s="13" t="s">
        <v>103</v>
      </c>
      <c r="N128" s="15" t="n">
        <v>514000</v>
      </c>
      <c r="O128" s="15"/>
      <c r="P128" s="14" t="str">
        <f aca="false">IF(O128="","",O128+E128-L128-N128)</f>
        <v/>
      </c>
      <c r="Q128" s="15"/>
      <c r="R128" s="14" t="str">
        <f aca="false">IF(OR(Q128="",P128=""),"",Q128-P128)</f>
        <v/>
      </c>
      <c r="S128" s="19" t="str">
        <f aca="false">IF(R128="","",IF(ABS(R128)&lt;=Léeme!$B$12,"Cuadra",IF(R128&lt;0,"Faltante","Sobrante")))</f>
        <v/>
      </c>
      <c r="T128" s="13" t="s">
        <v>101</v>
      </c>
    </row>
    <row r="129" customFormat="false" ht="15" hidden="false" customHeight="false" outlineLevel="0" collapsed="false">
      <c r="A129" s="17" t="n">
        <v>45732</v>
      </c>
      <c r="B129" s="13" t="s">
        <v>28</v>
      </c>
      <c r="C129" s="13"/>
      <c r="D129" s="13" t="s">
        <v>100</v>
      </c>
      <c r="E129" s="15" t="n">
        <v>653160</v>
      </c>
      <c r="F129" s="15" t="n">
        <v>89110</v>
      </c>
      <c r="G129" s="15" t="n">
        <v>37120</v>
      </c>
      <c r="H129" s="15" t="n">
        <v>0</v>
      </c>
      <c r="I129" s="15" t="n">
        <v>71570</v>
      </c>
      <c r="J129" s="14" t="n">
        <f aca="false">SUM(E129:I129)</f>
        <v>850960</v>
      </c>
      <c r="K129" s="18"/>
      <c r="L129" s="15" t="n">
        <v>0</v>
      </c>
      <c r="M129" s="13"/>
      <c r="N129" s="15" t="n">
        <v>0</v>
      </c>
      <c r="O129" s="15"/>
      <c r="P129" s="14" t="str">
        <f aca="false">IF(O129="","",O129+E129-L129-N129)</f>
        <v/>
      </c>
      <c r="Q129" s="15"/>
      <c r="R129" s="14" t="str">
        <f aca="false">IF(OR(Q129="",P129=""),"",Q129-P129)</f>
        <v/>
      </c>
      <c r="S129" s="19" t="str">
        <f aca="false">IF(R129="","",IF(ABS(R129)&lt;=Léeme!$B$12,"Cuadra",IF(R129&lt;0,"Faltante","Sobrante")))</f>
        <v/>
      </c>
      <c r="T129" s="13" t="s">
        <v>101</v>
      </c>
    </row>
    <row r="130" customFormat="false" ht="15" hidden="false" customHeight="false" outlineLevel="0" collapsed="false">
      <c r="A130" s="17" t="n">
        <v>45734</v>
      </c>
      <c r="B130" s="13" t="s">
        <v>27</v>
      </c>
      <c r="C130" s="13"/>
      <c r="D130" s="13" t="s">
        <v>100</v>
      </c>
      <c r="E130" s="15" t="n">
        <v>337980</v>
      </c>
      <c r="F130" s="15" t="n">
        <v>43120</v>
      </c>
      <c r="G130" s="15" t="n">
        <v>17870</v>
      </c>
      <c r="H130" s="15" t="n">
        <v>0</v>
      </c>
      <c r="I130" s="15" t="n">
        <v>32940</v>
      </c>
      <c r="J130" s="14" t="n">
        <f aca="false">SUM(E130:I130)</f>
        <v>431910</v>
      </c>
      <c r="K130" s="18"/>
      <c r="L130" s="15" t="n">
        <v>4520</v>
      </c>
      <c r="M130" s="13" t="s">
        <v>105</v>
      </c>
      <c r="N130" s="15" t="n">
        <v>0</v>
      </c>
      <c r="O130" s="15"/>
      <c r="P130" s="14" t="str">
        <f aca="false">IF(O130="","",O130+E130-L130-N130)</f>
        <v/>
      </c>
      <c r="Q130" s="15"/>
      <c r="R130" s="14" t="str">
        <f aca="false">IF(OR(Q130="",P130=""),"",Q130-P130)</f>
        <v/>
      </c>
      <c r="S130" s="19" t="str">
        <f aca="false">IF(R130="","",IF(ABS(R130)&lt;=Léeme!$B$12,"Cuadra",IF(R130&lt;0,"Faltante","Sobrante")))</f>
        <v/>
      </c>
      <c r="T130" s="13" t="s">
        <v>101</v>
      </c>
    </row>
    <row r="131" customFormat="false" ht="15" hidden="false" customHeight="false" outlineLevel="0" collapsed="false">
      <c r="A131" s="17" t="n">
        <v>45734</v>
      </c>
      <c r="B131" s="13" t="s">
        <v>28</v>
      </c>
      <c r="C131" s="13"/>
      <c r="D131" s="13" t="s">
        <v>100</v>
      </c>
      <c r="E131" s="15" t="n">
        <v>250920</v>
      </c>
      <c r="F131" s="15" t="n">
        <v>32980</v>
      </c>
      <c r="G131" s="15" t="n">
        <v>13130</v>
      </c>
      <c r="H131" s="15" t="n">
        <v>0</v>
      </c>
      <c r="I131" s="15" t="n">
        <v>23340</v>
      </c>
      <c r="J131" s="14" t="n">
        <f aca="false">SUM(E131:I131)</f>
        <v>320370</v>
      </c>
      <c r="K131" s="18"/>
      <c r="L131" s="15" t="n">
        <v>0</v>
      </c>
      <c r="M131" s="13"/>
      <c r="N131" s="15" t="n">
        <v>0</v>
      </c>
      <c r="O131" s="15"/>
      <c r="P131" s="14" t="str">
        <f aca="false">IF(O131="","",O131+E131-L131-N131)</f>
        <v/>
      </c>
      <c r="Q131" s="15"/>
      <c r="R131" s="14" t="str">
        <f aca="false">IF(OR(Q131="",P131=""),"",Q131-P131)</f>
        <v/>
      </c>
      <c r="S131" s="19" t="str">
        <f aca="false">IF(R131="","",IF(ABS(R131)&lt;=Léeme!$B$12,"Cuadra",IF(R131&lt;0,"Faltante","Sobrante")))</f>
        <v/>
      </c>
      <c r="T131" s="13" t="s">
        <v>101</v>
      </c>
    </row>
    <row r="132" customFormat="false" ht="15" hidden="false" customHeight="false" outlineLevel="0" collapsed="false">
      <c r="A132" s="17" t="n">
        <v>45735</v>
      </c>
      <c r="B132" s="13" t="s">
        <v>27</v>
      </c>
      <c r="C132" s="13"/>
      <c r="D132" s="13" t="s">
        <v>100</v>
      </c>
      <c r="E132" s="15" t="n">
        <v>300530</v>
      </c>
      <c r="F132" s="15" t="n">
        <v>44530</v>
      </c>
      <c r="G132" s="15" t="n">
        <v>18850</v>
      </c>
      <c r="H132" s="15" t="n">
        <v>0</v>
      </c>
      <c r="I132" s="15" t="n">
        <v>35100</v>
      </c>
      <c r="J132" s="14" t="n">
        <f aca="false">SUM(E132:I132)</f>
        <v>399010</v>
      </c>
      <c r="K132" s="18"/>
      <c r="L132" s="15" t="n">
        <v>0</v>
      </c>
      <c r="M132" s="13"/>
      <c r="N132" s="15" t="n">
        <v>0</v>
      </c>
      <c r="O132" s="15"/>
      <c r="P132" s="14" t="str">
        <f aca="false">IF(O132="","",O132+E132-L132-N132)</f>
        <v/>
      </c>
      <c r="Q132" s="15"/>
      <c r="R132" s="14" t="str">
        <f aca="false">IF(OR(Q132="",P132=""),"",Q132-P132)</f>
        <v/>
      </c>
      <c r="S132" s="19" t="str">
        <f aca="false">IF(R132="","",IF(ABS(R132)&lt;=Léeme!$B$12,"Cuadra",IF(R132&lt;0,"Faltante","Sobrante")))</f>
        <v/>
      </c>
      <c r="T132" s="13" t="s">
        <v>101</v>
      </c>
    </row>
    <row r="133" customFormat="false" ht="15" hidden="false" customHeight="false" outlineLevel="0" collapsed="false">
      <c r="A133" s="17" t="n">
        <v>45735</v>
      </c>
      <c r="B133" s="13" t="s">
        <v>28</v>
      </c>
      <c r="C133" s="13"/>
      <c r="D133" s="13" t="s">
        <v>100</v>
      </c>
      <c r="E133" s="15" t="n">
        <v>238090</v>
      </c>
      <c r="F133" s="15" t="n">
        <v>38530</v>
      </c>
      <c r="G133" s="15" t="n">
        <v>16280</v>
      </c>
      <c r="H133" s="15" t="n">
        <v>0</v>
      </c>
      <c r="I133" s="15" t="n">
        <v>26680</v>
      </c>
      <c r="J133" s="14" t="n">
        <f aca="false">SUM(E133:I133)</f>
        <v>319580</v>
      </c>
      <c r="K133" s="18"/>
      <c r="L133" s="15" t="n">
        <v>0</v>
      </c>
      <c r="M133" s="13"/>
      <c r="N133" s="15" t="n">
        <v>0</v>
      </c>
      <c r="O133" s="15"/>
      <c r="P133" s="14" t="str">
        <f aca="false">IF(O133="","",O133+E133-L133-N133)</f>
        <v/>
      </c>
      <c r="Q133" s="15"/>
      <c r="R133" s="14" t="str">
        <f aca="false">IF(OR(Q133="",P133=""),"",Q133-P133)</f>
        <v/>
      </c>
      <c r="S133" s="19" t="str">
        <f aca="false">IF(R133="","",IF(ABS(R133)&lt;=Léeme!$B$12,"Cuadra",IF(R133&lt;0,"Faltante","Sobrante")))</f>
        <v/>
      </c>
      <c r="T133" s="13" t="s">
        <v>101</v>
      </c>
    </row>
    <row r="134" customFormat="false" ht="15" hidden="false" customHeight="false" outlineLevel="0" collapsed="false">
      <c r="A134" s="17" t="n">
        <v>45736</v>
      </c>
      <c r="B134" s="13" t="s">
        <v>27</v>
      </c>
      <c r="C134" s="13"/>
      <c r="D134" s="13" t="s">
        <v>100</v>
      </c>
      <c r="E134" s="15" t="n">
        <v>267360</v>
      </c>
      <c r="F134" s="15" t="n">
        <v>41240</v>
      </c>
      <c r="G134" s="15" t="n">
        <v>15630</v>
      </c>
      <c r="H134" s="15" t="n">
        <v>0</v>
      </c>
      <c r="I134" s="15" t="n">
        <v>29210</v>
      </c>
      <c r="J134" s="14" t="n">
        <f aca="false">SUM(E134:I134)</f>
        <v>353440</v>
      </c>
      <c r="K134" s="18"/>
      <c r="L134" s="15" t="n">
        <v>9370</v>
      </c>
      <c r="M134" s="13" t="s">
        <v>103</v>
      </c>
      <c r="N134" s="15" t="n">
        <v>207000</v>
      </c>
      <c r="O134" s="15"/>
      <c r="P134" s="14" t="str">
        <f aca="false">IF(O134="","",O134+E134-L134-N134)</f>
        <v/>
      </c>
      <c r="Q134" s="15"/>
      <c r="R134" s="14" t="str">
        <f aca="false">IF(OR(Q134="",P134=""),"",Q134-P134)</f>
        <v/>
      </c>
      <c r="S134" s="19" t="str">
        <f aca="false">IF(R134="","",IF(ABS(R134)&lt;=Léeme!$B$12,"Cuadra",IF(R134&lt;0,"Faltante","Sobrante")))</f>
        <v/>
      </c>
      <c r="T134" s="13" t="s">
        <v>101</v>
      </c>
    </row>
    <row r="135" customFormat="false" ht="15" hidden="false" customHeight="false" outlineLevel="0" collapsed="false">
      <c r="A135" s="17" t="n">
        <v>45736</v>
      </c>
      <c r="B135" s="13" t="s">
        <v>28</v>
      </c>
      <c r="C135" s="13"/>
      <c r="D135" s="13" t="s">
        <v>100</v>
      </c>
      <c r="E135" s="15" t="n">
        <v>245250</v>
      </c>
      <c r="F135" s="15" t="n">
        <v>35500</v>
      </c>
      <c r="G135" s="15" t="n">
        <v>14960</v>
      </c>
      <c r="H135" s="15" t="n">
        <v>0</v>
      </c>
      <c r="I135" s="15" t="n">
        <v>25800</v>
      </c>
      <c r="J135" s="14" t="n">
        <f aca="false">SUM(E135:I135)</f>
        <v>321510</v>
      </c>
      <c r="K135" s="18"/>
      <c r="L135" s="15" t="n">
        <v>5910</v>
      </c>
      <c r="M135" s="13" t="s">
        <v>102</v>
      </c>
      <c r="N135" s="15" t="n">
        <v>131000</v>
      </c>
      <c r="O135" s="15"/>
      <c r="P135" s="14" t="str">
        <f aca="false">IF(O135="","",O135+E135-L135-N135)</f>
        <v/>
      </c>
      <c r="Q135" s="15"/>
      <c r="R135" s="14" t="str">
        <f aca="false">IF(OR(Q135="",P135=""),"",Q135-P135)</f>
        <v/>
      </c>
      <c r="S135" s="19" t="str">
        <f aca="false">IF(R135="","",IF(ABS(R135)&lt;=Léeme!$B$12,"Cuadra",IF(R135&lt;0,"Faltante","Sobrante")))</f>
        <v/>
      </c>
      <c r="T135" s="13" t="s">
        <v>101</v>
      </c>
    </row>
    <row r="136" customFormat="false" ht="15" hidden="false" customHeight="false" outlineLevel="0" collapsed="false">
      <c r="A136" s="17" t="n">
        <v>45737</v>
      </c>
      <c r="B136" s="13" t="s">
        <v>27</v>
      </c>
      <c r="C136" s="13"/>
      <c r="D136" s="13" t="s">
        <v>100</v>
      </c>
      <c r="E136" s="15" t="n">
        <v>310030</v>
      </c>
      <c r="F136" s="15" t="n">
        <v>42200</v>
      </c>
      <c r="G136" s="15" t="n">
        <v>20700</v>
      </c>
      <c r="H136" s="15" t="n">
        <v>0</v>
      </c>
      <c r="I136" s="15" t="n">
        <v>35880</v>
      </c>
      <c r="J136" s="14" t="n">
        <f aca="false">SUM(E136:I136)</f>
        <v>408810</v>
      </c>
      <c r="K136" s="18"/>
      <c r="L136" s="15" t="n">
        <v>0</v>
      </c>
      <c r="M136" s="13"/>
      <c r="N136" s="15" t="n">
        <v>0</v>
      </c>
      <c r="O136" s="15"/>
      <c r="P136" s="14" t="str">
        <f aca="false">IF(O136="","",O136+E136-L136-N136)</f>
        <v/>
      </c>
      <c r="Q136" s="15"/>
      <c r="R136" s="14" t="str">
        <f aca="false">IF(OR(Q136="",P136=""),"",Q136-P136)</f>
        <v/>
      </c>
      <c r="S136" s="19" t="str">
        <f aca="false">IF(R136="","",IF(ABS(R136)&lt;=Léeme!$B$12,"Cuadra",IF(R136&lt;0,"Faltante","Sobrante")))</f>
        <v/>
      </c>
      <c r="T136" s="13" t="s">
        <v>101</v>
      </c>
    </row>
    <row r="137" customFormat="false" ht="15" hidden="false" customHeight="false" outlineLevel="0" collapsed="false">
      <c r="A137" s="17" t="n">
        <v>45737</v>
      </c>
      <c r="B137" s="13" t="s">
        <v>28</v>
      </c>
      <c r="C137" s="13"/>
      <c r="D137" s="13" t="s">
        <v>100</v>
      </c>
      <c r="E137" s="15" t="n">
        <v>252970</v>
      </c>
      <c r="F137" s="15" t="n">
        <v>35380</v>
      </c>
      <c r="G137" s="15" t="n">
        <v>15390</v>
      </c>
      <c r="H137" s="15" t="n">
        <v>0</v>
      </c>
      <c r="I137" s="15" t="n">
        <v>26600</v>
      </c>
      <c r="J137" s="14" t="n">
        <f aca="false">SUM(E137:I137)</f>
        <v>330340</v>
      </c>
      <c r="K137" s="18"/>
      <c r="L137" s="15" t="n">
        <v>12510</v>
      </c>
      <c r="M137" s="13" t="s">
        <v>102</v>
      </c>
      <c r="N137" s="15" t="n">
        <v>0</v>
      </c>
      <c r="O137" s="15"/>
      <c r="P137" s="14" t="str">
        <f aca="false">IF(O137="","",O137+E137-L137-N137)</f>
        <v/>
      </c>
      <c r="Q137" s="15"/>
      <c r="R137" s="14" t="str">
        <f aca="false">IF(OR(Q137="",P137=""),"",Q137-P137)</f>
        <v/>
      </c>
      <c r="S137" s="19" t="str">
        <f aca="false">IF(R137="","",IF(ABS(R137)&lt;=Léeme!$B$12,"Cuadra",IF(R137&lt;0,"Faltante","Sobrante")))</f>
        <v/>
      </c>
      <c r="T137" s="13" t="s">
        <v>101</v>
      </c>
    </row>
    <row r="138" customFormat="false" ht="15" hidden="false" customHeight="false" outlineLevel="0" collapsed="false">
      <c r="A138" s="17" t="n">
        <v>45738</v>
      </c>
      <c r="B138" s="13" t="s">
        <v>27</v>
      </c>
      <c r="C138" s="13"/>
      <c r="D138" s="13" t="s">
        <v>100</v>
      </c>
      <c r="E138" s="15" t="n">
        <v>443960</v>
      </c>
      <c r="F138" s="15" t="n">
        <v>57540</v>
      </c>
      <c r="G138" s="15" t="n">
        <v>24840</v>
      </c>
      <c r="H138" s="15" t="n">
        <v>0</v>
      </c>
      <c r="I138" s="15" t="n">
        <v>47830</v>
      </c>
      <c r="J138" s="14" t="n">
        <f aca="false">SUM(E138:I138)</f>
        <v>574170</v>
      </c>
      <c r="K138" s="18"/>
      <c r="L138" s="15" t="n">
        <v>0</v>
      </c>
      <c r="M138" s="13"/>
      <c r="N138" s="15" t="n">
        <v>0</v>
      </c>
      <c r="O138" s="15"/>
      <c r="P138" s="14" t="str">
        <f aca="false">IF(O138="","",O138+E138-L138-N138)</f>
        <v/>
      </c>
      <c r="Q138" s="15"/>
      <c r="R138" s="14" t="str">
        <f aca="false">IF(OR(Q138="",P138=""),"",Q138-P138)</f>
        <v/>
      </c>
      <c r="S138" s="19" t="str">
        <f aca="false">IF(R138="","",IF(ABS(R138)&lt;=Léeme!$B$12,"Cuadra",IF(R138&lt;0,"Faltante","Sobrante")))</f>
        <v/>
      </c>
      <c r="T138" s="13" t="s">
        <v>101</v>
      </c>
    </row>
    <row r="139" customFormat="false" ht="15" hidden="false" customHeight="false" outlineLevel="0" collapsed="false">
      <c r="A139" s="17" t="n">
        <v>45738</v>
      </c>
      <c r="B139" s="13" t="s">
        <v>28</v>
      </c>
      <c r="C139" s="13"/>
      <c r="D139" s="13" t="s">
        <v>100</v>
      </c>
      <c r="E139" s="15" t="n">
        <v>342540</v>
      </c>
      <c r="F139" s="15" t="n">
        <v>52400</v>
      </c>
      <c r="G139" s="15" t="n">
        <v>20710</v>
      </c>
      <c r="H139" s="15" t="n">
        <v>0</v>
      </c>
      <c r="I139" s="15" t="n">
        <v>36560</v>
      </c>
      <c r="J139" s="14" t="n">
        <f aca="false">SUM(E139:I139)</f>
        <v>452210</v>
      </c>
      <c r="K139" s="18"/>
      <c r="L139" s="15" t="n">
        <v>0</v>
      </c>
      <c r="M139" s="13"/>
      <c r="N139" s="15" t="n">
        <v>216000</v>
      </c>
      <c r="O139" s="15"/>
      <c r="P139" s="14" t="str">
        <f aca="false">IF(O139="","",O139+E139-L139-N139)</f>
        <v/>
      </c>
      <c r="Q139" s="15"/>
      <c r="R139" s="14" t="str">
        <f aca="false">IF(OR(Q139="",P139=""),"",Q139-P139)</f>
        <v/>
      </c>
      <c r="S139" s="19" t="str">
        <f aca="false">IF(R139="","",IF(ABS(R139)&lt;=Léeme!$B$12,"Cuadra",IF(R139&lt;0,"Faltante","Sobrante")))</f>
        <v/>
      </c>
      <c r="T139" s="13" t="s">
        <v>101</v>
      </c>
    </row>
    <row r="140" customFormat="false" ht="15" hidden="false" customHeight="false" outlineLevel="0" collapsed="false">
      <c r="A140" s="17" t="n">
        <v>45739</v>
      </c>
      <c r="B140" s="13" t="s">
        <v>27</v>
      </c>
      <c r="C140" s="13"/>
      <c r="D140" s="13" t="s">
        <v>100</v>
      </c>
      <c r="E140" s="15" t="n">
        <v>730030</v>
      </c>
      <c r="F140" s="15" t="n">
        <v>93880</v>
      </c>
      <c r="G140" s="15" t="n">
        <v>44240</v>
      </c>
      <c r="H140" s="15" t="n">
        <v>0</v>
      </c>
      <c r="I140" s="15" t="n">
        <v>71450</v>
      </c>
      <c r="J140" s="14" t="n">
        <f aca="false">SUM(E140:I140)</f>
        <v>939600</v>
      </c>
      <c r="K140" s="18"/>
      <c r="L140" s="15" t="n">
        <v>0</v>
      </c>
      <c r="M140" s="13"/>
      <c r="N140" s="15" t="n">
        <v>0</v>
      </c>
      <c r="O140" s="15"/>
      <c r="P140" s="14" t="str">
        <f aca="false">IF(O140="","",O140+E140-L140-N140)</f>
        <v/>
      </c>
      <c r="Q140" s="15"/>
      <c r="R140" s="14" t="str">
        <f aca="false">IF(OR(Q140="",P140=""),"",Q140-P140)</f>
        <v/>
      </c>
      <c r="S140" s="19" t="str">
        <f aca="false">IF(R140="","",IF(ABS(R140)&lt;=Léeme!$B$12,"Cuadra",IF(R140&lt;0,"Faltante","Sobrante")))</f>
        <v/>
      </c>
      <c r="T140" s="13" t="s">
        <v>101</v>
      </c>
    </row>
    <row r="141" customFormat="false" ht="15" hidden="false" customHeight="false" outlineLevel="0" collapsed="false">
      <c r="A141" s="17" t="n">
        <v>45739</v>
      </c>
      <c r="B141" s="13" t="s">
        <v>28</v>
      </c>
      <c r="C141" s="13"/>
      <c r="D141" s="13" t="s">
        <v>100</v>
      </c>
      <c r="E141" s="15" t="n">
        <v>621240</v>
      </c>
      <c r="F141" s="15" t="n">
        <v>100700</v>
      </c>
      <c r="G141" s="15" t="n">
        <v>34610</v>
      </c>
      <c r="H141" s="15" t="n">
        <v>0</v>
      </c>
      <c r="I141" s="15" t="n">
        <v>63770</v>
      </c>
      <c r="J141" s="14" t="n">
        <f aca="false">SUM(E141:I141)</f>
        <v>820320</v>
      </c>
      <c r="K141" s="18"/>
      <c r="L141" s="15" t="n">
        <v>0</v>
      </c>
      <c r="M141" s="13"/>
      <c r="N141" s="15" t="n">
        <v>0</v>
      </c>
      <c r="O141" s="15"/>
      <c r="P141" s="14" t="str">
        <f aca="false">IF(O141="","",O141+E141-L141-N141)</f>
        <v/>
      </c>
      <c r="Q141" s="15"/>
      <c r="R141" s="14" t="str">
        <f aca="false">IF(OR(Q141="",P141=""),"",Q141-P141)</f>
        <v/>
      </c>
      <c r="S141" s="19" t="str">
        <f aca="false">IF(R141="","",IF(ABS(R141)&lt;=Léeme!$B$12,"Cuadra",IF(R141&lt;0,"Faltante","Sobrante")))</f>
        <v/>
      </c>
      <c r="T141" s="13" t="s">
        <v>101</v>
      </c>
    </row>
    <row r="142" customFormat="false" ht="15" hidden="false" customHeight="false" outlineLevel="0" collapsed="false">
      <c r="A142" s="17" t="n">
        <v>45741</v>
      </c>
      <c r="B142" s="13" t="s">
        <v>27</v>
      </c>
      <c r="C142" s="13"/>
      <c r="D142" s="13" t="s">
        <v>100</v>
      </c>
      <c r="E142" s="15" t="n">
        <v>279990</v>
      </c>
      <c r="F142" s="15" t="n">
        <v>44070</v>
      </c>
      <c r="G142" s="15" t="n">
        <v>17900</v>
      </c>
      <c r="H142" s="15" t="n">
        <v>0</v>
      </c>
      <c r="I142" s="15" t="n">
        <v>31740</v>
      </c>
      <c r="J142" s="14" t="n">
        <f aca="false">SUM(E142:I142)</f>
        <v>373700</v>
      </c>
      <c r="K142" s="18"/>
      <c r="L142" s="15" t="n">
        <v>0</v>
      </c>
      <c r="M142" s="13"/>
      <c r="N142" s="15" t="n">
        <v>0</v>
      </c>
      <c r="O142" s="15"/>
      <c r="P142" s="14" t="str">
        <f aca="false">IF(O142="","",O142+E142-L142-N142)</f>
        <v/>
      </c>
      <c r="Q142" s="15"/>
      <c r="R142" s="14" t="str">
        <f aca="false">IF(OR(Q142="",P142=""),"",Q142-P142)</f>
        <v/>
      </c>
      <c r="S142" s="19" t="str">
        <f aca="false">IF(R142="","",IF(ABS(R142)&lt;=Léeme!$B$12,"Cuadra",IF(R142&lt;0,"Faltante","Sobrante")))</f>
        <v/>
      </c>
      <c r="T142" s="13" t="s">
        <v>101</v>
      </c>
    </row>
    <row r="143" customFormat="false" ht="15" hidden="false" customHeight="false" outlineLevel="0" collapsed="false">
      <c r="A143" s="17" t="n">
        <v>45741</v>
      </c>
      <c r="B143" s="13" t="s">
        <v>28</v>
      </c>
      <c r="C143" s="13"/>
      <c r="D143" s="13" t="s">
        <v>100</v>
      </c>
      <c r="E143" s="15" t="n">
        <v>213950</v>
      </c>
      <c r="F143" s="15" t="n">
        <v>29620</v>
      </c>
      <c r="G143" s="15" t="n">
        <v>13910</v>
      </c>
      <c r="H143" s="15" t="n">
        <v>0</v>
      </c>
      <c r="I143" s="15" t="n">
        <v>24490</v>
      </c>
      <c r="J143" s="14" t="n">
        <f aca="false">SUM(E143:I143)</f>
        <v>281970</v>
      </c>
      <c r="K143" s="18"/>
      <c r="L143" s="15" t="n">
        <v>0</v>
      </c>
      <c r="M143" s="13"/>
      <c r="N143" s="15" t="n">
        <v>172000</v>
      </c>
      <c r="O143" s="15"/>
      <c r="P143" s="14" t="str">
        <f aca="false">IF(O143="","",O143+E143-L143-N143)</f>
        <v/>
      </c>
      <c r="Q143" s="15"/>
      <c r="R143" s="14" t="str">
        <f aca="false">IF(OR(Q143="",P143=""),"",Q143-P143)</f>
        <v/>
      </c>
      <c r="S143" s="19" t="str">
        <f aca="false">IF(R143="","",IF(ABS(R143)&lt;=Léeme!$B$12,"Cuadra",IF(R143&lt;0,"Faltante","Sobrante")))</f>
        <v/>
      </c>
      <c r="T143" s="13" t="s">
        <v>101</v>
      </c>
    </row>
    <row r="144" customFormat="false" ht="15" hidden="false" customHeight="false" outlineLevel="0" collapsed="false">
      <c r="A144" s="17" t="n">
        <v>45742</v>
      </c>
      <c r="B144" s="13" t="s">
        <v>27</v>
      </c>
      <c r="C144" s="13"/>
      <c r="D144" s="13" t="s">
        <v>100</v>
      </c>
      <c r="E144" s="15" t="n">
        <v>304160</v>
      </c>
      <c r="F144" s="15" t="n">
        <v>48300</v>
      </c>
      <c r="G144" s="15" t="n">
        <v>17370</v>
      </c>
      <c r="H144" s="15" t="n">
        <v>0</v>
      </c>
      <c r="I144" s="15" t="n">
        <v>33210</v>
      </c>
      <c r="J144" s="14" t="n">
        <f aca="false">SUM(E144:I144)</f>
        <v>403040</v>
      </c>
      <c r="K144" s="18"/>
      <c r="L144" s="15" t="n">
        <v>0</v>
      </c>
      <c r="M144" s="13"/>
      <c r="N144" s="15" t="n">
        <v>0</v>
      </c>
      <c r="O144" s="15"/>
      <c r="P144" s="14" t="str">
        <f aca="false">IF(O144="","",O144+E144-L144-N144)</f>
        <v/>
      </c>
      <c r="Q144" s="15"/>
      <c r="R144" s="14" t="str">
        <f aca="false">IF(OR(Q144="",P144=""),"",Q144-P144)</f>
        <v/>
      </c>
      <c r="S144" s="19" t="str">
        <f aca="false">IF(R144="","",IF(ABS(R144)&lt;=Léeme!$B$12,"Cuadra",IF(R144&lt;0,"Faltante","Sobrante")))</f>
        <v/>
      </c>
      <c r="T144" s="13" t="s">
        <v>101</v>
      </c>
    </row>
    <row r="145" customFormat="false" ht="15" hidden="false" customHeight="false" outlineLevel="0" collapsed="false">
      <c r="A145" s="17" t="n">
        <v>45742</v>
      </c>
      <c r="B145" s="13" t="s">
        <v>28</v>
      </c>
      <c r="C145" s="13"/>
      <c r="D145" s="13" t="s">
        <v>100</v>
      </c>
      <c r="E145" s="15" t="n">
        <v>234650</v>
      </c>
      <c r="F145" s="15" t="n">
        <v>31310</v>
      </c>
      <c r="G145" s="15" t="n">
        <v>13740</v>
      </c>
      <c r="H145" s="15" t="n">
        <v>0</v>
      </c>
      <c r="I145" s="15" t="n">
        <v>25230</v>
      </c>
      <c r="J145" s="14" t="n">
        <f aca="false">SUM(E145:I145)</f>
        <v>304930</v>
      </c>
      <c r="K145" s="18"/>
      <c r="L145" s="15" t="n">
        <v>2410</v>
      </c>
      <c r="M145" s="13" t="s">
        <v>105</v>
      </c>
      <c r="N145" s="15" t="n">
        <v>0</v>
      </c>
      <c r="O145" s="15"/>
      <c r="P145" s="14" t="str">
        <f aca="false">IF(O145="","",O145+E145-L145-N145)</f>
        <v/>
      </c>
      <c r="Q145" s="15"/>
      <c r="R145" s="14" t="str">
        <f aca="false">IF(OR(Q145="",P145=""),"",Q145-P145)</f>
        <v/>
      </c>
      <c r="S145" s="19" t="str">
        <f aca="false">IF(R145="","",IF(ABS(R145)&lt;=Léeme!$B$12,"Cuadra",IF(R145&lt;0,"Faltante","Sobrante")))</f>
        <v/>
      </c>
      <c r="T145" s="13" t="s">
        <v>101</v>
      </c>
    </row>
    <row r="146" customFormat="false" ht="15" hidden="false" customHeight="false" outlineLevel="0" collapsed="false">
      <c r="A146" s="17" t="n">
        <v>45743</v>
      </c>
      <c r="B146" s="13" t="s">
        <v>27</v>
      </c>
      <c r="C146" s="13"/>
      <c r="D146" s="13" t="s">
        <v>100</v>
      </c>
      <c r="E146" s="15" t="n">
        <v>309690</v>
      </c>
      <c r="F146" s="15" t="n">
        <v>43670</v>
      </c>
      <c r="G146" s="15" t="n">
        <v>16920</v>
      </c>
      <c r="H146" s="15" t="n">
        <v>0</v>
      </c>
      <c r="I146" s="15" t="n">
        <v>30710</v>
      </c>
      <c r="J146" s="14" t="n">
        <f aca="false">SUM(E146:I146)</f>
        <v>400990</v>
      </c>
      <c r="K146" s="18"/>
      <c r="L146" s="15" t="n">
        <v>0</v>
      </c>
      <c r="M146" s="13"/>
      <c r="N146" s="15" t="n">
        <v>0</v>
      </c>
      <c r="O146" s="15"/>
      <c r="P146" s="14" t="str">
        <f aca="false">IF(O146="","",O146+E146-L146-N146)</f>
        <v/>
      </c>
      <c r="Q146" s="15"/>
      <c r="R146" s="14" t="str">
        <f aca="false">IF(OR(Q146="",P146=""),"",Q146-P146)</f>
        <v/>
      </c>
      <c r="S146" s="19" t="str">
        <f aca="false">IF(R146="","",IF(ABS(R146)&lt;=Léeme!$B$12,"Cuadra",IF(R146&lt;0,"Faltante","Sobrante")))</f>
        <v/>
      </c>
      <c r="T146" s="13" t="s">
        <v>101</v>
      </c>
    </row>
    <row r="147" customFormat="false" ht="15" hidden="false" customHeight="false" outlineLevel="0" collapsed="false">
      <c r="A147" s="17" t="n">
        <v>45743</v>
      </c>
      <c r="B147" s="13" t="s">
        <v>28</v>
      </c>
      <c r="C147" s="13"/>
      <c r="D147" s="13" t="s">
        <v>100</v>
      </c>
      <c r="E147" s="15" t="n">
        <v>208590</v>
      </c>
      <c r="F147" s="15" t="n">
        <v>36150</v>
      </c>
      <c r="G147" s="15" t="n">
        <v>13030</v>
      </c>
      <c r="H147" s="15" t="n">
        <v>0</v>
      </c>
      <c r="I147" s="15" t="n">
        <v>27690</v>
      </c>
      <c r="J147" s="14" t="n">
        <f aca="false">SUM(E147:I147)</f>
        <v>285460</v>
      </c>
      <c r="K147" s="18"/>
      <c r="L147" s="15" t="n">
        <v>0</v>
      </c>
      <c r="M147" s="13"/>
      <c r="N147" s="15" t="n">
        <v>0</v>
      </c>
      <c r="O147" s="15"/>
      <c r="P147" s="14" t="str">
        <f aca="false">IF(O147="","",O147+E147-L147-N147)</f>
        <v/>
      </c>
      <c r="Q147" s="15"/>
      <c r="R147" s="14" t="str">
        <f aca="false">IF(OR(Q147="",P147=""),"",Q147-P147)</f>
        <v/>
      </c>
      <c r="S147" s="19" t="str">
        <f aca="false">IF(R147="","",IF(ABS(R147)&lt;=Léeme!$B$12,"Cuadra",IF(R147&lt;0,"Faltante","Sobrante")))</f>
        <v/>
      </c>
      <c r="T147" s="13" t="s">
        <v>101</v>
      </c>
    </row>
    <row r="148" customFormat="false" ht="15" hidden="false" customHeight="false" outlineLevel="0" collapsed="false">
      <c r="A148" s="17" t="n">
        <v>45744</v>
      </c>
      <c r="B148" s="13" t="s">
        <v>27</v>
      </c>
      <c r="C148" s="13"/>
      <c r="D148" s="13" t="s">
        <v>100</v>
      </c>
      <c r="E148" s="15" t="n">
        <v>270070</v>
      </c>
      <c r="F148" s="15" t="n">
        <v>39270</v>
      </c>
      <c r="G148" s="15" t="n">
        <v>15320</v>
      </c>
      <c r="H148" s="15" t="n">
        <v>0</v>
      </c>
      <c r="I148" s="15" t="n">
        <v>27390</v>
      </c>
      <c r="J148" s="14" t="n">
        <f aca="false">SUM(E148:I148)</f>
        <v>352050</v>
      </c>
      <c r="K148" s="18"/>
      <c r="L148" s="15" t="n">
        <v>0</v>
      </c>
      <c r="M148" s="13"/>
      <c r="N148" s="15" t="n">
        <v>0</v>
      </c>
      <c r="O148" s="15"/>
      <c r="P148" s="14" t="str">
        <f aca="false">IF(O148="","",O148+E148-L148-N148)</f>
        <v/>
      </c>
      <c r="Q148" s="15"/>
      <c r="R148" s="14" t="str">
        <f aca="false">IF(OR(Q148="",P148=""),"",Q148-P148)</f>
        <v/>
      </c>
      <c r="S148" s="19" t="str">
        <f aca="false">IF(R148="","",IF(ABS(R148)&lt;=Léeme!$B$12,"Cuadra",IF(R148&lt;0,"Faltante","Sobrante")))</f>
        <v/>
      </c>
      <c r="T148" s="13" t="s">
        <v>101</v>
      </c>
    </row>
    <row r="149" customFormat="false" ht="15" hidden="false" customHeight="false" outlineLevel="0" collapsed="false">
      <c r="A149" s="17" t="n">
        <v>45744</v>
      </c>
      <c r="B149" s="13" t="s">
        <v>28</v>
      </c>
      <c r="C149" s="13"/>
      <c r="D149" s="13" t="s">
        <v>100</v>
      </c>
      <c r="E149" s="15" t="n">
        <v>240540</v>
      </c>
      <c r="F149" s="15" t="n">
        <v>32090</v>
      </c>
      <c r="G149" s="15" t="n">
        <v>12490</v>
      </c>
      <c r="H149" s="15" t="n">
        <v>0</v>
      </c>
      <c r="I149" s="15" t="n">
        <v>26060</v>
      </c>
      <c r="J149" s="14" t="n">
        <f aca="false">SUM(E149:I149)</f>
        <v>311180</v>
      </c>
      <c r="K149" s="18"/>
      <c r="L149" s="15" t="n">
        <v>0</v>
      </c>
      <c r="M149" s="13"/>
      <c r="N149" s="15" t="n">
        <v>0</v>
      </c>
      <c r="O149" s="15"/>
      <c r="P149" s="14" t="str">
        <f aca="false">IF(O149="","",O149+E149-L149-N149)</f>
        <v/>
      </c>
      <c r="Q149" s="15"/>
      <c r="R149" s="14" t="str">
        <f aca="false">IF(OR(Q149="",P149=""),"",Q149-P149)</f>
        <v/>
      </c>
      <c r="S149" s="19" t="str">
        <f aca="false">IF(R149="","",IF(ABS(R149)&lt;=Léeme!$B$12,"Cuadra",IF(R149&lt;0,"Faltante","Sobrante")))</f>
        <v/>
      </c>
      <c r="T149" s="13" t="s">
        <v>101</v>
      </c>
    </row>
    <row r="150" customFormat="false" ht="15" hidden="false" customHeight="false" outlineLevel="0" collapsed="false">
      <c r="A150" s="17" t="n">
        <v>45745</v>
      </c>
      <c r="B150" s="13" t="s">
        <v>27</v>
      </c>
      <c r="C150" s="13"/>
      <c r="D150" s="13" t="s">
        <v>100</v>
      </c>
      <c r="E150" s="15" t="n">
        <v>509400</v>
      </c>
      <c r="F150" s="15" t="n">
        <v>68270</v>
      </c>
      <c r="G150" s="15" t="n">
        <v>27740</v>
      </c>
      <c r="H150" s="15" t="n">
        <v>0</v>
      </c>
      <c r="I150" s="15" t="n">
        <v>50700</v>
      </c>
      <c r="J150" s="14" t="n">
        <f aca="false">SUM(E150:I150)</f>
        <v>656110</v>
      </c>
      <c r="K150" s="18"/>
      <c r="L150" s="15" t="n">
        <v>0</v>
      </c>
      <c r="M150" s="13"/>
      <c r="N150" s="15" t="n">
        <v>0</v>
      </c>
      <c r="O150" s="15"/>
      <c r="P150" s="14" t="str">
        <f aca="false">IF(O150="","",O150+E150-L150-N150)</f>
        <v/>
      </c>
      <c r="Q150" s="15"/>
      <c r="R150" s="14" t="str">
        <f aca="false">IF(OR(Q150="",P150=""),"",Q150-P150)</f>
        <v/>
      </c>
      <c r="S150" s="19" t="str">
        <f aca="false">IF(R150="","",IF(ABS(R150)&lt;=Léeme!$B$12,"Cuadra",IF(R150&lt;0,"Faltante","Sobrante")))</f>
        <v/>
      </c>
      <c r="T150" s="13" t="s">
        <v>101</v>
      </c>
    </row>
    <row r="151" customFormat="false" ht="15" hidden="false" customHeight="false" outlineLevel="0" collapsed="false">
      <c r="A151" s="17" t="n">
        <v>45745</v>
      </c>
      <c r="B151" s="13" t="s">
        <v>28</v>
      </c>
      <c r="C151" s="13"/>
      <c r="D151" s="13" t="s">
        <v>100</v>
      </c>
      <c r="E151" s="15" t="n">
        <v>326390</v>
      </c>
      <c r="F151" s="15" t="n">
        <v>51830</v>
      </c>
      <c r="G151" s="15" t="n">
        <v>20280</v>
      </c>
      <c r="H151" s="15" t="n">
        <v>0</v>
      </c>
      <c r="I151" s="15" t="n">
        <v>36400</v>
      </c>
      <c r="J151" s="14" t="n">
        <f aca="false">SUM(E151:I151)</f>
        <v>434900</v>
      </c>
      <c r="K151" s="18"/>
      <c r="L151" s="15" t="n">
        <v>0</v>
      </c>
      <c r="M151" s="13"/>
      <c r="N151" s="15" t="n">
        <v>0</v>
      </c>
      <c r="O151" s="15"/>
      <c r="P151" s="14" t="str">
        <f aca="false">IF(O151="","",O151+E151-L151-N151)</f>
        <v/>
      </c>
      <c r="Q151" s="15"/>
      <c r="R151" s="14" t="str">
        <f aca="false">IF(OR(Q151="",P151=""),"",Q151-P151)</f>
        <v/>
      </c>
      <c r="S151" s="19" t="str">
        <f aca="false">IF(R151="","",IF(ABS(R151)&lt;=Léeme!$B$12,"Cuadra",IF(R151&lt;0,"Faltante","Sobrante")))</f>
        <v/>
      </c>
      <c r="T151" s="13" t="s">
        <v>101</v>
      </c>
    </row>
    <row r="152" customFormat="false" ht="15" hidden="false" customHeight="false" outlineLevel="0" collapsed="false">
      <c r="A152" s="17" t="n">
        <v>45746</v>
      </c>
      <c r="B152" s="13" t="s">
        <v>27</v>
      </c>
      <c r="C152" s="13"/>
      <c r="D152" s="13" t="s">
        <v>100</v>
      </c>
      <c r="E152" s="15" t="n">
        <v>836930</v>
      </c>
      <c r="F152" s="15" t="n">
        <v>115750</v>
      </c>
      <c r="G152" s="15" t="n">
        <v>49220</v>
      </c>
      <c r="H152" s="15" t="n">
        <v>0</v>
      </c>
      <c r="I152" s="15" t="n">
        <v>92260</v>
      </c>
      <c r="J152" s="14" t="n">
        <f aca="false">SUM(E152:I152)</f>
        <v>1094160</v>
      </c>
      <c r="K152" s="18"/>
      <c r="L152" s="15" t="n">
        <v>0</v>
      </c>
      <c r="M152" s="13"/>
      <c r="N152" s="15" t="n">
        <v>523000</v>
      </c>
      <c r="O152" s="15"/>
      <c r="P152" s="14" t="str">
        <f aca="false">IF(O152="","",O152+E152-L152-N152)</f>
        <v/>
      </c>
      <c r="Q152" s="15"/>
      <c r="R152" s="14" t="str">
        <f aca="false">IF(OR(Q152="",P152=""),"",Q152-P152)</f>
        <v/>
      </c>
      <c r="S152" s="19" t="str">
        <f aca="false">IF(R152="","",IF(ABS(R152)&lt;=Léeme!$B$12,"Cuadra",IF(R152&lt;0,"Faltante","Sobrante")))</f>
        <v/>
      </c>
      <c r="T152" s="13" t="s">
        <v>101</v>
      </c>
    </row>
    <row r="153" customFormat="false" ht="15" hidden="false" customHeight="false" outlineLevel="0" collapsed="false">
      <c r="A153" s="17" t="n">
        <v>45746</v>
      </c>
      <c r="B153" s="13" t="s">
        <v>28</v>
      </c>
      <c r="C153" s="13"/>
      <c r="D153" s="13" t="s">
        <v>100</v>
      </c>
      <c r="E153" s="15" t="n">
        <v>618320</v>
      </c>
      <c r="F153" s="15" t="n">
        <v>100220</v>
      </c>
      <c r="G153" s="15" t="n">
        <v>39380</v>
      </c>
      <c r="H153" s="15" t="n">
        <v>0</v>
      </c>
      <c r="I153" s="15" t="n">
        <v>72790</v>
      </c>
      <c r="J153" s="14" t="n">
        <f aca="false">SUM(E153:I153)</f>
        <v>830710</v>
      </c>
      <c r="K153" s="18"/>
      <c r="L153" s="15" t="n">
        <v>0</v>
      </c>
      <c r="M153" s="13"/>
      <c r="N153" s="15" t="n">
        <v>453000</v>
      </c>
      <c r="O153" s="15"/>
      <c r="P153" s="14" t="str">
        <f aca="false">IF(O153="","",O153+E153-L153-N153)</f>
        <v/>
      </c>
      <c r="Q153" s="15"/>
      <c r="R153" s="14" t="str">
        <f aca="false">IF(OR(Q153="",P153=""),"",Q153-P153)</f>
        <v/>
      </c>
      <c r="S153" s="19" t="str">
        <f aca="false">IF(R153="","",IF(ABS(R153)&lt;=Léeme!$B$12,"Cuadra",IF(R153&lt;0,"Faltante","Sobrante")))</f>
        <v/>
      </c>
      <c r="T153" s="13" t="s">
        <v>101</v>
      </c>
    </row>
    <row r="154" customFormat="false" ht="15" hidden="false" customHeight="false" outlineLevel="0" collapsed="false">
      <c r="A154" s="17" t="n">
        <v>45748</v>
      </c>
      <c r="B154" s="13" t="s">
        <v>27</v>
      </c>
      <c r="C154" s="13"/>
      <c r="D154" s="13" t="s">
        <v>100</v>
      </c>
      <c r="E154" s="15" t="n">
        <v>288310</v>
      </c>
      <c r="F154" s="15" t="n">
        <v>45090</v>
      </c>
      <c r="G154" s="15" t="n">
        <v>17900</v>
      </c>
      <c r="H154" s="15" t="n">
        <v>22930</v>
      </c>
      <c r="I154" s="15" t="n">
        <v>9710</v>
      </c>
      <c r="J154" s="14" t="n">
        <f aca="false">SUM(E154:I154)</f>
        <v>383940</v>
      </c>
      <c r="K154" s="18"/>
      <c r="L154" s="15" t="n">
        <v>8750</v>
      </c>
      <c r="M154" s="13" t="s">
        <v>103</v>
      </c>
      <c r="N154" s="15" t="n">
        <v>0</v>
      </c>
      <c r="O154" s="15"/>
      <c r="P154" s="14" t="str">
        <f aca="false">IF(O154="","",O154+E154-L154-N154)</f>
        <v/>
      </c>
      <c r="Q154" s="15"/>
      <c r="R154" s="14" t="str">
        <f aca="false">IF(OR(Q154="",P154=""),"",Q154-P154)</f>
        <v/>
      </c>
      <c r="S154" s="19" t="str">
        <f aca="false">IF(R154="","",IF(ABS(R154)&lt;=Léeme!$B$12,"Cuadra",IF(R154&lt;0,"Faltante","Sobrante")))</f>
        <v/>
      </c>
      <c r="T154" s="13" t="s">
        <v>101</v>
      </c>
    </row>
    <row r="155" customFormat="false" ht="15" hidden="false" customHeight="false" outlineLevel="0" collapsed="false">
      <c r="A155" s="17" t="n">
        <v>45748</v>
      </c>
      <c r="B155" s="13" t="s">
        <v>28</v>
      </c>
      <c r="C155" s="13"/>
      <c r="D155" s="13" t="s">
        <v>100</v>
      </c>
      <c r="E155" s="15" t="n">
        <v>220080</v>
      </c>
      <c r="F155" s="15" t="n">
        <v>38930</v>
      </c>
      <c r="G155" s="15" t="n">
        <v>16070</v>
      </c>
      <c r="H155" s="15" t="n">
        <v>17530</v>
      </c>
      <c r="I155" s="15" t="n">
        <v>8980</v>
      </c>
      <c r="J155" s="14" t="n">
        <f aca="false">SUM(E155:I155)</f>
        <v>301590</v>
      </c>
      <c r="K155" s="18"/>
      <c r="L155" s="15" t="n">
        <v>23660</v>
      </c>
      <c r="M155" s="13" t="s">
        <v>103</v>
      </c>
      <c r="N155" s="15" t="n">
        <v>172000</v>
      </c>
      <c r="O155" s="15"/>
      <c r="P155" s="14" t="str">
        <f aca="false">IF(O155="","",O155+E155-L155-N155)</f>
        <v/>
      </c>
      <c r="Q155" s="15"/>
      <c r="R155" s="14" t="str">
        <f aca="false">IF(OR(Q155="",P155=""),"",Q155-P155)</f>
        <v/>
      </c>
      <c r="S155" s="19" t="str">
        <f aca="false">IF(R155="","",IF(ABS(R155)&lt;=Léeme!$B$12,"Cuadra",IF(R155&lt;0,"Faltante","Sobrante")))</f>
        <v/>
      </c>
      <c r="T155" s="13" t="s">
        <v>101</v>
      </c>
    </row>
    <row r="156" customFormat="false" ht="15" hidden="false" customHeight="false" outlineLevel="0" collapsed="false">
      <c r="A156" s="17" t="n">
        <v>45749</v>
      </c>
      <c r="B156" s="13" t="s">
        <v>27</v>
      </c>
      <c r="C156" s="13"/>
      <c r="D156" s="13" t="s">
        <v>100</v>
      </c>
      <c r="E156" s="15" t="n">
        <v>349090</v>
      </c>
      <c r="F156" s="15" t="n">
        <v>47520</v>
      </c>
      <c r="G156" s="15" t="n">
        <v>20340</v>
      </c>
      <c r="H156" s="15" t="n">
        <v>24300</v>
      </c>
      <c r="I156" s="15" t="n">
        <v>12240</v>
      </c>
      <c r="J156" s="14" t="n">
        <f aca="false">SUM(E156:I156)</f>
        <v>453490</v>
      </c>
      <c r="K156" s="18"/>
      <c r="L156" s="15" t="n">
        <v>0</v>
      </c>
      <c r="M156" s="13"/>
      <c r="N156" s="15" t="n">
        <v>222000</v>
      </c>
      <c r="O156" s="15"/>
      <c r="P156" s="14" t="str">
        <f aca="false">IF(O156="","",O156+E156-L156-N156)</f>
        <v/>
      </c>
      <c r="Q156" s="15"/>
      <c r="R156" s="14" t="str">
        <f aca="false">IF(OR(Q156="",P156=""),"",Q156-P156)</f>
        <v/>
      </c>
      <c r="S156" s="19" t="str">
        <f aca="false">IF(R156="","",IF(ABS(R156)&lt;=Léeme!$B$12,"Cuadra",IF(R156&lt;0,"Faltante","Sobrante")))</f>
        <v/>
      </c>
      <c r="T156" s="13" t="s">
        <v>101</v>
      </c>
    </row>
    <row r="157" customFormat="false" ht="15" hidden="false" customHeight="false" outlineLevel="0" collapsed="false">
      <c r="A157" s="17" t="n">
        <v>45749</v>
      </c>
      <c r="B157" s="13" t="s">
        <v>28</v>
      </c>
      <c r="C157" s="13"/>
      <c r="D157" s="13" t="s">
        <v>100</v>
      </c>
      <c r="E157" s="15" t="n">
        <v>254170</v>
      </c>
      <c r="F157" s="15" t="n">
        <v>34450</v>
      </c>
      <c r="G157" s="15" t="n">
        <v>13910</v>
      </c>
      <c r="H157" s="15" t="n">
        <v>18060</v>
      </c>
      <c r="I157" s="15" t="n">
        <v>8470</v>
      </c>
      <c r="J157" s="14" t="n">
        <f aca="false">SUM(E157:I157)</f>
        <v>329060</v>
      </c>
      <c r="K157" s="18"/>
      <c r="L157" s="15" t="n">
        <v>5490</v>
      </c>
      <c r="M157" s="13" t="s">
        <v>104</v>
      </c>
      <c r="N157" s="15" t="n">
        <v>0</v>
      </c>
      <c r="O157" s="15"/>
      <c r="P157" s="14" t="str">
        <f aca="false">IF(O157="","",O157+E157-L157-N157)</f>
        <v/>
      </c>
      <c r="Q157" s="15"/>
      <c r="R157" s="14" t="str">
        <f aca="false">IF(OR(Q157="",P157=""),"",Q157-P157)</f>
        <v/>
      </c>
      <c r="S157" s="19" t="str">
        <f aca="false">IF(R157="","",IF(ABS(R157)&lt;=Léeme!$B$12,"Cuadra",IF(R157&lt;0,"Faltante","Sobrante")))</f>
        <v/>
      </c>
      <c r="T157" s="13" t="s">
        <v>101</v>
      </c>
    </row>
    <row r="158" customFormat="false" ht="15" hidden="false" customHeight="false" outlineLevel="0" collapsed="false">
      <c r="A158" s="17" t="n">
        <v>45750</v>
      </c>
      <c r="B158" s="13" t="s">
        <v>27</v>
      </c>
      <c r="C158" s="13"/>
      <c r="D158" s="13" t="s">
        <v>100</v>
      </c>
      <c r="E158" s="15" t="n">
        <v>304970</v>
      </c>
      <c r="F158" s="15" t="n">
        <v>49460</v>
      </c>
      <c r="G158" s="15" t="n">
        <v>20790</v>
      </c>
      <c r="H158" s="15" t="n">
        <v>22680</v>
      </c>
      <c r="I158" s="15" t="n">
        <v>10330</v>
      </c>
      <c r="J158" s="14" t="n">
        <f aca="false">SUM(E158:I158)</f>
        <v>408230</v>
      </c>
      <c r="K158" s="18"/>
      <c r="L158" s="15" t="n">
        <v>0</v>
      </c>
      <c r="M158" s="13"/>
      <c r="N158" s="15" t="n">
        <v>184000</v>
      </c>
      <c r="O158" s="15"/>
      <c r="P158" s="14" t="str">
        <f aca="false">IF(O158="","",O158+E158-L158-N158)</f>
        <v/>
      </c>
      <c r="Q158" s="15"/>
      <c r="R158" s="14" t="str">
        <f aca="false">IF(OR(Q158="",P158=""),"",Q158-P158)</f>
        <v/>
      </c>
      <c r="S158" s="19" t="str">
        <f aca="false">IF(R158="","",IF(ABS(R158)&lt;=Léeme!$B$12,"Cuadra",IF(R158&lt;0,"Faltante","Sobrante")))</f>
        <v/>
      </c>
      <c r="T158" s="13" t="s">
        <v>101</v>
      </c>
    </row>
    <row r="159" customFormat="false" ht="15" hidden="false" customHeight="false" outlineLevel="0" collapsed="false">
      <c r="A159" s="17" t="n">
        <v>45750</v>
      </c>
      <c r="B159" s="13" t="s">
        <v>28</v>
      </c>
      <c r="C159" s="13"/>
      <c r="D159" s="13" t="s">
        <v>100</v>
      </c>
      <c r="E159" s="15" t="n">
        <v>245240</v>
      </c>
      <c r="F159" s="15" t="n">
        <v>37830</v>
      </c>
      <c r="G159" s="15" t="n">
        <v>14810</v>
      </c>
      <c r="H159" s="15" t="n">
        <v>21130</v>
      </c>
      <c r="I159" s="15" t="n">
        <v>9210</v>
      </c>
      <c r="J159" s="14" t="n">
        <f aca="false">SUM(E159:I159)</f>
        <v>328220</v>
      </c>
      <c r="K159" s="18"/>
      <c r="L159" s="15" t="n">
        <v>0</v>
      </c>
      <c r="M159" s="13"/>
      <c r="N159" s="15" t="n">
        <v>0</v>
      </c>
      <c r="O159" s="15"/>
      <c r="P159" s="14" t="str">
        <f aca="false">IF(O159="","",O159+E159-L159-N159)</f>
        <v/>
      </c>
      <c r="Q159" s="15"/>
      <c r="R159" s="14" t="str">
        <f aca="false">IF(OR(Q159="",P159=""),"",Q159-P159)</f>
        <v/>
      </c>
      <c r="S159" s="19" t="str">
        <f aca="false">IF(R159="","",IF(ABS(R159)&lt;=Léeme!$B$12,"Cuadra",IF(R159&lt;0,"Faltante","Sobrante")))</f>
        <v/>
      </c>
      <c r="T159" s="13" t="s">
        <v>101</v>
      </c>
    </row>
    <row r="160" customFormat="false" ht="15" hidden="false" customHeight="false" outlineLevel="0" collapsed="false">
      <c r="A160" s="17" t="n">
        <v>45751</v>
      </c>
      <c r="B160" s="13" t="s">
        <v>27</v>
      </c>
      <c r="C160" s="13"/>
      <c r="D160" s="13" t="s">
        <v>100</v>
      </c>
      <c r="E160" s="15" t="n">
        <v>331950</v>
      </c>
      <c r="F160" s="15" t="n">
        <v>49060</v>
      </c>
      <c r="G160" s="15" t="n">
        <v>20440</v>
      </c>
      <c r="H160" s="15" t="n">
        <v>30680</v>
      </c>
      <c r="I160" s="15" t="n">
        <v>12220</v>
      </c>
      <c r="J160" s="14" t="n">
        <f aca="false">SUM(E160:I160)</f>
        <v>444350</v>
      </c>
      <c r="K160" s="18"/>
      <c r="L160" s="15" t="n">
        <v>0</v>
      </c>
      <c r="M160" s="13"/>
      <c r="N160" s="15" t="n">
        <v>188000</v>
      </c>
      <c r="O160" s="15"/>
      <c r="P160" s="14" t="str">
        <f aca="false">IF(O160="","",O160+E160-L160-N160)</f>
        <v/>
      </c>
      <c r="Q160" s="15"/>
      <c r="R160" s="14" t="str">
        <f aca="false">IF(OR(Q160="",P160=""),"",Q160-P160)</f>
        <v/>
      </c>
      <c r="S160" s="19" t="str">
        <f aca="false">IF(R160="","",IF(ABS(R160)&lt;=Léeme!$B$12,"Cuadra",IF(R160&lt;0,"Faltante","Sobrante")))</f>
        <v/>
      </c>
      <c r="T160" s="13" t="s">
        <v>101</v>
      </c>
    </row>
    <row r="161" customFormat="false" ht="15" hidden="false" customHeight="false" outlineLevel="0" collapsed="false">
      <c r="A161" s="17" t="n">
        <v>45751</v>
      </c>
      <c r="B161" s="13" t="s">
        <v>28</v>
      </c>
      <c r="C161" s="13"/>
      <c r="D161" s="13" t="s">
        <v>100</v>
      </c>
      <c r="E161" s="15" t="n">
        <v>242050</v>
      </c>
      <c r="F161" s="15" t="n">
        <v>34970</v>
      </c>
      <c r="G161" s="15" t="n">
        <v>14990</v>
      </c>
      <c r="H161" s="15" t="n">
        <v>18540</v>
      </c>
      <c r="I161" s="15" t="n">
        <v>8650</v>
      </c>
      <c r="J161" s="14" t="n">
        <f aca="false">SUM(E161:I161)</f>
        <v>319200</v>
      </c>
      <c r="K161" s="18"/>
      <c r="L161" s="15" t="n">
        <v>0</v>
      </c>
      <c r="M161" s="13"/>
      <c r="N161" s="15" t="n">
        <v>0</v>
      </c>
      <c r="O161" s="15"/>
      <c r="P161" s="14" t="str">
        <f aca="false">IF(O161="","",O161+E161-L161-N161)</f>
        <v/>
      </c>
      <c r="Q161" s="15"/>
      <c r="R161" s="14" t="str">
        <f aca="false">IF(OR(Q161="",P161=""),"",Q161-P161)</f>
        <v/>
      </c>
      <c r="S161" s="19" t="str">
        <f aca="false">IF(R161="","",IF(ABS(R161)&lt;=Léeme!$B$12,"Cuadra",IF(R161&lt;0,"Faltante","Sobrante")))</f>
        <v/>
      </c>
      <c r="T161" s="13" t="s">
        <v>101</v>
      </c>
    </row>
    <row r="162" customFormat="false" ht="15" hidden="false" customHeight="false" outlineLevel="0" collapsed="false">
      <c r="A162" s="17" t="n">
        <v>45752</v>
      </c>
      <c r="B162" s="13" t="s">
        <v>27</v>
      </c>
      <c r="C162" s="13"/>
      <c r="D162" s="13" t="s">
        <v>100</v>
      </c>
      <c r="E162" s="15" t="n">
        <v>451060</v>
      </c>
      <c r="F162" s="15" t="n">
        <v>63980</v>
      </c>
      <c r="G162" s="15" t="n">
        <v>25950</v>
      </c>
      <c r="H162" s="15" t="n">
        <v>36110</v>
      </c>
      <c r="I162" s="15" t="n">
        <v>15130</v>
      </c>
      <c r="J162" s="14" t="n">
        <f aca="false">SUM(E162:I162)</f>
        <v>592230</v>
      </c>
      <c r="K162" s="18"/>
      <c r="L162" s="15" t="n">
        <v>0</v>
      </c>
      <c r="M162" s="13"/>
      <c r="N162" s="15" t="n">
        <v>311000</v>
      </c>
      <c r="O162" s="15"/>
      <c r="P162" s="14" t="str">
        <f aca="false">IF(O162="","",O162+E162-L162-N162)</f>
        <v/>
      </c>
      <c r="Q162" s="15"/>
      <c r="R162" s="14" t="str">
        <f aca="false">IF(OR(Q162="",P162=""),"",Q162-P162)</f>
        <v/>
      </c>
      <c r="S162" s="19" t="str">
        <f aca="false">IF(R162="","",IF(ABS(R162)&lt;=Léeme!$B$12,"Cuadra",IF(R162&lt;0,"Faltante","Sobrante")))</f>
        <v/>
      </c>
      <c r="T162" s="13" t="s">
        <v>101</v>
      </c>
    </row>
    <row r="163" customFormat="false" ht="15" hidden="false" customHeight="false" outlineLevel="0" collapsed="false">
      <c r="A163" s="17" t="n">
        <v>45752</v>
      </c>
      <c r="B163" s="13" t="s">
        <v>28</v>
      </c>
      <c r="C163" s="13"/>
      <c r="D163" s="13" t="s">
        <v>100</v>
      </c>
      <c r="E163" s="15" t="n">
        <v>371380</v>
      </c>
      <c r="F163" s="15" t="n">
        <v>47760</v>
      </c>
      <c r="G163" s="15" t="n">
        <v>20070</v>
      </c>
      <c r="H163" s="15" t="n">
        <v>29270</v>
      </c>
      <c r="I163" s="15" t="n">
        <v>11680</v>
      </c>
      <c r="J163" s="14" t="n">
        <f aca="false">SUM(E163:I163)</f>
        <v>480160</v>
      </c>
      <c r="K163" s="18"/>
      <c r="L163" s="15" t="n">
        <v>0</v>
      </c>
      <c r="M163" s="13"/>
      <c r="N163" s="15" t="n">
        <v>300000</v>
      </c>
      <c r="O163" s="15"/>
      <c r="P163" s="14" t="str">
        <f aca="false">IF(O163="","",O163+E163-L163-N163)</f>
        <v/>
      </c>
      <c r="Q163" s="15"/>
      <c r="R163" s="14" t="str">
        <f aca="false">IF(OR(Q163="",P163=""),"",Q163-P163)</f>
        <v/>
      </c>
      <c r="S163" s="19" t="str">
        <f aca="false">IF(R163="","",IF(ABS(R163)&lt;=Léeme!$B$12,"Cuadra",IF(R163&lt;0,"Faltante","Sobrante")))</f>
        <v/>
      </c>
      <c r="T163" s="13" t="s">
        <v>101</v>
      </c>
    </row>
    <row r="164" customFormat="false" ht="15" hidden="false" customHeight="false" outlineLevel="0" collapsed="false">
      <c r="A164" s="17" t="n">
        <v>45753</v>
      </c>
      <c r="B164" s="13" t="s">
        <v>27</v>
      </c>
      <c r="C164" s="13"/>
      <c r="D164" s="13" t="s">
        <v>100</v>
      </c>
      <c r="E164" s="15" t="n">
        <v>777150</v>
      </c>
      <c r="F164" s="15" t="n">
        <v>120110</v>
      </c>
      <c r="G164" s="15" t="n">
        <v>53060</v>
      </c>
      <c r="H164" s="15" t="n">
        <v>61780</v>
      </c>
      <c r="I164" s="15" t="n">
        <v>28010</v>
      </c>
      <c r="J164" s="14" t="n">
        <f aca="false">SUM(E164:I164)</f>
        <v>1040110</v>
      </c>
      <c r="K164" s="18"/>
      <c r="L164" s="15" t="n">
        <v>0</v>
      </c>
      <c r="M164" s="13"/>
      <c r="N164" s="15" t="n">
        <v>658000</v>
      </c>
      <c r="O164" s="15"/>
      <c r="P164" s="14" t="str">
        <f aca="false">IF(O164="","",O164+E164-L164-N164)</f>
        <v/>
      </c>
      <c r="Q164" s="15"/>
      <c r="R164" s="14" t="str">
        <f aca="false">IF(OR(Q164="",P164=""),"",Q164-P164)</f>
        <v/>
      </c>
      <c r="S164" s="19" t="str">
        <f aca="false">IF(R164="","",IF(ABS(R164)&lt;=Léeme!$B$12,"Cuadra",IF(R164&lt;0,"Faltante","Sobrante")))</f>
        <v/>
      </c>
      <c r="T164" s="13" t="s">
        <v>101</v>
      </c>
    </row>
    <row r="165" customFormat="false" ht="15" hidden="false" customHeight="false" outlineLevel="0" collapsed="false">
      <c r="A165" s="17" t="n">
        <v>45753</v>
      </c>
      <c r="B165" s="13" t="s">
        <v>28</v>
      </c>
      <c r="C165" s="13"/>
      <c r="D165" s="13" t="s">
        <v>100</v>
      </c>
      <c r="E165" s="15" t="n">
        <v>561720</v>
      </c>
      <c r="F165" s="15" t="n">
        <v>91800</v>
      </c>
      <c r="G165" s="15" t="n">
        <v>36570</v>
      </c>
      <c r="H165" s="15" t="n">
        <v>53230</v>
      </c>
      <c r="I165" s="15" t="n">
        <v>22190</v>
      </c>
      <c r="J165" s="14" t="n">
        <f aca="false">SUM(E165:I165)</f>
        <v>765510</v>
      </c>
      <c r="K165" s="18"/>
      <c r="L165" s="15" t="n">
        <v>0</v>
      </c>
      <c r="M165" s="13"/>
      <c r="N165" s="15" t="n">
        <v>0</v>
      </c>
      <c r="O165" s="15"/>
      <c r="P165" s="14" t="str">
        <f aca="false">IF(O165="","",O165+E165-L165-N165)</f>
        <v/>
      </c>
      <c r="Q165" s="15"/>
      <c r="R165" s="14" t="str">
        <f aca="false">IF(OR(Q165="",P165=""),"",Q165-P165)</f>
        <v/>
      </c>
      <c r="S165" s="19" t="str">
        <f aca="false">IF(R165="","",IF(ABS(R165)&lt;=Léeme!$B$12,"Cuadra",IF(R165&lt;0,"Faltante","Sobrante")))</f>
        <v/>
      </c>
      <c r="T165" s="13" t="s">
        <v>101</v>
      </c>
    </row>
    <row r="166" customFormat="false" ht="15" hidden="false" customHeight="false" outlineLevel="0" collapsed="false">
      <c r="A166" s="17" t="n">
        <v>45755</v>
      </c>
      <c r="B166" s="13" t="s">
        <v>27</v>
      </c>
      <c r="C166" s="13"/>
      <c r="D166" s="13" t="s">
        <v>100</v>
      </c>
      <c r="E166" s="15" t="n">
        <v>330310</v>
      </c>
      <c r="F166" s="15" t="n">
        <v>53780</v>
      </c>
      <c r="G166" s="15" t="n">
        <v>23270</v>
      </c>
      <c r="H166" s="15" t="n">
        <v>27560</v>
      </c>
      <c r="I166" s="15" t="n">
        <v>12080</v>
      </c>
      <c r="J166" s="14" t="n">
        <f aca="false">SUM(E166:I166)</f>
        <v>447000</v>
      </c>
      <c r="K166" s="18"/>
      <c r="L166" s="15" t="n">
        <v>0</v>
      </c>
      <c r="M166" s="13"/>
      <c r="N166" s="15" t="n">
        <v>0</v>
      </c>
      <c r="O166" s="15"/>
      <c r="P166" s="14" t="str">
        <f aca="false">IF(O166="","",O166+E166-L166-N166)</f>
        <v/>
      </c>
      <c r="Q166" s="15"/>
      <c r="R166" s="14" t="str">
        <f aca="false">IF(OR(Q166="",P166=""),"",Q166-P166)</f>
        <v/>
      </c>
      <c r="S166" s="19" t="str">
        <f aca="false">IF(R166="","",IF(ABS(R166)&lt;=Léeme!$B$12,"Cuadra",IF(R166&lt;0,"Faltante","Sobrante")))</f>
        <v/>
      </c>
      <c r="T166" s="13" t="s">
        <v>101</v>
      </c>
    </row>
    <row r="167" customFormat="false" ht="15" hidden="false" customHeight="false" outlineLevel="0" collapsed="false">
      <c r="A167" s="17" t="n">
        <v>45755</v>
      </c>
      <c r="B167" s="13" t="s">
        <v>28</v>
      </c>
      <c r="C167" s="13"/>
      <c r="D167" s="13" t="s">
        <v>100</v>
      </c>
      <c r="E167" s="15" t="n">
        <v>234300</v>
      </c>
      <c r="F167" s="15" t="n">
        <v>40730</v>
      </c>
      <c r="G167" s="15" t="n">
        <v>15690</v>
      </c>
      <c r="H167" s="15" t="n">
        <v>21490</v>
      </c>
      <c r="I167" s="15" t="n">
        <v>8920</v>
      </c>
      <c r="J167" s="14" t="n">
        <f aca="false">SUM(E167:I167)</f>
        <v>321130</v>
      </c>
      <c r="K167" s="18"/>
      <c r="L167" s="15" t="n">
        <v>6970</v>
      </c>
      <c r="M167" s="13" t="s">
        <v>102</v>
      </c>
      <c r="N167" s="15" t="n">
        <v>0</v>
      </c>
      <c r="O167" s="15"/>
      <c r="P167" s="14" t="str">
        <f aca="false">IF(O167="","",O167+E167-L167-N167)</f>
        <v/>
      </c>
      <c r="Q167" s="15"/>
      <c r="R167" s="14" t="str">
        <f aca="false">IF(OR(Q167="",P167=""),"",Q167-P167)</f>
        <v/>
      </c>
      <c r="S167" s="19" t="str">
        <f aca="false">IF(R167="","",IF(ABS(R167)&lt;=Léeme!$B$12,"Cuadra",IF(R167&lt;0,"Faltante","Sobrante")))</f>
        <v/>
      </c>
      <c r="T167" s="13" t="s">
        <v>101</v>
      </c>
    </row>
    <row r="168" customFormat="false" ht="15" hidden="false" customHeight="false" outlineLevel="0" collapsed="false">
      <c r="A168" s="17" t="n">
        <v>45756</v>
      </c>
      <c r="B168" s="13" t="s">
        <v>27</v>
      </c>
      <c r="C168" s="13"/>
      <c r="D168" s="13" t="s">
        <v>100</v>
      </c>
      <c r="E168" s="15" t="n">
        <v>317300</v>
      </c>
      <c r="F168" s="15" t="n">
        <v>42520</v>
      </c>
      <c r="G168" s="15" t="n">
        <v>17580</v>
      </c>
      <c r="H168" s="15" t="n">
        <v>24190</v>
      </c>
      <c r="I168" s="15" t="n">
        <v>11300</v>
      </c>
      <c r="J168" s="14" t="n">
        <f aca="false">SUM(E168:I168)</f>
        <v>412890</v>
      </c>
      <c r="K168" s="18"/>
      <c r="L168" s="15" t="n">
        <v>4220</v>
      </c>
      <c r="M168" s="13" t="s">
        <v>104</v>
      </c>
      <c r="N168" s="15" t="n">
        <v>0</v>
      </c>
      <c r="O168" s="15"/>
      <c r="P168" s="14" t="str">
        <f aca="false">IF(O168="","",O168+E168-L168-N168)</f>
        <v/>
      </c>
      <c r="Q168" s="15"/>
      <c r="R168" s="14" t="str">
        <f aca="false">IF(OR(Q168="",P168=""),"",Q168-P168)</f>
        <v/>
      </c>
      <c r="S168" s="19" t="str">
        <f aca="false">IF(R168="","",IF(ABS(R168)&lt;=Léeme!$B$12,"Cuadra",IF(R168&lt;0,"Faltante","Sobrante")))</f>
        <v/>
      </c>
      <c r="T168" s="13" t="s">
        <v>101</v>
      </c>
    </row>
    <row r="169" customFormat="false" ht="15" hidden="false" customHeight="false" outlineLevel="0" collapsed="false">
      <c r="A169" s="17" t="n">
        <v>45756</v>
      </c>
      <c r="B169" s="13" t="s">
        <v>28</v>
      </c>
      <c r="C169" s="13"/>
      <c r="D169" s="13" t="s">
        <v>100</v>
      </c>
      <c r="E169" s="15" t="n">
        <v>246760</v>
      </c>
      <c r="F169" s="15" t="n">
        <v>35640</v>
      </c>
      <c r="G169" s="15" t="n">
        <v>17340</v>
      </c>
      <c r="H169" s="15" t="n">
        <v>20100</v>
      </c>
      <c r="I169" s="15" t="n">
        <v>8310</v>
      </c>
      <c r="J169" s="14" t="n">
        <f aca="false">SUM(E169:I169)</f>
        <v>328150</v>
      </c>
      <c r="K169" s="18"/>
      <c r="L169" s="15" t="n">
        <v>0</v>
      </c>
      <c r="M169" s="13"/>
      <c r="N169" s="15" t="n">
        <v>0</v>
      </c>
      <c r="O169" s="15"/>
      <c r="P169" s="14" t="str">
        <f aca="false">IF(O169="","",O169+E169-L169-N169)</f>
        <v/>
      </c>
      <c r="Q169" s="15"/>
      <c r="R169" s="14" t="str">
        <f aca="false">IF(OR(Q169="",P169=""),"",Q169-P169)</f>
        <v/>
      </c>
      <c r="S169" s="19" t="str">
        <f aca="false">IF(R169="","",IF(ABS(R169)&lt;=Léeme!$B$12,"Cuadra",IF(R169&lt;0,"Faltante","Sobrante")))</f>
        <v/>
      </c>
      <c r="T169" s="13" t="s">
        <v>101</v>
      </c>
    </row>
    <row r="170" customFormat="false" ht="15" hidden="false" customHeight="false" outlineLevel="0" collapsed="false">
      <c r="A170" s="17" t="n">
        <v>45757</v>
      </c>
      <c r="B170" s="13" t="s">
        <v>27</v>
      </c>
      <c r="C170" s="13"/>
      <c r="D170" s="13" t="s">
        <v>100</v>
      </c>
      <c r="E170" s="15" t="n">
        <v>303140</v>
      </c>
      <c r="F170" s="15" t="n">
        <v>42560</v>
      </c>
      <c r="G170" s="15" t="n">
        <v>19140</v>
      </c>
      <c r="H170" s="15" t="n">
        <v>22290</v>
      </c>
      <c r="I170" s="15" t="n">
        <v>10060</v>
      </c>
      <c r="J170" s="14" t="n">
        <f aca="false">SUM(E170:I170)</f>
        <v>397190</v>
      </c>
      <c r="K170" s="18"/>
      <c r="L170" s="15" t="n">
        <v>13550</v>
      </c>
      <c r="M170" s="13" t="s">
        <v>102</v>
      </c>
      <c r="N170" s="15" t="n">
        <v>0</v>
      </c>
      <c r="O170" s="15"/>
      <c r="P170" s="14" t="str">
        <f aca="false">IF(O170="","",O170+E170-L170-N170)</f>
        <v/>
      </c>
      <c r="Q170" s="15"/>
      <c r="R170" s="14" t="str">
        <f aca="false">IF(OR(Q170="",P170=""),"",Q170-P170)</f>
        <v/>
      </c>
      <c r="S170" s="19" t="str">
        <f aca="false">IF(R170="","",IF(ABS(R170)&lt;=Léeme!$B$12,"Cuadra",IF(R170&lt;0,"Faltante","Sobrante")))</f>
        <v/>
      </c>
      <c r="T170" s="13" t="s">
        <v>101</v>
      </c>
    </row>
    <row r="171" customFormat="false" ht="15" hidden="false" customHeight="false" outlineLevel="0" collapsed="false">
      <c r="A171" s="17" t="n">
        <v>45757</v>
      </c>
      <c r="B171" s="13" t="s">
        <v>28</v>
      </c>
      <c r="C171" s="13"/>
      <c r="D171" s="13" t="s">
        <v>100</v>
      </c>
      <c r="E171" s="15" t="n">
        <v>221940</v>
      </c>
      <c r="F171" s="15" t="n">
        <v>31080</v>
      </c>
      <c r="G171" s="15" t="n">
        <v>14770</v>
      </c>
      <c r="H171" s="15" t="n">
        <v>17280</v>
      </c>
      <c r="I171" s="15" t="n">
        <v>8580</v>
      </c>
      <c r="J171" s="14" t="n">
        <f aca="false">SUM(E171:I171)</f>
        <v>293650</v>
      </c>
      <c r="K171" s="18"/>
      <c r="L171" s="15" t="n">
        <v>0</v>
      </c>
      <c r="M171" s="13"/>
      <c r="N171" s="15" t="n">
        <v>0</v>
      </c>
      <c r="O171" s="15"/>
      <c r="P171" s="14" t="str">
        <f aca="false">IF(O171="","",O171+E171-L171-N171)</f>
        <v/>
      </c>
      <c r="Q171" s="15"/>
      <c r="R171" s="14" t="str">
        <f aca="false">IF(OR(Q171="",P171=""),"",Q171-P171)</f>
        <v/>
      </c>
      <c r="S171" s="19" t="str">
        <f aca="false">IF(R171="","",IF(ABS(R171)&lt;=Léeme!$B$12,"Cuadra",IF(R171&lt;0,"Faltante","Sobrante")))</f>
        <v/>
      </c>
      <c r="T171" s="13" t="s">
        <v>101</v>
      </c>
    </row>
    <row r="172" customFormat="false" ht="15" hidden="false" customHeight="false" outlineLevel="0" collapsed="false">
      <c r="A172" s="17" t="n">
        <v>45758</v>
      </c>
      <c r="B172" s="13" t="s">
        <v>27</v>
      </c>
      <c r="C172" s="13"/>
      <c r="D172" s="13" t="s">
        <v>100</v>
      </c>
      <c r="E172" s="15" t="n">
        <v>307040</v>
      </c>
      <c r="F172" s="15" t="n">
        <v>39590</v>
      </c>
      <c r="G172" s="15" t="n">
        <v>18440</v>
      </c>
      <c r="H172" s="15" t="n">
        <v>24150</v>
      </c>
      <c r="I172" s="15" t="n">
        <v>10240</v>
      </c>
      <c r="J172" s="14" t="n">
        <f aca="false">SUM(E172:I172)</f>
        <v>399460</v>
      </c>
      <c r="K172" s="18"/>
      <c r="L172" s="15" t="n">
        <v>0</v>
      </c>
      <c r="M172" s="13"/>
      <c r="N172" s="15" t="n">
        <v>0</v>
      </c>
      <c r="O172" s="15"/>
      <c r="P172" s="14" t="str">
        <f aca="false">IF(O172="","",O172+E172-L172-N172)</f>
        <v/>
      </c>
      <c r="Q172" s="15"/>
      <c r="R172" s="14" t="str">
        <f aca="false">IF(OR(Q172="",P172=""),"",Q172-P172)</f>
        <v/>
      </c>
      <c r="S172" s="19" t="str">
        <f aca="false">IF(R172="","",IF(ABS(R172)&lt;=Léeme!$B$12,"Cuadra",IF(R172&lt;0,"Faltante","Sobrante")))</f>
        <v/>
      </c>
      <c r="T172" s="13" t="s">
        <v>101</v>
      </c>
    </row>
    <row r="173" customFormat="false" ht="15" hidden="false" customHeight="false" outlineLevel="0" collapsed="false">
      <c r="A173" s="17" t="n">
        <v>45758</v>
      </c>
      <c r="B173" s="13" t="s">
        <v>28</v>
      </c>
      <c r="C173" s="13"/>
      <c r="D173" s="13" t="s">
        <v>100</v>
      </c>
      <c r="E173" s="15" t="n">
        <v>210660</v>
      </c>
      <c r="F173" s="15" t="n">
        <v>33180</v>
      </c>
      <c r="G173" s="15" t="n">
        <v>13150</v>
      </c>
      <c r="H173" s="15" t="n">
        <v>17630</v>
      </c>
      <c r="I173" s="15" t="n">
        <v>8000</v>
      </c>
      <c r="J173" s="14" t="n">
        <f aca="false">SUM(E173:I173)</f>
        <v>282620</v>
      </c>
      <c r="K173" s="18"/>
      <c r="L173" s="15" t="n">
        <v>0</v>
      </c>
      <c r="M173" s="13"/>
      <c r="N173" s="15" t="n">
        <v>0</v>
      </c>
      <c r="O173" s="15"/>
      <c r="P173" s="14" t="str">
        <f aca="false">IF(O173="","",O173+E173-L173-N173)</f>
        <v/>
      </c>
      <c r="Q173" s="15"/>
      <c r="R173" s="14" t="str">
        <f aca="false">IF(OR(Q173="",P173=""),"",Q173-P173)</f>
        <v/>
      </c>
      <c r="S173" s="19" t="str">
        <f aca="false">IF(R173="","",IF(ABS(R173)&lt;=Léeme!$B$12,"Cuadra",IF(R173&lt;0,"Faltante","Sobrante")))</f>
        <v/>
      </c>
      <c r="T173" s="13" t="s">
        <v>101</v>
      </c>
    </row>
    <row r="174" customFormat="false" ht="15" hidden="false" customHeight="false" outlineLevel="0" collapsed="false">
      <c r="A174" s="17" t="n">
        <v>45759</v>
      </c>
      <c r="B174" s="13" t="s">
        <v>27</v>
      </c>
      <c r="C174" s="13"/>
      <c r="D174" s="13" t="s">
        <v>100</v>
      </c>
      <c r="E174" s="15" t="n">
        <v>492170</v>
      </c>
      <c r="F174" s="15" t="n">
        <v>72070</v>
      </c>
      <c r="G174" s="15" t="n">
        <v>30400</v>
      </c>
      <c r="H174" s="15" t="n">
        <v>35320</v>
      </c>
      <c r="I174" s="15" t="n">
        <v>18480</v>
      </c>
      <c r="J174" s="14" t="n">
        <f aca="false">SUM(E174:I174)</f>
        <v>648440</v>
      </c>
      <c r="K174" s="18"/>
      <c r="L174" s="15" t="n">
        <v>0</v>
      </c>
      <c r="M174" s="13"/>
      <c r="N174" s="15" t="n">
        <v>0</v>
      </c>
      <c r="O174" s="15"/>
      <c r="P174" s="14" t="str">
        <f aca="false">IF(O174="","",O174+E174-L174-N174)</f>
        <v/>
      </c>
      <c r="Q174" s="15"/>
      <c r="R174" s="14" t="str">
        <f aca="false">IF(OR(Q174="",P174=""),"",Q174-P174)</f>
        <v/>
      </c>
      <c r="S174" s="19" t="str">
        <f aca="false">IF(R174="","",IF(ABS(R174)&lt;=Léeme!$B$12,"Cuadra",IF(R174&lt;0,"Faltante","Sobrante")))</f>
        <v/>
      </c>
      <c r="T174" s="13" t="s">
        <v>101</v>
      </c>
    </row>
    <row r="175" customFormat="false" ht="15" hidden="false" customHeight="false" outlineLevel="0" collapsed="false">
      <c r="A175" s="17" t="n">
        <v>45759</v>
      </c>
      <c r="B175" s="13" t="s">
        <v>28</v>
      </c>
      <c r="C175" s="13"/>
      <c r="D175" s="13" t="s">
        <v>100</v>
      </c>
      <c r="E175" s="15" t="n">
        <v>356510</v>
      </c>
      <c r="F175" s="15" t="n">
        <v>49060</v>
      </c>
      <c r="G175" s="15" t="n">
        <v>23890</v>
      </c>
      <c r="H175" s="15" t="n">
        <v>28210</v>
      </c>
      <c r="I175" s="15" t="n">
        <v>11660</v>
      </c>
      <c r="J175" s="14" t="n">
        <f aca="false">SUM(E175:I175)</f>
        <v>469330</v>
      </c>
      <c r="K175" s="18"/>
      <c r="L175" s="15" t="n">
        <v>8850</v>
      </c>
      <c r="M175" s="13" t="s">
        <v>103</v>
      </c>
      <c r="N175" s="15" t="n">
        <v>188000</v>
      </c>
      <c r="O175" s="15"/>
      <c r="P175" s="14" t="str">
        <f aca="false">IF(O175="","",O175+E175-L175-N175)</f>
        <v/>
      </c>
      <c r="Q175" s="15"/>
      <c r="R175" s="14" t="str">
        <f aca="false">IF(OR(Q175="",P175=""),"",Q175-P175)</f>
        <v/>
      </c>
      <c r="S175" s="19" t="str">
        <f aca="false">IF(R175="","",IF(ABS(R175)&lt;=Léeme!$B$12,"Cuadra",IF(R175&lt;0,"Faltante","Sobrante")))</f>
        <v/>
      </c>
      <c r="T175" s="13" t="s">
        <v>101</v>
      </c>
    </row>
    <row r="176" customFormat="false" ht="15" hidden="false" customHeight="false" outlineLevel="0" collapsed="false">
      <c r="A176" s="17" t="n">
        <v>45760</v>
      </c>
      <c r="B176" s="13" t="s">
        <v>27</v>
      </c>
      <c r="C176" s="13"/>
      <c r="D176" s="13" t="s">
        <v>100</v>
      </c>
      <c r="E176" s="15" t="n">
        <v>719910</v>
      </c>
      <c r="F176" s="15" t="n">
        <v>104530</v>
      </c>
      <c r="G176" s="15" t="n">
        <v>38810</v>
      </c>
      <c r="H176" s="15" t="n">
        <v>57480</v>
      </c>
      <c r="I176" s="15" t="n">
        <v>26470</v>
      </c>
      <c r="J176" s="14" t="n">
        <f aca="false">SUM(E176:I176)</f>
        <v>947200</v>
      </c>
      <c r="K176" s="18"/>
      <c r="L176" s="15" t="n">
        <v>0</v>
      </c>
      <c r="M176" s="13"/>
      <c r="N176" s="15" t="n">
        <v>380000</v>
      </c>
      <c r="O176" s="15"/>
      <c r="P176" s="14" t="str">
        <f aca="false">IF(O176="","",O176+E176-L176-N176)</f>
        <v/>
      </c>
      <c r="Q176" s="15"/>
      <c r="R176" s="14" t="str">
        <f aca="false">IF(OR(Q176="",P176=""),"",Q176-P176)</f>
        <v/>
      </c>
      <c r="S176" s="19" t="str">
        <f aca="false">IF(R176="","",IF(ABS(R176)&lt;=Léeme!$B$12,"Cuadra",IF(R176&lt;0,"Faltante","Sobrante")))</f>
        <v/>
      </c>
      <c r="T176" s="13" t="s">
        <v>101</v>
      </c>
    </row>
    <row r="177" customFormat="false" ht="15" hidden="false" customHeight="false" outlineLevel="0" collapsed="false">
      <c r="A177" s="17" t="n">
        <v>45760</v>
      </c>
      <c r="B177" s="13" t="s">
        <v>28</v>
      </c>
      <c r="C177" s="13"/>
      <c r="D177" s="13" t="s">
        <v>100</v>
      </c>
      <c r="E177" s="15" t="n">
        <v>562440</v>
      </c>
      <c r="F177" s="15" t="n">
        <v>82950</v>
      </c>
      <c r="G177" s="15" t="n">
        <v>30840</v>
      </c>
      <c r="H177" s="15" t="n">
        <v>40310</v>
      </c>
      <c r="I177" s="15" t="n">
        <v>19890</v>
      </c>
      <c r="J177" s="14" t="n">
        <f aca="false">SUM(E177:I177)</f>
        <v>736430</v>
      </c>
      <c r="K177" s="18"/>
      <c r="L177" s="15" t="n">
        <v>3290</v>
      </c>
      <c r="M177" s="13" t="s">
        <v>105</v>
      </c>
      <c r="N177" s="15" t="n">
        <v>379000</v>
      </c>
      <c r="O177" s="15"/>
      <c r="P177" s="14" t="str">
        <f aca="false">IF(O177="","",O177+E177-L177-N177)</f>
        <v/>
      </c>
      <c r="Q177" s="15"/>
      <c r="R177" s="14" t="str">
        <f aca="false">IF(OR(Q177="",P177=""),"",Q177-P177)</f>
        <v/>
      </c>
      <c r="S177" s="19" t="str">
        <f aca="false">IF(R177="","",IF(ABS(R177)&lt;=Léeme!$B$12,"Cuadra",IF(R177&lt;0,"Faltante","Sobrante")))</f>
        <v/>
      </c>
      <c r="T177" s="13" t="s">
        <v>101</v>
      </c>
    </row>
    <row r="178" customFormat="false" ht="15" hidden="false" customHeight="false" outlineLevel="0" collapsed="false">
      <c r="A178" s="17" t="n">
        <v>45762</v>
      </c>
      <c r="B178" s="13" t="s">
        <v>27</v>
      </c>
      <c r="C178" s="13"/>
      <c r="D178" s="13" t="s">
        <v>100</v>
      </c>
      <c r="E178" s="15" t="n">
        <v>296370</v>
      </c>
      <c r="F178" s="15" t="n">
        <v>45210</v>
      </c>
      <c r="G178" s="15" t="n">
        <v>18310</v>
      </c>
      <c r="H178" s="15" t="n">
        <v>26560</v>
      </c>
      <c r="I178" s="15" t="n">
        <v>10590</v>
      </c>
      <c r="J178" s="14" t="n">
        <f aca="false">SUM(E178:I178)</f>
        <v>397040</v>
      </c>
      <c r="K178" s="18"/>
      <c r="L178" s="15" t="n">
        <v>9530</v>
      </c>
      <c r="M178" s="13" t="s">
        <v>103</v>
      </c>
      <c r="N178" s="15" t="n">
        <v>246000</v>
      </c>
      <c r="O178" s="15"/>
      <c r="P178" s="14" t="str">
        <f aca="false">IF(O178="","",O178+E178-L178-N178)</f>
        <v/>
      </c>
      <c r="Q178" s="15"/>
      <c r="R178" s="14" t="str">
        <f aca="false">IF(OR(Q178="",P178=""),"",Q178-P178)</f>
        <v/>
      </c>
      <c r="S178" s="19" t="str">
        <f aca="false">IF(R178="","",IF(ABS(R178)&lt;=Léeme!$B$12,"Cuadra",IF(R178&lt;0,"Faltante","Sobrante")))</f>
        <v/>
      </c>
      <c r="T178" s="13" t="s">
        <v>101</v>
      </c>
    </row>
    <row r="179" customFormat="false" ht="15" hidden="false" customHeight="false" outlineLevel="0" collapsed="false">
      <c r="A179" s="17" t="n">
        <v>45762</v>
      </c>
      <c r="B179" s="13" t="s">
        <v>28</v>
      </c>
      <c r="C179" s="13"/>
      <c r="D179" s="13" t="s">
        <v>100</v>
      </c>
      <c r="E179" s="15" t="n">
        <v>251380</v>
      </c>
      <c r="F179" s="15" t="n">
        <v>43020</v>
      </c>
      <c r="G179" s="15" t="n">
        <v>16370</v>
      </c>
      <c r="H179" s="15" t="n">
        <v>23320</v>
      </c>
      <c r="I179" s="15" t="n">
        <v>8960</v>
      </c>
      <c r="J179" s="14" t="n">
        <f aca="false">SUM(E179:I179)</f>
        <v>343050</v>
      </c>
      <c r="K179" s="18"/>
      <c r="L179" s="15" t="n">
        <v>0</v>
      </c>
      <c r="M179" s="13"/>
      <c r="N179" s="15" t="n">
        <v>0</v>
      </c>
      <c r="O179" s="15"/>
      <c r="P179" s="14" t="str">
        <f aca="false">IF(O179="","",O179+E179-L179-N179)</f>
        <v/>
      </c>
      <c r="Q179" s="15"/>
      <c r="R179" s="14" t="str">
        <f aca="false">IF(OR(Q179="",P179=""),"",Q179-P179)</f>
        <v/>
      </c>
      <c r="S179" s="19" t="str">
        <f aca="false">IF(R179="","",IF(ABS(R179)&lt;=Léeme!$B$12,"Cuadra",IF(R179&lt;0,"Faltante","Sobrante")))</f>
        <v/>
      </c>
      <c r="T179" s="13" t="s">
        <v>101</v>
      </c>
    </row>
    <row r="180" customFormat="false" ht="15" hidden="false" customHeight="false" outlineLevel="0" collapsed="false">
      <c r="A180" s="17" t="n">
        <v>45763</v>
      </c>
      <c r="B180" s="13" t="s">
        <v>27</v>
      </c>
      <c r="C180" s="13"/>
      <c r="D180" s="13" t="s">
        <v>100</v>
      </c>
      <c r="E180" s="15" t="n">
        <v>328460</v>
      </c>
      <c r="F180" s="15" t="n">
        <v>50840</v>
      </c>
      <c r="G180" s="15" t="n">
        <v>22360</v>
      </c>
      <c r="H180" s="15" t="n">
        <v>30500</v>
      </c>
      <c r="I180" s="15" t="n">
        <v>12640</v>
      </c>
      <c r="J180" s="14" t="n">
        <f aca="false">SUM(E180:I180)</f>
        <v>444800</v>
      </c>
      <c r="K180" s="18"/>
      <c r="L180" s="15" t="n">
        <v>0</v>
      </c>
      <c r="M180" s="13"/>
      <c r="N180" s="15" t="n">
        <v>0</v>
      </c>
      <c r="O180" s="15"/>
      <c r="P180" s="14" t="str">
        <f aca="false">IF(O180="","",O180+E180-L180-N180)</f>
        <v/>
      </c>
      <c r="Q180" s="15"/>
      <c r="R180" s="14" t="str">
        <f aca="false">IF(OR(Q180="",P180=""),"",Q180-P180)</f>
        <v/>
      </c>
      <c r="S180" s="19" t="str">
        <f aca="false">IF(R180="","",IF(ABS(R180)&lt;=Léeme!$B$12,"Cuadra",IF(R180&lt;0,"Faltante","Sobrante")))</f>
        <v/>
      </c>
      <c r="T180" s="13" t="s">
        <v>101</v>
      </c>
    </row>
    <row r="181" customFormat="false" ht="15" hidden="false" customHeight="false" outlineLevel="0" collapsed="false">
      <c r="A181" s="17" t="n">
        <v>45763</v>
      </c>
      <c r="B181" s="13" t="s">
        <v>28</v>
      </c>
      <c r="C181" s="13"/>
      <c r="D181" s="13" t="s">
        <v>100</v>
      </c>
      <c r="E181" s="15" t="n">
        <v>245250</v>
      </c>
      <c r="F181" s="15" t="n">
        <v>45180</v>
      </c>
      <c r="G181" s="15" t="n">
        <v>18230</v>
      </c>
      <c r="H181" s="15" t="n">
        <v>21760</v>
      </c>
      <c r="I181" s="15" t="n">
        <v>10400</v>
      </c>
      <c r="J181" s="14" t="n">
        <f aca="false">SUM(E181:I181)</f>
        <v>340820</v>
      </c>
      <c r="K181" s="18"/>
      <c r="L181" s="15" t="n">
        <v>0</v>
      </c>
      <c r="M181" s="13"/>
      <c r="N181" s="15" t="n">
        <v>207000</v>
      </c>
      <c r="O181" s="15"/>
      <c r="P181" s="14" t="str">
        <f aca="false">IF(O181="","",O181+E181-L181-N181)</f>
        <v/>
      </c>
      <c r="Q181" s="15"/>
      <c r="R181" s="14" t="str">
        <f aca="false">IF(OR(Q181="",P181=""),"",Q181-P181)</f>
        <v/>
      </c>
      <c r="S181" s="19" t="str">
        <f aca="false">IF(R181="","",IF(ABS(R181)&lt;=Léeme!$B$12,"Cuadra",IF(R181&lt;0,"Faltante","Sobrante")))</f>
        <v/>
      </c>
      <c r="T181" s="13" t="s">
        <v>101</v>
      </c>
    </row>
    <row r="182" customFormat="false" ht="15" hidden="false" customHeight="false" outlineLevel="0" collapsed="false">
      <c r="A182" s="17" t="n">
        <v>45764</v>
      </c>
      <c r="B182" s="13" t="s">
        <v>27</v>
      </c>
      <c r="C182" s="13"/>
      <c r="D182" s="13" t="s">
        <v>100</v>
      </c>
      <c r="E182" s="15" t="n">
        <v>277800</v>
      </c>
      <c r="F182" s="15" t="n">
        <v>46370</v>
      </c>
      <c r="G182" s="15" t="n">
        <v>19580</v>
      </c>
      <c r="H182" s="15" t="n">
        <v>25740</v>
      </c>
      <c r="I182" s="15" t="n">
        <v>10170</v>
      </c>
      <c r="J182" s="14" t="n">
        <f aca="false">SUM(E182:I182)</f>
        <v>379660</v>
      </c>
      <c r="K182" s="18"/>
      <c r="L182" s="15" t="n">
        <v>0</v>
      </c>
      <c r="M182" s="13"/>
      <c r="N182" s="15" t="n">
        <v>0</v>
      </c>
      <c r="O182" s="15"/>
      <c r="P182" s="14" t="str">
        <f aca="false">IF(O182="","",O182+E182-L182-N182)</f>
        <v/>
      </c>
      <c r="Q182" s="15"/>
      <c r="R182" s="14" t="str">
        <f aca="false">IF(OR(Q182="",P182=""),"",Q182-P182)</f>
        <v/>
      </c>
      <c r="S182" s="19" t="str">
        <f aca="false">IF(R182="","",IF(ABS(R182)&lt;=Léeme!$B$12,"Cuadra",IF(R182&lt;0,"Faltante","Sobrante")))</f>
        <v/>
      </c>
      <c r="T182" s="13" t="s">
        <v>101</v>
      </c>
    </row>
    <row r="183" customFormat="false" ht="15" hidden="false" customHeight="false" outlineLevel="0" collapsed="false">
      <c r="A183" s="17" t="n">
        <v>45764</v>
      </c>
      <c r="B183" s="13" t="s">
        <v>28</v>
      </c>
      <c r="C183" s="13"/>
      <c r="D183" s="13" t="s">
        <v>100</v>
      </c>
      <c r="E183" s="15" t="n">
        <v>256400</v>
      </c>
      <c r="F183" s="15" t="n">
        <v>36420</v>
      </c>
      <c r="G183" s="15" t="n">
        <v>18050</v>
      </c>
      <c r="H183" s="15" t="n">
        <v>22250</v>
      </c>
      <c r="I183" s="15" t="n">
        <v>9880</v>
      </c>
      <c r="J183" s="14" t="n">
        <f aca="false">SUM(E183:I183)</f>
        <v>343000</v>
      </c>
      <c r="K183" s="18"/>
      <c r="L183" s="15" t="n">
        <v>4180</v>
      </c>
      <c r="M183" s="13" t="s">
        <v>105</v>
      </c>
      <c r="N183" s="15" t="n">
        <v>0</v>
      </c>
      <c r="O183" s="15"/>
      <c r="P183" s="14" t="str">
        <f aca="false">IF(O183="","",O183+E183-L183-N183)</f>
        <v/>
      </c>
      <c r="Q183" s="15"/>
      <c r="R183" s="14" t="str">
        <f aca="false">IF(OR(Q183="",P183=""),"",Q183-P183)</f>
        <v/>
      </c>
      <c r="S183" s="19" t="str">
        <f aca="false">IF(R183="","",IF(ABS(R183)&lt;=Léeme!$B$12,"Cuadra",IF(R183&lt;0,"Faltante","Sobrante")))</f>
        <v/>
      </c>
      <c r="T183" s="13" t="s">
        <v>101</v>
      </c>
    </row>
    <row r="184" customFormat="false" ht="15" hidden="false" customHeight="false" outlineLevel="0" collapsed="false">
      <c r="A184" s="17" t="n">
        <v>45765</v>
      </c>
      <c r="B184" s="13" t="s">
        <v>27</v>
      </c>
      <c r="C184" s="13"/>
      <c r="D184" s="13" t="s">
        <v>100</v>
      </c>
      <c r="E184" s="15" t="n">
        <v>322280</v>
      </c>
      <c r="F184" s="15" t="n">
        <v>51040</v>
      </c>
      <c r="G184" s="15" t="n">
        <v>19480</v>
      </c>
      <c r="H184" s="15" t="n">
        <v>25470</v>
      </c>
      <c r="I184" s="15" t="n">
        <v>11090</v>
      </c>
      <c r="J184" s="14" t="n">
        <f aca="false">SUM(E184:I184)</f>
        <v>429360</v>
      </c>
      <c r="K184" s="18"/>
      <c r="L184" s="15" t="n">
        <v>20040</v>
      </c>
      <c r="M184" s="13" t="s">
        <v>103</v>
      </c>
      <c r="N184" s="15" t="n">
        <v>0</v>
      </c>
      <c r="O184" s="15"/>
      <c r="P184" s="14" t="str">
        <f aca="false">IF(O184="","",O184+E184-L184-N184)</f>
        <v/>
      </c>
      <c r="Q184" s="15"/>
      <c r="R184" s="14" t="str">
        <f aca="false">IF(OR(Q184="",P184=""),"",Q184-P184)</f>
        <v/>
      </c>
      <c r="S184" s="19" t="str">
        <f aca="false">IF(R184="","",IF(ABS(R184)&lt;=Léeme!$B$12,"Cuadra",IF(R184&lt;0,"Faltante","Sobrante")))</f>
        <v/>
      </c>
      <c r="T184" s="13" t="s">
        <v>101</v>
      </c>
    </row>
    <row r="185" customFormat="false" ht="15" hidden="false" customHeight="false" outlineLevel="0" collapsed="false">
      <c r="A185" s="17" t="n">
        <v>45765</v>
      </c>
      <c r="B185" s="13" t="s">
        <v>28</v>
      </c>
      <c r="C185" s="13"/>
      <c r="D185" s="13" t="s">
        <v>100</v>
      </c>
      <c r="E185" s="15" t="n">
        <v>229570</v>
      </c>
      <c r="F185" s="15" t="n">
        <v>32820</v>
      </c>
      <c r="G185" s="15" t="n">
        <v>14940</v>
      </c>
      <c r="H185" s="15" t="n">
        <v>18820</v>
      </c>
      <c r="I185" s="15" t="n">
        <v>8430</v>
      </c>
      <c r="J185" s="14" t="n">
        <f aca="false">SUM(E185:I185)</f>
        <v>304580</v>
      </c>
      <c r="K185" s="18"/>
      <c r="L185" s="15" t="n">
        <v>0</v>
      </c>
      <c r="M185" s="13"/>
      <c r="N185" s="15" t="n">
        <v>0</v>
      </c>
      <c r="O185" s="15"/>
      <c r="P185" s="14" t="str">
        <f aca="false">IF(O185="","",O185+E185-L185-N185)</f>
        <v/>
      </c>
      <c r="Q185" s="15"/>
      <c r="R185" s="14" t="str">
        <f aca="false">IF(OR(Q185="",P185=""),"",Q185-P185)</f>
        <v/>
      </c>
      <c r="S185" s="19" t="str">
        <f aca="false">IF(R185="","",IF(ABS(R185)&lt;=Léeme!$B$12,"Cuadra",IF(R185&lt;0,"Faltante","Sobrante")))</f>
        <v/>
      </c>
      <c r="T185" s="13" t="s">
        <v>101</v>
      </c>
    </row>
    <row r="186" customFormat="false" ht="15" hidden="false" customHeight="false" outlineLevel="0" collapsed="false">
      <c r="A186" s="17" t="n">
        <v>45766</v>
      </c>
      <c r="B186" s="13" t="s">
        <v>27</v>
      </c>
      <c r="C186" s="13"/>
      <c r="D186" s="13" t="s">
        <v>100</v>
      </c>
      <c r="E186" s="15" t="n">
        <v>514140</v>
      </c>
      <c r="F186" s="15" t="n">
        <v>73310</v>
      </c>
      <c r="G186" s="15" t="n">
        <v>34490</v>
      </c>
      <c r="H186" s="15" t="n">
        <v>41790</v>
      </c>
      <c r="I186" s="15" t="n">
        <v>18390</v>
      </c>
      <c r="J186" s="14" t="n">
        <f aca="false">SUM(E186:I186)</f>
        <v>682120</v>
      </c>
      <c r="K186" s="18"/>
      <c r="L186" s="15" t="n">
        <v>10050</v>
      </c>
      <c r="M186" s="13" t="s">
        <v>103</v>
      </c>
      <c r="N186" s="15" t="n">
        <v>356000</v>
      </c>
      <c r="O186" s="15"/>
      <c r="P186" s="14" t="str">
        <f aca="false">IF(O186="","",O186+E186-L186-N186)</f>
        <v/>
      </c>
      <c r="Q186" s="15"/>
      <c r="R186" s="14" t="str">
        <f aca="false">IF(OR(Q186="",P186=""),"",Q186-P186)</f>
        <v/>
      </c>
      <c r="S186" s="19" t="str">
        <f aca="false">IF(R186="","",IF(ABS(R186)&lt;=Léeme!$B$12,"Cuadra",IF(R186&lt;0,"Faltante","Sobrante")))</f>
        <v/>
      </c>
      <c r="T186" s="13" t="s">
        <v>101</v>
      </c>
    </row>
    <row r="187" customFormat="false" ht="15" hidden="false" customHeight="false" outlineLevel="0" collapsed="false">
      <c r="A187" s="17" t="n">
        <v>45766</v>
      </c>
      <c r="B187" s="13" t="s">
        <v>28</v>
      </c>
      <c r="C187" s="13"/>
      <c r="D187" s="13" t="s">
        <v>100</v>
      </c>
      <c r="E187" s="15" t="n">
        <v>414230</v>
      </c>
      <c r="F187" s="15" t="n">
        <v>56960</v>
      </c>
      <c r="G187" s="15" t="n">
        <v>22270</v>
      </c>
      <c r="H187" s="15" t="n">
        <v>32860</v>
      </c>
      <c r="I187" s="15" t="n">
        <v>12770</v>
      </c>
      <c r="J187" s="14" t="n">
        <f aca="false">SUM(E187:I187)</f>
        <v>539090</v>
      </c>
      <c r="K187" s="18"/>
      <c r="L187" s="15" t="n">
        <v>0</v>
      </c>
      <c r="M187" s="13"/>
      <c r="N187" s="15" t="n">
        <v>333000</v>
      </c>
      <c r="O187" s="15"/>
      <c r="P187" s="14" t="str">
        <f aca="false">IF(O187="","",O187+E187-L187-N187)</f>
        <v/>
      </c>
      <c r="Q187" s="15"/>
      <c r="R187" s="14" t="str">
        <f aca="false">IF(OR(Q187="",P187=""),"",Q187-P187)</f>
        <v/>
      </c>
      <c r="S187" s="19" t="str">
        <f aca="false">IF(R187="","",IF(ABS(R187)&lt;=Léeme!$B$12,"Cuadra",IF(R187&lt;0,"Faltante","Sobrante")))</f>
        <v/>
      </c>
      <c r="T187" s="13" t="s">
        <v>101</v>
      </c>
    </row>
    <row r="188" customFormat="false" ht="15" hidden="false" customHeight="false" outlineLevel="0" collapsed="false">
      <c r="A188" s="17" t="n">
        <v>45767</v>
      </c>
      <c r="B188" s="13" t="s">
        <v>27</v>
      </c>
      <c r="C188" s="13"/>
      <c r="D188" s="13" t="s">
        <v>100</v>
      </c>
      <c r="E188" s="15" t="n">
        <v>834790</v>
      </c>
      <c r="F188" s="15" t="n">
        <v>125720</v>
      </c>
      <c r="G188" s="15" t="n">
        <v>51130</v>
      </c>
      <c r="H188" s="15" t="n">
        <v>61980</v>
      </c>
      <c r="I188" s="15" t="n">
        <v>29320</v>
      </c>
      <c r="J188" s="14" t="n">
        <f aca="false">SUM(E188:I188)</f>
        <v>1102940</v>
      </c>
      <c r="K188" s="18"/>
      <c r="L188" s="15" t="n">
        <v>0</v>
      </c>
      <c r="M188" s="13"/>
      <c r="N188" s="15" t="n">
        <v>654000</v>
      </c>
      <c r="O188" s="15"/>
      <c r="P188" s="14" t="str">
        <f aca="false">IF(O188="","",O188+E188-L188-N188)</f>
        <v/>
      </c>
      <c r="Q188" s="15"/>
      <c r="R188" s="14" t="str">
        <f aca="false">IF(OR(Q188="",P188=""),"",Q188-P188)</f>
        <v/>
      </c>
      <c r="S188" s="19" t="str">
        <f aca="false">IF(R188="","",IF(ABS(R188)&lt;=Léeme!$B$12,"Cuadra",IF(R188&lt;0,"Faltante","Sobrante")))</f>
        <v/>
      </c>
      <c r="T188" s="13" t="s">
        <v>101</v>
      </c>
    </row>
    <row r="189" customFormat="false" ht="15" hidden="false" customHeight="false" outlineLevel="0" collapsed="false">
      <c r="A189" s="17" t="n">
        <v>45767</v>
      </c>
      <c r="B189" s="13" t="s">
        <v>28</v>
      </c>
      <c r="C189" s="13"/>
      <c r="D189" s="13" t="s">
        <v>100</v>
      </c>
      <c r="E189" s="15" t="n">
        <v>548210</v>
      </c>
      <c r="F189" s="15" t="n">
        <v>83200</v>
      </c>
      <c r="G189" s="15" t="n">
        <v>33590</v>
      </c>
      <c r="H189" s="15" t="n">
        <v>53130</v>
      </c>
      <c r="I189" s="15" t="n">
        <v>21980</v>
      </c>
      <c r="J189" s="14" t="n">
        <f aca="false">SUM(E189:I189)</f>
        <v>740110</v>
      </c>
      <c r="K189" s="18"/>
      <c r="L189" s="15" t="n">
        <v>3440</v>
      </c>
      <c r="M189" s="13" t="s">
        <v>105</v>
      </c>
      <c r="N189" s="15" t="n">
        <v>0</v>
      </c>
      <c r="O189" s="15"/>
      <c r="P189" s="14" t="str">
        <f aca="false">IF(O189="","",O189+E189-L189-N189)</f>
        <v/>
      </c>
      <c r="Q189" s="15"/>
      <c r="R189" s="14" t="str">
        <f aca="false">IF(OR(Q189="",P189=""),"",Q189-P189)</f>
        <v/>
      </c>
      <c r="S189" s="19" t="str">
        <f aca="false">IF(R189="","",IF(ABS(R189)&lt;=Léeme!$B$12,"Cuadra",IF(R189&lt;0,"Faltante","Sobrante")))</f>
        <v/>
      </c>
      <c r="T189" s="13" t="s">
        <v>101</v>
      </c>
    </row>
    <row r="190" customFormat="false" ht="15" hidden="false" customHeight="false" outlineLevel="0" collapsed="false">
      <c r="A190" s="17" t="n">
        <v>45769</v>
      </c>
      <c r="B190" s="13" t="s">
        <v>27</v>
      </c>
      <c r="C190" s="13"/>
      <c r="D190" s="13" t="s">
        <v>100</v>
      </c>
      <c r="E190" s="15" t="n">
        <v>284570</v>
      </c>
      <c r="F190" s="15" t="n">
        <v>41660</v>
      </c>
      <c r="G190" s="15" t="n">
        <v>17810</v>
      </c>
      <c r="H190" s="15" t="n">
        <v>22480</v>
      </c>
      <c r="I190" s="15" t="n">
        <v>9680</v>
      </c>
      <c r="J190" s="14" t="n">
        <f aca="false">SUM(E190:I190)</f>
        <v>376200</v>
      </c>
      <c r="K190" s="18"/>
      <c r="L190" s="15" t="n">
        <v>0</v>
      </c>
      <c r="M190" s="13"/>
      <c r="N190" s="15" t="n">
        <v>215000</v>
      </c>
      <c r="O190" s="15"/>
      <c r="P190" s="14" t="str">
        <f aca="false">IF(O190="","",O190+E190-L190-N190)</f>
        <v/>
      </c>
      <c r="Q190" s="15"/>
      <c r="R190" s="14" t="str">
        <f aca="false">IF(OR(Q190="",P190=""),"",Q190-P190)</f>
        <v/>
      </c>
      <c r="S190" s="19" t="str">
        <f aca="false">IF(R190="","",IF(ABS(R190)&lt;=Léeme!$B$12,"Cuadra",IF(R190&lt;0,"Faltante","Sobrante")))</f>
        <v/>
      </c>
      <c r="T190" s="13" t="s">
        <v>101</v>
      </c>
    </row>
    <row r="191" customFormat="false" ht="15" hidden="false" customHeight="false" outlineLevel="0" collapsed="false">
      <c r="A191" s="17" t="n">
        <v>45769</v>
      </c>
      <c r="B191" s="13" t="s">
        <v>28</v>
      </c>
      <c r="C191" s="13"/>
      <c r="D191" s="13" t="s">
        <v>100</v>
      </c>
      <c r="E191" s="15" t="n">
        <v>219850</v>
      </c>
      <c r="F191" s="15" t="n">
        <v>29830</v>
      </c>
      <c r="G191" s="15" t="n">
        <v>13980</v>
      </c>
      <c r="H191" s="15" t="n">
        <v>19340</v>
      </c>
      <c r="I191" s="15" t="n">
        <v>7110</v>
      </c>
      <c r="J191" s="14" t="n">
        <f aca="false">SUM(E191:I191)</f>
        <v>290110</v>
      </c>
      <c r="K191" s="18"/>
      <c r="L191" s="15" t="n">
        <v>0</v>
      </c>
      <c r="M191" s="13"/>
      <c r="N191" s="15" t="n">
        <v>0</v>
      </c>
      <c r="O191" s="15"/>
      <c r="P191" s="14" t="str">
        <f aca="false">IF(O191="","",O191+E191-L191-N191)</f>
        <v/>
      </c>
      <c r="Q191" s="15"/>
      <c r="R191" s="14" t="str">
        <f aca="false">IF(OR(Q191="",P191=""),"",Q191-P191)</f>
        <v/>
      </c>
      <c r="S191" s="19" t="str">
        <f aca="false">IF(R191="","",IF(ABS(R191)&lt;=Léeme!$B$12,"Cuadra",IF(R191&lt;0,"Faltante","Sobrante")))</f>
        <v/>
      </c>
      <c r="T191" s="13" t="s">
        <v>101</v>
      </c>
    </row>
    <row r="192" customFormat="false" ht="15" hidden="false" customHeight="false" outlineLevel="0" collapsed="false">
      <c r="A192" s="17" t="n">
        <v>45770</v>
      </c>
      <c r="B192" s="13" t="s">
        <v>27</v>
      </c>
      <c r="C192" s="13"/>
      <c r="D192" s="13" t="s">
        <v>100</v>
      </c>
      <c r="E192" s="15" t="n">
        <v>325920</v>
      </c>
      <c r="F192" s="15" t="n">
        <v>49150</v>
      </c>
      <c r="G192" s="15" t="n">
        <v>22380</v>
      </c>
      <c r="H192" s="15" t="n">
        <v>25830</v>
      </c>
      <c r="I192" s="15" t="n">
        <v>13050</v>
      </c>
      <c r="J192" s="14" t="n">
        <f aca="false">SUM(E192:I192)</f>
        <v>436330</v>
      </c>
      <c r="K192" s="18"/>
      <c r="L192" s="15" t="n">
        <v>6260</v>
      </c>
      <c r="M192" s="13" t="s">
        <v>105</v>
      </c>
      <c r="N192" s="15" t="n">
        <v>0</v>
      </c>
      <c r="O192" s="15"/>
      <c r="P192" s="14" t="str">
        <f aca="false">IF(O192="","",O192+E192-L192-N192)</f>
        <v/>
      </c>
      <c r="Q192" s="15"/>
      <c r="R192" s="14" t="str">
        <f aca="false">IF(OR(Q192="",P192=""),"",Q192-P192)</f>
        <v/>
      </c>
      <c r="S192" s="19" t="str">
        <f aca="false">IF(R192="","",IF(ABS(R192)&lt;=Léeme!$B$12,"Cuadra",IF(R192&lt;0,"Faltante","Sobrante")))</f>
        <v/>
      </c>
      <c r="T192" s="13" t="s">
        <v>101</v>
      </c>
    </row>
    <row r="193" customFormat="false" ht="15" hidden="false" customHeight="false" outlineLevel="0" collapsed="false">
      <c r="A193" s="17" t="n">
        <v>45770</v>
      </c>
      <c r="B193" s="13" t="s">
        <v>28</v>
      </c>
      <c r="C193" s="13"/>
      <c r="D193" s="13" t="s">
        <v>100</v>
      </c>
      <c r="E193" s="15" t="n">
        <v>224900</v>
      </c>
      <c r="F193" s="15" t="n">
        <v>37970</v>
      </c>
      <c r="G193" s="15" t="n">
        <v>14550</v>
      </c>
      <c r="H193" s="15" t="n">
        <v>20280</v>
      </c>
      <c r="I193" s="15" t="n">
        <v>8360</v>
      </c>
      <c r="J193" s="14" t="n">
        <f aca="false">SUM(E193:I193)</f>
        <v>306060</v>
      </c>
      <c r="K193" s="18"/>
      <c r="L193" s="15" t="n">
        <v>0</v>
      </c>
      <c r="M193" s="13"/>
      <c r="N193" s="15" t="n">
        <v>177000</v>
      </c>
      <c r="O193" s="15"/>
      <c r="P193" s="14" t="str">
        <f aca="false">IF(O193="","",O193+E193-L193-N193)</f>
        <v/>
      </c>
      <c r="Q193" s="15"/>
      <c r="R193" s="14" t="str">
        <f aca="false">IF(OR(Q193="",P193=""),"",Q193-P193)</f>
        <v/>
      </c>
      <c r="S193" s="19" t="str">
        <f aca="false">IF(R193="","",IF(ABS(R193)&lt;=Léeme!$B$12,"Cuadra",IF(R193&lt;0,"Faltante","Sobrante")))</f>
        <v/>
      </c>
      <c r="T193" s="13" t="s">
        <v>101</v>
      </c>
    </row>
    <row r="194" customFormat="false" ht="15" hidden="false" customHeight="false" outlineLevel="0" collapsed="false">
      <c r="A194" s="17" t="n">
        <v>45771</v>
      </c>
      <c r="B194" s="13" t="s">
        <v>27</v>
      </c>
      <c r="C194" s="13"/>
      <c r="D194" s="13" t="s">
        <v>100</v>
      </c>
      <c r="E194" s="15" t="n">
        <v>296350</v>
      </c>
      <c r="F194" s="15" t="n">
        <v>48500</v>
      </c>
      <c r="G194" s="15" t="n">
        <v>18700</v>
      </c>
      <c r="H194" s="15" t="n">
        <v>25600</v>
      </c>
      <c r="I194" s="15" t="n">
        <v>11030</v>
      </c>
      <c r="J194" s="14" t="n">
        <f aca="false">SUM(E194:I194)</f>
        <v>400180</v>
      </c>
      <c r="K194" s="18"/>
      <c r="L194" s="15" t="n">
        <v>0</v>
      </c>
      <c r="M194" s="13"/>
      <c r="N194" s="15" t="n">
        <v>0</v>
      </c>
      <c r="O194" s="15"/>
      <c r="P194" s="14" t="str">
        <f aca="false">IF(O194="","",O194+E194-L194-N194)</f>
        <v/>
      </c>
      <c r="Q194" s="15"/>
      <c r="R194" s="14" t="str">
        <f aca="false">IF(OR(Q194="",P194=""),"",Q194-P194)</f>
        <v/>
      </c>
      <c r="S194" s="19" t="str">
        <f aca="false">IF(R194="","",IF(ABS(R194)&lt;=Léeme!$B$12,"Cuadra",IF(R194&lt;0,"Faltante","Sobrante")))</f>
        <v/>
      </c>
      <c r="T194" s="13" t="s">
        <v>101</v>
      </c>
    </row>
    <row r="195" customFormat="false" ht="15" hidden="false" customHeight="false" outlineLevel="0" collapsed="false">
      <c r="A195" s="17" t="n">
        <v>45771</v>
      </c>
      <c r="B195" s="13" t="s">
        <v>28</v>
      </c>
      <c r="C195" s="13"/>
      <c r="D195" s="13" t="s">
        <v>100</v>
      </c>
      <c r="E195" s="15" t="n">
        <v>248980</v>
      </c>
      <c r="F195" s="15" t="n">
        <v>39180</v>
      </c>
      <c r="G195" s="15" t="n">
        <v>15970</v>
      </c>
      <c r="H195" s="15" t="n">
        <v>23040</v>
      </c>
      <c r="I195" s="15" t="n">
        <v>9810</v>
      </c>
      <c r="J195" s="14" t="n">
        <f aca="false">SUM(E195:I195)</f>
        <v>336980</v>
      </c>
      <c r="K195" s="18"/>
      <c r="L195" s="15" t="n">
        <v>0</v>
      </c>
      <c r="M195" s="13"/>
      <c r="N195" s="15" t="n">
        <v>0</v>
      </c>
      <c r="O195" s="15"/>
      <c r="P195" s="14" t="str">
        <f aca="false">IF(O195="","",O195+E195-L195-N195)</f>
        <v/>
      </c>
      <c r="Q195" s="15"/>
      <c r="R195" s="14" t="str">
        <f aca="false">IF(OR(Q195="",P195=""),"",Q195-P195)</f>
        <v/>
      </c>
      <c r="S195" s="19" t="str">
        <f aca="false">IF(R195="","",IF(ABS(R195)&lt;=Léeme!$B$12,"Cuadra",IF(R195&lt;0,"Faltante","Sobrante")))</f>
        <v/>
      </c>
      <c r="T195" s="13" t="s">
        <v>101</v>
      </c>
    </row>
    <row r="196" customFormat="false" ht="15" hidden="false" customHeight="false" outlineLevel="0" collapsed="false">
      <c r="A196" s="17" t="n">
        <v>45772</v>
      </c>
      <c r="B196" s="13" t="s">
        <v>27</v>
      </c>
      <c r="C196" s="13"/>
      <c r="D196" s="13" t="s">
        <v>100</v>
      </c>
      <c r="E196" s="15" t="n">
        <v>340560</v>
      </c>
      <c r="F196" s="15" t="n">
        <v>51480</v>
      </c>
      <c r="G196" s="15" t="n">
        <v>18550</v>
      </c>
      <c r="H196" s="15" t="n">
        <v>26870</v>
      </c>
      <c r="I196" s="15" t="n">
        <v>12320</v>
      </c>
      <c r="J196" s="14" t="n">
        <f aca="false">SUM(E196:I196)</f>
        <v>449780</v>
      </c>
      <c r="K196" s="18"/>
      <c r="L196" s="15" t="n">
        <v>0</v>
      </c>
      <c r="M196" s="13"/>
      <c r="N196" s="15" t="n">
        <v>0</v>
      </c>
      <c r="O196" s="15"/>
      <c r="P196" s="14" t="str">
        <f aca="false">IF(O196="","",O196+E196-L196-N196)</f>
        <v/>
      </c>
      <c r="Q196" s="15"/>
      <c r="R196" s="14" t="str">
        <f aca="false">IF(OR(Q196="",P196=""),"",Q196-P196)</f>
        <v/>
      </c>
      <c r="S196" s="19" t="str">
        <f aca="false">IF(R196="","",IF(ABS(R196)&lt;=Léeme!$B$12,"Cuadra",IF(R196&lt;0,"Faltante","Sobrante")))</f>
        <v/>
      </c>
      <c r="T196" s="13" t="s">
        <v>101</v>
      </c>
    </row>
    <row r="197" customFormat="false" ht="15" hidden="false" customHeight="false" outlineLevel="0" collapsed="false">
      <c r="A197" s="17" t="n">
        <v>45772</v>
      </c>
      <c r="B197" s="13" t="s">
        <v>28</v>
      </c>
      <c r="C197" s="13"/>
      <c r="D197" s="13" t="s">
        <v>100</v>
      </c>
      <c r="E197" s="15" t="n">
        <v>221030</v>
      </c>
      <c r="F197" s="15" t="n">
        <v>29550</v>
      </c>
      <c r="G197" s="15" t="n">
        <v>13050</v>
      </c>
      <c r="H197" s="15" t="n">
        <v>16870</v>
      </c>
      <c r="I197" s="15" t="n">
        <v>7170</v>
      </c>
      <c r="J197" s="14" t="n">
        <f aca="false">SUM(E197:I197)</f>
        <v>287670</v>
      </c>
      <c r="K197" s="18"/>
      <c r="L197" s="15" t="n">
        <v>0</v>
      </c>
      <c r="M197" s="13"/>
      <c r="N197" s="15" t="n">
        <v>0</v>
      </c>
      <c r="O197" s="15"/>
      <c r="P197" s="14" t="str">
        <f aca="false">IF(O197="","",O197+E197-L197-N197)</f>
        <v/>
      </c>
      <c r="Q197" s="15"/>
      <c r="R197" s="14" t="str">
        <f aca="false">IF(OR(Q197="",P197=""),"",Q197-P197)</f>
        <v/>
      </c>
      <c r="S197" s="19" t="str">
        <f aca="false">IF(R197="","",IF(ABS(R197)&lt;=Léeme!$B$12,"Cuadra",IF(R197&lt;0,"Faltante","Sobrante")))</f>
        <v/>
      </c>
      <c r="T197" s="13" t="s">
        <v>101</v>
      </c>
    </row>
    <row r="198" customFormat="false" ht="15" hidden="false" customHeight="false" outlineLevel="0" collapsed="false">
      <c r="A198" s="17" t="n">
        <v>45773</v>
      </c>
      <c r="B198" s="13" t="s">
        <v>27</v>
      </c>
      <c r="C198" s="13"/>
      <c r="D198" s="13" t="s">
        <v>100</v>
      </c>
      <c r="E198" s="15" t="n">
        <v>498790</v>
      </c>
      <c r="F198" s="15" t="n">
        <v>84400</v>
      </c>
      <c r="G198" s="15" t="n">
        <v>36880</v>
      </c>
      <c r="H198" s="15" t="n">
        <v>51160</v>
      </c>
      <c r="I198" s="15" t="n">
        <v>22500</v>
      </c>
      <c r="J198" s="14" t="n">
        <f aca="false">SUM(E198:I198)</f>
        <v>693730</v>
      </c>
      <c r="K198" s="18"/>
      <c r="L198" s="15" t="n">
        <v>25680</v>
      </c>
      <c r="M198" s="13" t="s">
        <v>103</v>
      </c>
      <c r="N198" s="15" t="n">
        <v>0</v>
      </c>
      <c r="O198" s="15"/>
      <c r="P198" s="14" t="str">
        <f aca="false">IF(O198="","",O198+E198-L198-N198)</f>
        <v/>
      </c>
      <c r="Q198" s="15"/>
      <c r="R198" s="14" t="str">
        <f aca="false">IF(OR(Q198="",P198=""),"",Q198-P198)</f>
        <v/>
      </c>
      <c r="S198" s="19" t="str">
        <f aca="false">IF(R198="","",IF(ABS(R198)&lt;=Léeme!$B$12,"Cuadra",IF(R198&lt;0,"Faltante","Sobrante")))</f>
        <v/>
      </c>
      <c r="T198" s="13" t="s">
        <v>101</v>
      </c>
    </row>
    <row r="199" customFormat="false" ht="15" hidden="false" customHeight="false" outlineLevel="0" collapsed="false">
      <c r="A199" s="17" t="n">
        <v>45773</v>
      </c>
      <c r="B199" s="13" t="s">
        <v>28</v>
      </c>
      <c r="C199" s="13"/>
      <c r="D199" s="13" t="s">
        <v>100</v>
      </c>
      <c r="E199" s="15" t="n">
        <v>409190</v>
      </c>
      <c r="F199" s="15" t="n">
        <v>61940</v>
      </c>
      <c r="G199" s="15" t="n">
        <v>26090</v>
      </c>
      <c r="H199" s="15" t="n">
        <v>30980</v>
      </c>
      <c r="I199" s="15" t="n">
        <v>15750</v>
      </c>
      <c r="J199" s="14" t="n">
        <f aca="false">SUM(E199:I199)</f>
        <v>543950</v>
      </c>
      <c r="K199" s="18"/>
      <c r="L199" s="15" t="n">
        <v>0</v>
      </c>
      <c r="M199" s="13"/>
      <c r="N199" s="15" t="n">
        <v>257000</v>
      </c>
      <c r="O199" s="15"/>
      <c r="P199" s="14" t="str">
        <f aca="false">IF(O199="","",O199+E199-L199-N199)</f>
        <v/>
      </c>
      <c r="Q199" s="15"/>
      <c r="R199" s="14" t="str">
        <f aca="false">IF(OR(Q199="",P199=""),"",Q199-P199)</f>
        <v/>
      </c>
      <c r="S199" s="19" t="str">
        <f aca="false">IF(R199="","",IF(ABS(R199)&lt;=Léeme!$B$12,"Cuadra",IF(R199&lt;0,"Faltante","Sobrante")))</f>
        <v/>
      </c>
      <c r="T199" s="13" t="s">
        <v>101</v>
      </c>
    </row>
    <row r="200" customFormat="false" ht="15" hidden="false" customHeight="false" outlineLevel="0" collapsed="false">
      <c r="A200" s="17" t="n">
        <v>45774</v>
      </c>
      <c r="B200" s="13" t="s">
        <v>27</v>
      </c>
      <c r="C200" s="13"/>
      <c r="D200" s="13" t="s">
        <v>100</v>
      </c>
      <c r="E200" s="15" t="n">
        <v>733250</v>
      </c>
      <c r="F200" s="15" t="n">
        <v>113750</v>
      </c>
      <c r="G200" s="15" t="n">
        <v>40780</v>
      </c>
      <c r="H200" s="15" t="n">
        <v>65860</v>
      </c>
      <c r="I200" s="15" t="n">
        <v>28720</v>
      </c>
      <c r="J200" s="14" t="n">
        <f aca="false">SUM(E200:I200)</f>
        <v>982360</v>
      </c>
      <c r="K200" s="18"/>
      <c r="L200" s="15" t="n">
        <v>5010</v>
      </c>
      <c r="M200" s="13" t="s">
        <v>104</v>
      </c>
      <c r="N200" s="15" t="n">
        <v>553000</v>
      </c>
      <c r="O200" s="15"/>
      <c r="P200" s="14" t="str">
        <f aca="false">IF(O200="","",O200+E200-L200-N200)</f>
        <v/>
      </c>
      <c r="Q200" s="15"/>
      <c r="R200" s="14" t="str">
        <f aca="false">IF(OR(Q200="",P200=""),"",Q200-P200)</f>
        <v/>
      </c>
      <c r="S200" s="19" t="str">
        <f aca="false">IF(R200="","",IF(ABS(R200)&lt;=Léeme!$B$12,"Cuadra",IF(R200&lt;0,"Faltante","Sobrante")))</f>
        <v/>
      </c>
      <c r="T200" s="13" t="s">
        <v>101</v>
      </c>
    </row>
    <row r="201" customFormat="false" ht="15" hidden="false" customHeight="false" outlineLevel="0" collapsed="false">
      <c r="A201" s="17" t="n">
        <v>45774</v>
      </c>
      <c r="B201" s="13" t="s">
        <v>28</v>
      </c>
      <c r="C201" s="13"/>
      <c r="D201" s="13" t="s">
        <v>100</v>
      </c>
      <c r="E201" s="15" t="n">
        <v>538860</v>
      </c>
      <c r="F201" s="15" t="n">
        <v>94730</v>
      </c>
      <c r="G201" s="15" t="n">
        <v>35270</v>
      </c>
      <c r="H201" s="15" t="n">
        <v>45470</v>
      </c>
      <c r="I201" s="15" t="n">
        <v>20670</v>
      </c>
      <c r="J201" s="14" t="n">
        <f aca="false">SUM(E201:I201)</f>
        <v>735000</v>
      </c>
      <c r="K201" s="18"/>
      <c r="L201" s="15" t="n">
        <v>0</v>
      </c>
      <c r="M201" s="13"/>
      <c r="N201" s="15" t="n">
        <v>450000</v>
      </c>
      <c r="O201" s="15"/>
      <c r="P201" s="14" t="str">
        <f aca="false">IF(O201="","",O201+E201-L201-N201)</f>
        <v/>
      </c>
      <c r="Q201" s="15"/>
      <c r="R201" s="14" t="str">
        <f aca="false">IF(OR(Q201="",P201=""),"",Q201-P201)</f>
        <v/>
      </c>
      <c r="S201" s="19" t="str">
        <f aca="false">IF(R201="","",IF(ABS(R201)&lt;=Léeme!$B$12,"Cuadra",IF(R201&lt;0,"Faltante","Sobrante")))</f>
        <v/>
      </c>
      <c r="T201" s="13" t="s">
        <v>101</v>
      </c>
    </row>
    <row r="202" customFormat="false" ht="15" hidden="false" customHeight="false" outlineLevel="0" collapsed="false">
      <c r="A202" s="17" t="n">
        <v>45776</v>
      </c>
      <c r="B202" s="13" t="s">
        <v>27</v>
      </c>
      <c r="C202" s="13"/>
      <c r="D202" s="13" t="s">
        <v>100</v>
      </c>
      <c r="E202" s="15" t="n">
        <v>291420</v>
      </c>
      <c r="F202" s="15" t="n">
        <v>46280</v>
      </c>
      <c r="G202" s="15" t="n">
        <v>22500</v>
      </c>
      <c r="H202" s="15" t="n">
        <v>29190</v>
      </c>
      <c r="I202" s="15" t="n">
        <v>12450</v>
      </c>
      <c r="J202" s="14" t="n">
        <f aca="false">SUM(E202:I202)</f>
        <v>401840</v>
      </c>
      <c r="K202" s="18"/>
      <c r="L202" s="15" t="n">
        <v>0</v>
      </c>
      <c r="M202" s="13"/>
      <c r="N202" s="15" t="n">
        <v>0</v>
      </c>
      <c r="O202" s="15"/>
      <c r="P202" s="14" t="str">
        <f aca="false">IF(O202="","",O202+E202-L202-N202)</f>
        <v/>
      </c>
      <c r="Q202" s="15"/>
      <c r="R202" s="14" t="str">
        <f aca="false">IF(OR(Q202="",P202=""),"",Q202-P202)</f>
        <v/>
      </c>
      <c r="S202" s="19" t="str">
        <f aca="false">IF(R202="","",IF(ABS(R202)&lt;=Léeme!$B$12,"Cuadra",IF(R202&lt;0,"Faltante","Sobrante")))</f>
        <v/>
      </c>
      <c r="T202" s="13" t="s">
        <v>101</v>
      </c>
    </row>
    <row r="203" customFormat="false" ht="15" hidden="false" customHeight="false" outlineLevel="0" collapsed="false">
      <c r="A203" s="17" t="n">
        <v>45776</v>
      </c>
      <c r="B203" s="13" t="s">
        <v>28</v>
      </c>
      <c r="C203" s="13"/>
      <c r="D203" s="13" t="s">
        <v>100</v>
      </c>
      <c r="E203" s="15" t="n">
        <v>219000</v>
      </c>
      <c r="F203" s="15" t="n">
        <v>34550</v>
      </c>
      <c r="G203" s="15" t="n">
        <v>14400</v>
      </c>
      <c r="H203" s="15" t="n">
        <v>19320</v>
      </c>
      <c r="I203" s="15" t="n">
        <v>7210</v>
      </c>
      <c r="J203" s="14" t="n">
        <f aca="false">SUM(E203:I203)</f>
        <v>294480</v>
      </c>
      <c r="K203" s="18"/>
      <c r="L203" s="15" t="n">
        <v>2470</v>
      </c>
      <c r="M203" s="13" t="s">
        <v>105</v>
      </c>
      <c r="N203" s="15" t="n">
        <v>0</v>
      </c>
      <c r="O203" s="15"/>
      <c r="P203" s="14" t="str">
        <f aca="false">IF(O203="","",O203+E203-L203-N203)</f>
        <v/>
      </c>
      <c r="Q203" s="15"/>
      <c r="R203" s="14" t="str">
        <f aca="false">IF(OR(Q203="",P203=""),"",Q203-P203)</f>
        <v/>
      </c>
      <c r="S203" s="19" t="str">
        <f aca="false">IF(R203="","",IF(ABS(R203)&lt;=Léeme!$B$12,"Cuadra",IF(R203&lt;0,"Faltante","Sobrante")))</f>
        <v/>
      </c>
      <c r="T203" s="13" t="s">
        <v>101</v>
      </c>
    </row>
    <row r="204" customFormat="false" ht="15" hidden="false" customHeight="false" outlineLevel="0" collapsed="false">
      <c r="A204" s="17" t="n">
        <v>45777</v>
      </c>
      <c r="B204" s="13" t="s">
        <v>27</v>
      </c>
      <c r="C204" s="13"/>
      <c r="D204" s="13" t="s">
        <v>100</v>
      </c>
      <c r="E204" s="15" t="n">
        <v>262510</v>
      </c>
      <c r="F204" s="15" t="n">
        <v>46230</v>
      </c>
      <c r="G204" s="15" t="n">
        <v>19520</v>
      </c>
      <c r="H204" s="15" t="n">
        <v>24760</v>
      </c>
      <c r="I204" s="15" t="n">
        <v>11170</v>
      </c>
      <c r="J204" s="14" t="n">
        <f aca="false">SUM(E204:I204)</f>
        <v>364190</v>
      </c>
      <c r="K204" s="18"/>
      <c r="L204" s="15" t="n">
        <v>0</v>
      </c>
      <c r="M204" s="13"/>
      <c r="N204" s="15" t="n">
        <v>0</v>
      </c>
      <c r="O204" s="15"/>
      <c r="P204" s="14" t="str">
        <f aca="false">IF(O204="","",O204+E204-L204-N204)</f>
        <v/>
      </c>
      <c r="Q204" s="15"/>
      <c r="R204" s="14" t="str">
        <f aca="false">IF(OR(Q204="",P204=""),"",Q204-P204)</f>
        <v/>
      </c>
      <c r="S204" s="19" t="str">
        <f aca="false">IF(R204="","",IF(ABS(R204)&lt;=Léeme!$B$12,"Cuadra",IF(R204&lt;0,"Faltante","Sobrante")))</f>
        <v/>
      </c>
      <c r="T204" s="13" t="s">
        <v>101</v>
      </c>
    </row>
    <row r="205" customFormat="false" ht="15" hidden="false" customHeight="false" outlineLevel="0" collapsed="false">
      <c r="A205" s="17" t="n">
        <v>45777</v>
      </c>
      <c r="B205" s="13" t="s">
        <v>28</v>
      </c>
      <c r="C205" s="13"/>
      <c r="D205" s="13" t="s">
        <v>100</v>
      </c>
      <c r="E205" s="15" t="n">
        <v>247610</v>
      </c>
      <c r="F205" s="15" t="n">
        <v>37190</v>
      </c>
      <c r="G205" s="15" t="n">
        <v>16830</v>
      </c>
      <c r="H205" s="15" t="n">
        <v>23980</v>
      </c>
      <c r="I205" s="15" t="n">
        <v>10270</v>
      </c>
      <c r="J205" s="14" t="n">
        <f aca="false">SUM(E205:I205)</f>
        <v>335880</v>
      </c>
      <c r="K205" s="18"/>
      <c r="L205" s="15" t="n">
        <v>16610</v>
      </c>
      <c r="M205" s="13" t="s">
        <v>103</v>
      </c>
      <c r="N205" s="15" t="n">
        <v>0</v>
      </c>
      <c r="O205" s="15"/>
      <c r="P205" s="14" t="str">
        <f aca="false">IF(O205="","",O205+E205-L205-N205)</f>
        <v/>
      </c>
      <c r="Q205" s="15"/>
      <c r="R205" s="14" t="str">
        <f aca="false">IF(OR(Q205="",P205=""),"",Q205-P205)</f>
        <v/>
      </c>
      <c r="S205" s="19" t="str">
        <f aca="false">IF(R205="","",IF(ABS(R205)&lt;=Léeme!$B$12,"Cuadra",IF(R205&lt;0,"Faltante","Sobrante")))</f>
        <v/>
      </c>
      <c r="T205" s="13" t="s">
        <v>101</v>
      </c>
    </row>
    <row r="206" customFormat="false" ht="15" hidden="false" customHeight="false" outlineLevel="0" collapsed="false">
      <c r="A206" s="17" t="n">
        <v>45778</v>
      </c>
      <c r="B206" s="13" t="s">
        <v>27</v>
      </c>
      <c r="C206" s="13"/>
      <c r="D206" s="13" t="s">
        <v>100</v>
      </c>
      <c r="E206" s="15" t="n">
        <v>348740</v>
      </c>
      <c r="F206" s="15" t="n">
        <v>50190</v>
      </c>
      <c r="G206" s="15" t="n">
        <v>20570</v>
      </c>
      <c r="H206" s="15" t="n">
        <v>31780</v>
      </c>
      <c r="I206" s="15" t="n">
        <v>12400</v>
      </c>
      <c r="J206" s="14" t="n">
        <f aca="false">SUM(E206:I206)</f>
        <v>463680</v>
      </c>
      <c r="K206" s="18"/>
      <c r="L206" s="15" t="n">
        <v>0</v>
      </c>
      <c r="M206" s="13"/>
      <c r="N206" s="15" t="n">
        <v>0</v>
      </c>
      <c r="O206" s="15"/>
      <c r="P206" s="14" t="str">
        <f aca="false">IF(O206="","",O206+E206-L206-N206)</f>
        <v/>
      </c>
      <c r="Q206" s="15"/>
      <c r="R206" s="14" t="str">
        <f aca="false">IF(OR(Q206="",P206=""),"",Q206-P206)</f>
        <v/>
      </c>
      <c r="S206" s="19" t="str">
        <f aca="false">IF(R206="","",IF(ABS(R206)&lt;=Léeme!$B$12,"Cuadra",IF(R206&lt;0,"Faltante","Sobrante")))</f>
        <v/>
      </c>
      <c r="T206" s="13" t="s">
        <v>101</v>
      </c>
    </row>
    <row r="207" customFormat="false" ht="15" hidden="false" customHeight="false" outlineLevel="0" collapsed="false">
      <c r="A207" s="17" t="n">
        <v>45778</v>
      </c>
      <c r="B207" s="13" t="s">
        <v>28</v>
      </c>
      <c r="C207" s="13"/>
      <c r="D207" s="13" t="s">
        <v>100</v>
      </c>
      <c r="E207" s="15" t="n">
        <v>241070</v>
      </c>
      <c r="F207" s="15" t="n">
        <v>32070</v>
      </c>
      <c r="G207" s="15" t="n">
        <v>15020</v>
      </c>
      <c r="H207" s="15" t="n">
        <v>20630</v>
      </c>
      <c r="I207" s="15" t="n">
        <v>8760</v>
      </c>
      <c r="J207" s="14" t="n">
        <f aca="false">SUM(E207:I207)</f>
        <v>317550</v>
      </c>
      <c r="K207" s="18"/>
      <c r="L207" s="15" t="n">
        <v>0</v>
      </c>
      <c r="M207" s="13"/>
      <c r="N207" s="15" t="n">
        <v>0</v>
      </c>
      <c r="O207" s="15"/>
      <c r="P207" s="14" t="str">
        <f aca="false">IF(O207="","",O207+E207-L207-N207)</f>
        <v/>
      </c>
      <c r="Q207" s="15"/>
      <c r="R207" s="14" t="str">
        <f aca="false">IF(OR(Q207="",P207=""),"",Q207-P207)</f>
        <v/>
      </c>
      <c r="S207" s="19" t="str">
        <f aca="false">IF(R207="","",IF(ABS(R207)&lt;=Léeme!$B$12,"Cuadra",IF(R207&lt;0,"Faltante","Sobrante")))</f>
        <v/>
      </c>
      <c r="T207" s="13" t="s">
        <v>101</v>
      </c>
    </row>
    <row r="208" customFormat="false" ht="15" hidden="false" customHeight="false" outlineLevel="0" collapsed="false">
      <c r="A208" s="17" t="n">
        <v>45779</v>
      </c>
      <c r="B208" s="13" t="s">
        <v>27</v>
      </c>
      <c r="C208" s="13"/>
      <c r="D208" s="13" t="s">
        <v>100</v>
      </c>
      <c r="E208" s="15" t="n">
        <v>322100</v>
      </c>
      <c r="F208" s="15" t="n">
        <v>57990</v>
      </c>
      <c r="G208" s="15" t="n">
        <v>23910</v>
      </c>
      <c r="H208" s="15" t="n">
        <v>32140</v>
      </c>
      <c r="I208" s="15" t="n">
        <v>11690</v>
      </c>
      <c r="J208" s="14" t="n">
        <f aca="false">SUM(E208:I208)</f>
        <v>447830</v>
      </c>
      <c r="K208" s="18"/>
      <c r="L208" s="15" t="n">
        <v>2820</v>
      </c>
      <c r="M208" s="13" t="s">
        <v>105</v>
      </c>
      <c r="N208" s="15" t="n">
        <v>205000</v>
      </c>
      <c r="O208" s="15"/>
      <c r="P208" s="14" t="str">
        <f aca="false">IF(O208="","",O208+E208-L208-N208)</f>
        <v/>
      </c>
      <c r="Q208" s="15"/>
      <c r="R208" s="14" t="str">
        <f aca="false">IF(OR(Q208="",P208=""),"",Q208-P208)</f>
        <v/>
      </c>
      <c r="S208" s="19" t="str">
        <f aca="false">IF(R208="","",IF(ABS(R208)&lt;=Léeme!$B$12,"Cuadra",IF(R208&lt;0,"Faltante","Sobrante")))</f>
        <v/>
      </c>
      <c r="T208" s="13" t="s">
        <v>101</v>
      </c>
    </row>
    <row r="209" customFormat="false" ht="15" hidden="false" customHeight="false" outlineLevel="0" collapsed="false">
      <c r="A209" s="17" t="n">
        <v>45779</v>
      </c>
      <c r="B209" s="13" t="s">
        <v>28</v>
      </c>
      <c r="C209" s="13"/>
      <c r="D209" s="13" t="s">
        <v>100</v>
      </c>
      <c r="E209" s="15" t="n">
        <v>227370</v>
      </c>
      <c r="F209" s="15" t="n">
        <v>32210</v>
      </c>
      <c r="G209" s="15" t="n">
        <v>13500</v>
      </c>
      <c r="H209" s="15" t="n">
        <v>18280</v>
      </c>
      <c r="I209" s="15" t="n">
        <v>8900</v>
      </c>
      <c r="J209" s="14" t="n">
        <f aca="false">SUM(E209:I209)</f>
        <v>300260</v>
      </c>
      <c r="K209" s="18"/>
      <c r="L209" s="15" t="n">
        <v>0</v>
      </c>
      <c r="M209" s="13"/>
      <c r="N209" s="15" t="n">
        <v>0</v>
      </c>
      <c r="O209" s="15"/>
      <c r="P209" s="14" t="str">
        <f aca="false">IF(O209="","",O209+E209-L209-N209)</f>
        <v/>
      </c>
      <c r="Q209" s="15"/>
      <c r="R209" s="14" t="str">
        <f aca="false">IF(OR(Q209="",P209=""),"",Q209-P209)</f>
        <v/>
      </c>
      <c r="S209" s="19" t="str">
        <f aca="false">IF(R209="","",IF(ABS(R209)&lt;=Léeme!$B$12,"Cuadra",IF(R209&lt;0,"Faltante","Sobrante")))</f>
        <v/>
      </c>
      <c r="T209" s="13" t="s">
        <v>101</v>
      </c>
    </row>
    <row r="210" customFormat="false" ht="15" hidden="false" customHeight="false" outlineLevel="0" collapsed="false">
      <c r="A210" s="17" t="n">
        <v>45780</v>
      </c>
      <c r="B210" s="13" t="s">
        <v>27</v>
      </c>
      <c r="C210" s="13"/>
      <c r="D210" s="13" t="s">
        <v>100</v>
      </c>
      <c r="E210" s="15" t="n">
        <v>468120</v>
      </c>
      <c r="F210" s="15" t="n">
        <v>83160</v>
      </c>
      <c r="G210" s="15" t="n">
        <v>31300</v>
      </c>
      <c r="H210" s="15" t="n">
        <v>45810</v>
      </c>
      <c r="I210" s="15" t="n">
        <v>18670</v>
      </c>
      <c r="J210" s="14" t="n">
        <f aca="false">SUM(E210:I210)</f>
        <v>647060</v>
      </c>
      <c r="K210" s="18"/>
      <c r="L210" s="15" t="n">
        <v>23100</v>
      </c>
      <c r="M210" s="13" t="s">
        <v>103</v>
      </c>
      <c r="N210" s="15" t="n">
        <v>0</v>
      </c>
      <c r="O210" s="15"/>
      <c r="P210" s="14" t="str">
        <f aca="false">IF(O210="","",O210+E210-L210-N210)</f>
        <v/>
      </c>
      <c r="Q210" s="15"/>
      <c r="R210" s="14" t="str">
        <f aca="false">IF(OR(Q210="",P210=""),"",Q210-P210)</f>
        <v/>
      </c>
      <c r="S210" s="19" t="str">
        <f aca="false">IF(R210="","",IF(ABS(R210)&lt;=Léeme!$B$12,"Cuadra",IF(R210&lt;0,"Faltante","Sobrante")))</f>
        <v/>
      </c>
      <c r="T210" s="13" t="s">
        <v>101</v>
      </c>
    </row>
    <row r="211" customFormat="false" ht="15" hidden="false" customHeight="false" outlineLevel="0" collapsed="false">
      <c r="A211" s="17" t="n">
        <v>45780</v>
      </c>
      <c r="B211" s="13" t="s">
        <v>28</v>
      </c>
      <c r="C211" s="13"/>
      <c r="D211" s="13" t="s">
        <v>100</v>
      </c>
      <c r="E211" s="15"/>
      <c r="F211" s="15" t="n">
        <v>65140</v>
      </c>
      <c r="G211" s="15" t="n">
        <v>27630</v>
      </c>
      <c r="H211" s="15" t="n">
        <v>35920</v>
      </c>
      <c r="I211" s="15" t="n">
        <v>13870</v>
      </c>
      <c r="J211" s="14" t="n">
        <f aca="false">SUM(E211:I211)</f>
        <v>142560</v>
      </c>
      <c r="K211" s="18"/>
      <c r="L211" s="15" t="n">
        <v>0</v>
      </c>
      <c r="M211" s="13"/>
      <c r="N211" s="15" t="n">
        <v>217000</v>
      </c>
      <c r="O211" s="15"/>
      <c r="P211" s="14" t="str">
        <f aca="false">IF(O211="","",O211+E211-L211-N211)</f>
        <v/>
      </c>
      <c r="Q211" s="15"/>
      <c r="R211" s="14" t="str">
        <f aca="false">IF(OR(Q211="",P211=""),"",Q211-P211)</f>
        <v/>
      </c>
      <c r="S211" s="19" t="str">
        <f aca="false">IF(R211="","",IF(ABS(R211)&lt;=Léeme!$B$12,"Cuadra",IF(R211&lt;0,"Faltante","Sobrante")))</f>
        <v/>
      </c>
      <c r="T211" s="13" t="s">
        <v>106</v>
      </c>
    </row>
    <row r="212" customFormat="false" ht="15" hidden="false" customHeight="false" outlineLevel="0" collapsed="false">
      <c r="A212" s="17" t="n">
        <v>45781</v>
      </c>
      <c r="B212" s="13" t="s">
        <v>27</v>
      </c>
      <c r="C212" s="13"/>
      <c r="D212" s="13" t="s">
        <v>100</v>
      </c>
      <c r="E212" s="15" t="n">
        <v>772670</v>
      </c>
      <c r="F212" s="15" t="n">
        <v>116250</v>
      </c>
      <c r="G212" s="15" t="n">
        <v>51780</v>
      </c>
      <c r="H212" s="15" t="n">
        <v>74280</v>
      </c>
      <c r="I212" s="15" t="n">
        <v>31610</v>
      </c>
      <c r="J212" s="14" t="n">
        <f aca="false">SUM(E212:I212)</f>
        <v>1046590</v>
      </c>
      <c r="K212" s="18"/>
      <c r="L212" s="15" t="n">
        <v>0</v>
      </c>
      <c r="M212" s="13"/>
      <c r="N212" s="15" t="n">
        <v>503000</v>
      </c>
      <c r="O212" s="15"/>
      <c r="P212" s="14" t="str">
        <f aca="false">IF(O212="","",O212+E212-L212-N212)</f>
        <v/>
      </c>
      <c r="Q212" s="15"/>
      <c r="R212" s="14" t="str">
        <f aca="false">IF(OR(Q212="",P212=""),"",Q212-P212)</f>
        <v/>
      </c>
      <c r="S212" s="19" t="str">
        <f aca="false">IF(R212="","",IF(ABS(R212)&lt;=Léeme!$B$12,"Cuadra",IF(R212&lt;0,"Faltante","Sobrante")))</f>
        <v/>
      </c>
      <c r="T212" s="13" t="s">
        <v>101</v>
      </c>
    </row>
    <row r="213" customFormat="false" ht="15" hidden="false" customHeight="false" outlineLevel="0" collapsed="false">
      <c r="A213" s="17" t="n">
        <v>45781</v>
      </c>
      <c r="B213" s="13" t="s">
        <v>28</v>
      </c>
      <c r="C213" s="13"/>
      <c r="D213" s="13" t="s">
        <v>100</v>
      </c>
      <c r="E213" s="15" t="n">
        <v>688800</v>
      </c>
      <c r="F213" s="15" t="n">
        <v>94870</v>
      </c>
      <c r="G213" s="15" t="n">
        <v>39500</v>
      </c>
      <c r="H213" s="15" t="n">
        <v>58190</v>
      </c>
      <c r="I213" s="15" t="n">
        <v>27020</v>
      </c>
      <c r="J213" s="14" t="n">
        <f aca="false">SUM(E213:I213)</f>
        <v>908380</v>
      </c>
      <c r="K213" s="18"/>
      <c r="L213" s="15" t="n">
        <v>13850</v>
      </c>
      <c r="M213" s="13" t="s">
        <v>103</v>
      </c>
      <c r="N213" s="15" t="n">
        <v>571000</v>
      </c>
      <c r="O213" s="15"/>
      <c r="P213" s="14" t="str">
        <f aca="false">IF(O213="","",O213+E213-L213-N213)</f>
        <v/>
      </c>
      <c r="Q213" s="15"/>
      <c r="R213" s="14" t="str">
        <f aca="false">IF(OR(Q213="",P213=""),"",Q213-P213)</f>
        <v/>
      </c>
      <c r="S213" s="19" t="str">
        <f aca="false">IF(R213="","",IF(ABS(R213)&lt;=Léeme!$B$12,"Cuadra",IF(R213&lt;0,"Faltante","Sobrante")))</f>
        <v/>
      </c>
      <c r="T213" s="13" t="s">
        <v>101</v>
      </c>
    </row>
    <row r="214" customFormat="false" ht="15" hidden="false" customHeight="false" outlineLevel="0" collapsed="false">
      <c r="A214" s="17" t="n">
        <v>45783</v>
      </c>
      <c r="B214" s="13" t="s">
        <v>27</v>
      </c>
      <c r="C214" s="13"/>
      <c r="D214" s="13" t="s">
        <v>100</v>
      </c>
      <c r="E214" s="15" t="n">
        <v>297500</v>
      </c>
      <c r="F214" s="15" t="n">
        <v>51430</v>
      </c>
      <c r="G214" s="15" t="n">
        <v>22360</v>
      </c>
      <c r="H214" s="15" t="n">
        <v>29320</v>
      </c>
      <c r="I214" s="15" t="n">
        <v>13210</v>
      </c>
      <c r="J214" s="14" t="n">
        <f aca="false">SUM(E214:I214)</f>
        <v>413820</v>
      </c>
      <c r="K214" s="18"/>
      <c r="L214" s="15" t="n">
        <v>0</v>
      </c>
      <c r="M214" s="13"/>
      <c r="N214" s="15" t="n">
        <v>0</v>
      </c>
      <c r="O214" s="15"/>
      <c r="P214" s="14" t="str">
        <f aca="false">IF(O214="","",O214+E214-L214-N214)</f>
        <v/>
      </c>
      <c r="Q214" s="15"/>
      <c r="R214" s="14" t="str">
        <f aca="false">IF(OR(Q214="",P214=""),"",Q214-P214)</f>
        <v/>
      </c>
      <c r="S214" s="19" t="str">
        <f aca="false">IF(R214="","",IF(ABS(R214)&lt;=Léeme!$B$12,"Cuadra",IF(R214&lt;0,"Faltante","Sobrante")))</f>
        <v/>
      </c>
      <c r="T214" s="13" t="s">
        <v>101</v>
      </c>
    </row>
    <row r="215" customFormat="false" ht="15" hidden="false" customHeight="false" outlineLevel="0" collapsed="false">
      <c r="A215" s="17" t="n">
        <v>45783</v>
      </c>
      <c r="B215" s="13" t="s">
        <v>28</v>
      </c>
      <c r="C215" s="13"/>
      <c r="D215" s="13" t="s">
        <v>100</v>
      </c>
      <c r="E215" s="15" t="n">
        <v>211370</v>
      </c>
      <c r="F215" s="15" t="n">
        <v>38290</v>
      </c>
      <c r="G215" s="15" t="n">
        <v>14270</v>
      </c>
      <c r="H215" s="15" t="n">
        <v>19860</v>
      </c>
      <c r="I215" s="15" t="n">
        <v>9330</v>
      </c>
      <c r="J215" s="14" t="n">
        <f aca="false">SUM(E215:I215)</f>
        <v>293120</v>
      </c>
      <c r="K215" s="18"/>
      <c r="L215" s="15" t="n">
        <v>3520</v>
      </c>
      <c r="M215" s="13" t="s">
        <v>104</v>
      </c>
      <c r="N215" s="15" t="n">
        <v>186000</v>
      </c>
      <c r="O215" s="15"/>
      <c r="P215" s="14" t="str">
        <f aca="false">IF(O215="","",O215+E215-L215-N215)</f>
        <v/>
      </c>
      <c r="Q215" s="15"/>
      <c r="R215" s="14" t="str">
        <f aca="false">IF(OR(Q215="",P215=""),"",Q215-P215)</f>
        <v/>
      </c>
      <c r="S215" s="19" t="str">
        <f aca="false">IF(R215="","",IF(ABS(R215)&lt;=Léeme!$B$12,"Cuadra",IF(R215&lt;0,"Faltante","Sobrante")))</f>
        <v/>
      </c>
      <c r="T215" s="13" t="s">
        <v>101</v>
      </c>
    </row>
    <row r="216" customFormat="false" ht="15" hidden="false" customHeight="false" outlineLevel="0" collapsed="false">
      <c r="A216" s="17" t="n">
        <v>45784</v>
      </c>
      <c r="B216" s="13" t="s">
        <v>27</v>
      </c>
      <c r="C216" s="13"/>
      <c r="D216" s="13" t="s">
        <v>100</v>
      </c>
      <c r="E216" s="15" t="n">
        <v>285040</v>
      </c>
      <c r="F216" s="15" t="n">
        <v>44390</v>
      </c>
      <c r="G216" s="15" t="n">
        <v>18640</v>
      </c>
      <c r="H216" s="15" t="n">
        <v>24310</v>
      </c>
      <c r="I216" s="15" t="n">
        <v>11490</v>
      </c>
      <c r="J216" s="14" t="n">
        <f aca="false">SUM(E216:I216)</f>
        <v>383870</v>
      </c>
      <c r="K216" s="18"/>
      <c r="L216" s="15" t="n">
        <v>9500</v>
      </c>
      <c r="M216" s="13" t="s">
        <v>102</v>
      </c>
      <c r="N216" s="15" t="n">
        <v>0</v>
      </c>
      <c r="O216" s="15"/>
      <c r="P216" s="14" t="str">
        <f aca="false">IF(O216="","",O216+E216-L216-N216)</f>
        <v/>
      </c>
      <c r="Q216" s="15"/>
      <c r="R216" s="14" t="str">
        <f aca="false">IF(OR(Q216="",P216=""),"",Q216-P216)</f>
        <v/>
      </c>
      <c r="S216" s="19" t="str">
        <f aca="false">IF(R216="","",IF(ABS(R216)&lt;=Léeme!$B$12,"Cuadra",IF(R216&lt;0,"Faltante","Sobrante")))</f>
        <v/>
      </c>
      <c r="T216" s="13" t="s">
        <v>101</v>
      </c>
    </row>
    <row r="217" customFormat="false" ht="15" hidden="false" customHeight="false" outlineLevel="0" collapsed="false">
      <c r="A217" s="17" t="n">
        <v>45784</v>
      </c>
      <c r="B217" s="13" t="s">
        <v>28</v>
      </c>
      <c r="C217" s="13"/>
      <c r="D217" s="13" t="s">
        <v>100</v>
      </c>
      <c r="E217" s="15" t="n">
        <v>239970</v>
      </c>
      <c r="F217" s="15" t="n">
        <v>36250</v>
      </c>
      <c r="G217" s="15" t="n">
        <v>17490</v>
      </c>
      <c r="H217" s="15" t="n">
        <v>20560</v>
      </c>
      <c r="I217" s="15" t="n">
        <v>9180</v>
      </c>
      <c r="J217" s="14" t="n">
        <f aca="false">SUM(E217:I217)</f>
        <v>323450</v>
      </c>
      <c r="K217" s="18"/>
      <c r="L217" s="15" t="n">
        <v>6850</v>
      </c>
      <c r="M217" s="13" t="s">
        <v>104</v>
      </c>
      <c r="N217" s="15" t="n">
        <v>135000</v>
      </c>
      <c r="O217" s="15"/>
      <c r="P217" s="14" t="str">
        <f aca="false">IF(O217="","",O217+E217-L217-N217)</f>
        <v/>
      </c>
      <c r="Q217" s="15"/>
      <c r="R217" s="14" t="str">
        <f aca="false">IF(OR(Q217="",P217=""),"",Q217-P217)</f>
        <v/>
      </c>
      <c r="S217" s="19" t="str">
        <f aca="false">IF(R217="","",IF(ABS(R217)&lt;=Léeme!$B$12,"Cuadra",IF(R217&lt;0,"Faltante","Sobrante")))</f>
        <v/>
      </c>
      <c r="T217" s="13" t="s">
        <v>101</v>
      </c>
    </row>
    <row r="218" customFormat="false" ht="15" hidden="false" customHeight="false" outlineLevel="0" collapsed="false">
      <c r="A218" s="17" t="n">
        <v>45785</v>
      </c>
      <c r="B218" s="13" t="s">
        <v>27</v>
      </c>
      <c r="C218" s="13"/>
      <c r="D218" s="13" t="s">
        <v>100</v>
      </c>
      <c r="E218" s="15" t="n">
        <v>314500</v>
      </c>
      <c r="F218" s="15" t="n">
        <v>48070</v>
      </c>
      <c r="G218" s="15" t="n">
        <v>18230</v>
      </c>
      <c r="H218" s="15" t="n">
        <v>25740</v>
      </c>
      <c r="I218" s="15" t="n">
        <v>12210</v>
      </c>
      <c r="J218" s="14" t="n">
        <f aca="false">SUM(E218:I218)</f>
        <v>418750</v>
      </c>
      <c r="K218" s="18"/>
      <c r="L218" s="15" t="n">
        <v>0</v>
      </c>
      <c r="M218" s="13"/>
      <c r="N218" s="15" t="n">
        <v>0</v>
      </c>
      <c r="O218" s="15"/>
      <c r="P218" s="14" t="str">
        <f aca="false">IF(O218="","",O218+E218-L218-N218)</f>
        <v/>
      </c>
      <c r="Q218" s="15"/>
      <c r="R218" s="14" t="str">
        <f aca="false">IF(OR(Q218="",P218=""),"",Q218-P218)</f>
        <v/>
      </c>
      <c r="S218" s="19" t="str">
        <f aca="false">IF(R218="","",IF(ABS(R218)&lt;=Léeme!$B$12,"Cuadra",IF(R218&lt;0,"Faltante","Sobrante")))</f>
        <v/>
      </c>
      <c r="T218" s="13" t="s">
        <v>101</v>
      </c>
    </row>
    <row r="219" customFormat="false" ht="15" hidden="false" customHeight="false" outlineLevel="0" collapsed="false">
      <c r="A219" s="17" t="n">
        <v>45785</v>
      </c>
      <c r="B219" s="13" t="s">
        <v>28</v>
      </c>
      <c r="C219" s="13"/>
      <c r="D219" s="13" t="s">
        <v>100</v>
      </c>
      <c r="E219" s="15" t="n">
        <v>259920</v>
      </c>
      <c r="F219" s="15" t="n">
        <v>38870</v>
      </c>
      <c r="G219" s="15" t="n">
        <v>17600</v>
      </c>
      <c r="H219" s="15" t="n">
        <v>22830</v>
      </c>
      <c r="I219" s="15" t="n">
        <v>10940</v>
      </c>
      <c r="J219" s="14" t="n">
        <f aca="false">SUM(E219:I219)</f>
        <v>350160</v>
      </c>
      <c r="K219" s="18"/>
      <c r="L219" s="15" t="n">
        <v>0</v>
      </c>
      <c r="M219" s="13"/>
      <c r="N219" s="15" t="n">
        <v>0</v>
      </c>
      <c r="O219" s="15"/>
      <c r="P219" s="14" t="str">
        <f aca="false">IF(O219="","",O219+E219-L219-N219)</f>
        <v/>
      </c>
      <c r="Q219" s="15"/>
      <c r="R219" s="14" t="str">
        <f aca="false">IF(OR(Q219="",P219=""),"",Q219-P219)</f>
        <v/>
      </c>
      <c r="S219" s="19" t="str">
        <f aca="false">IF(R219="","",IF(ABS(R219)&lt;=Léeme!$B$12,"Cuadra",IF(R219&lt;0,"Faltante","Sobrante")))</f>
        <v/>
      </c>
      <c r="T219" s="13" t="s">
        <v>101</v>
      </c>
    </row>
    <row r="220" customFormat="false" ht="15" hidden="false" customHeight="false" outlineLevel="0" collapsed="false">
      <c r="A220" s="17" t="n">
        <v>45786</v>
      </c>
      <c r="B220" s="13" t="s">
        <v>27</v>
      </c>
      <c r="C220" s="13"/>
      <c r="D220" s="13" t="s">
        <v>100</v>
      </c>
      <c r="E220" s="15" t="n">
        <v>264860</v>
      </c>
      <c r="F220" s="15" t="n">
        <v>48070</v>
      </c>
      <c r="G220" s="15" t="n">
        <v>19510</v>
      </c>
      <c r="H220" s="15" t="n">
        <v>25280</v>
      </c>
      <c r="I220" s="15" t="n">
        <v>12520</v>
      </c>
      <c r="J220" s="14" t="n">
        <f aca="false">SUM(E220:I220)</f>
        <v>370240</v>
      </c>
      <c r="K220" s="18"/>
      <c r="L220" s="15" t="n">
        <v>14860</v>
      </c>
      <c r="M220" s="13" t="s">
        <v>103</v>
      </c>
      <c r="N220" s="15" t="n">
        <v>0</v>
      </c>
      <c r="O220" s="15"/>
      <c r="P220" s="14" t="str">
        <f aca="false">IF(O220="","",O220+E220-L220-N220)</f>
        <v/>
      </c>
      <c r="Q220" s="15"/>
      <c r="R220" s="14" t="str">
        <f aca="false">IF(OR(Q220="",P220=""),"",Q220-P220)</f>
        <v/>
      </c>
      <c r="S220" s="19" t="str">
        <f aca="false">IF(R220="","",IF(ABS(R220)&lt;=Léeme!$B$12,"Cuadra",IF(R220&lt;0,"Faltante","Sobrante")))</f>
        <v/>
      </c>
      <c r="T220" s="13" t="s">
        <v>101</v>
      </c>
    </row>
    <row r="221" customFormat="false" ht="15" hidden="false" customHeight="false" outlineLevel="0" collapsed="false">
      <c r="A221" s="17" t="n">
        <v>45786</v>
      </c>
      <c r="B221" s="13" t="s">
        <v>28</v>
      </c>
      <c r="C221" s="13"/>
      <c r="D221" s="13" t="s">
        <v>100</v>
      </c>
      <c r="E221" s="15" t="n">
        <v>238030</v>
      </c>
      <c r="F221" s="15" t="n">
        <v>38460</v>
      </c>
      <c r="G221" s="15" t="n">
        <v>15920</v>
      </c>
      <c r="H221" s="15" t="n">
        <v>20020</v>
      </c>
      <c r="I221" s="15" t="n">
        <v>9770</v>
      </c>
      <c r="J221" s="14" t="n">
        <f aca="false">SUM(E221:I221)</f>
        <v>322200</v>
      </c>
      <c r="K221" s="18"/>
      <c r="L221" s="15" t="n">
        <v>7990</v>
      </c>
      <c r="M221" s="13" t="s">
        <v>102</v>
      </c>
      <c r="N221" s="15" t="n">
        <v>0</v>
      </c>
      <c r="O221" s="15"/>
      <c r="P221" s="14" t="str">
        <f aca="false">IF(O221="","",O221+E221-L221-N221)</f>
        <v/>
      </c>
      <c r="Q221" s="15"/>
      <c r="R221" s="14" t="str">
        <f aca="false">IF(OR(Q221="",P221=""),"",Q221-P221)</f>
        <v/>
      </c>
      <c r="S221" s="19" t="str">
        <f aca="false">IF(R221="","",IF(ABS(R221)&lt;=Léeme!$B$12,"Cuadra",IF(R221&lt;0,"Faltante","Sobrante")))</f>
        <v/>
      </c>
      <c r="T221" s="13" t="s">
        <v>101</v>
      </c>
    </row>
    <row r="222" customFormat="false" ht="15" hidden="false" customHeight="false" outlineLevel="0" collapsed="false">
      <c r="A222" s="17" t="n">
        <v>45787</v>
      </c>
      <c r="B222" s="13" t="s">
        <v>27</v>
      </c>
      <c r="C222" s="13"/>
      <c r="D222" s="13" t="s">
        <v>100</v>
      </c>
      <c r="E222" s="15" t="n">
        <v>514280</v>
      </c>
      <c r="F222" s="15" t="n">
        <v>90300</v>
      </c>
      <c r="G222" s="15" t="n">
        <v>38510</v>
      </c>
      <c r="H222" s="15" t="n">
        <v>49180</v>
      </c>
      <c r="I222" s="15" t="n">
        <v>20260</v>
      </c>
      <c r="J222" s="14" t="n">
        <f aca="false">SUM(E222:I222)</f>
        <v>712530</v>
      </c>
      <c r="K222" s="18"/>
      <c r="L222" s="15" t="n">
        <v>6720</v>
      </c>
      <c r="M222" s="13" t="s">
        <v>104</v>
      </c>
      <c r="N222" s="15" t="n">
        <v>366000</v>
      </c>
      <c r="O222" s="15"/>
      <c r="P222" s="14" t="str">
        <f aca="false">IF(O222="","",O222+E222-L222-N222)</f>
        <v/>
      </c>
      <c r="Q222" s="15"/>
      <c r="R222" s="14" t="str">
        <f aca="false">IF(OR(Q222="",P222=""),"",Q222-P222)</f>
        <v/>
      </c>
      <c r="S222" s="19" t="str">
        <f aca="false">IF(R222="","",IF(ABS(R222)&lt;=Léeme!$B$12,"Cuadra",IF(R222&lt;0,"Faltante","Sobrante")))</f>
        <v/>
      </c>
      <c r="T222" s="13" t="s">
        <v>101</v>
      </c>
    </row>
    <row r="223" customFormat="false" ht="15" hidden="false" customHeight="false" outlineLevel="0" collapsed="false">
      <c r="A223" s="17" t="n">
        <v>45787</v>
      </c>
      <c r="B223" s="13" t="s">
        <v>28</v>
      </c>
      <c r="C223" s="13"/>
      <c r="D223" s="13" t="s">
        <v>100</v>
      </c>
      <c r="E223" s="15" t="n">
        <v>370630</v>
      </c>
      <c r="F223" s="15" t="n">
        <v>62400</v>
      </c>
      <c r="G223" s="15" t="n">
        <v>28030</v>
      </c>
      <c r="H223" s="15" t="n">
        <v>39320</v>
      </c>
      <c r="I223" s="15" t="n">
        <v>15090</v>
      </c>
      <c r="J223" s="14" t="n">
        <f aca="false">SUM(E223:I223)</f>
        <v>515470</v>
      </c>
      <c r="K223" s="18"/>
      <c r="L223" s="15" t="n">
        <v>0</v>
      </c>
      <c r="M223" s="13"/>
      <c r="N223" s="15" t="n">
        <v>0</v>
      </c>
      <c r="O223" s="15"/>
      <c r="P223" s="14" t="str">
        <f aca="false">IF(O223="","",O223+E223-L223-N223)</f>
        <v/>
      </c>
      <c r="Q223" s="15"/>
      <c r="R223" s="14" t="str">
        <f aca="false">IF(OR(Q223="",P223=""),"",Q223-P223)</f>
        <v/>
      </c>
      <c r="S223" s="19" t="str">
        <f aca="false">IF(R223="","",IF(ABS(R223)&lt;=Léeme!$B$12,"Cuadra",IF(R223&lt;0,"Faltante","Sobrante")))</f>
        <v/>
      </c>
      <c r="T223" s="13" t="s">
        <v>101</v>
      </c>
    </row>
    <row r="224" customFormat="false" ht="15" hidden="false" customHeight="false" outlineLevel="0" collapsed="false">
      <c r="A224" s="17" t="n">
        <v>45788</v>
      </c>
      <c r="B224" s="13" t="s">
        <v>27</v>
      </c>
      <c r="C224" s="13"/>
      <c r="D224" s="13" t="s">
        <v>100</v>
      </c>
      <c r="E224" s="15" t="n">
        <v>778150</v>
      </c>
      <c r="F224" s="15" t="n">
        <v>126910</v>
      </c>
      <c r="G224" s="15" t="n">
        <v>50510</v>
      </c>
      <c r="H224" s="15" t="n">
        <v>75760</v>
      </c>
      <c r="I224" s="15" t="n">
        <v>27840</v>
      </c>
      <c r="J224" s="14" t="n">
        <f aca="false">SUM(E224:I224)</f>
        <v>1059170</v>
      </c>
      <c r="K224" s="18"/>
      <c r="L224" s="15" t="n">
        <v>20640</v>
      </c>
      <c r="M224" s="13" t="s">
        <v>103</v>
      </c>
      <c r="N224" s="15" t="n">
        <v>534000</v>
      </c>
      <c r="O224" s="15"/>
      <c r="P224" s="14" t="str">
        <f aca="false">IF(O224="","",O224+E224-L224-N224)</f>
        <v/>
      </c>
      <c r="Q224" s="15"/>
      <c r="R224" s="14" t="str">
        <f aca="false">IF(OR(Q224="",P224=""),"",Q224-P224)</f>
        <v/>
      </c>
      <c r="S224" s="19" t="str">
        <f aca="false">IF(R224="","",IF(ABS(R224)&lt;=Léeme!$B$12,"Cuadra",IF(R224&lt;0,"Faltante","Sobrante")))</f>
        <v/>
      </c>
      <c r="T224" s="13" t="s">
        <v>101</v>
      </c>
    </row>
    <row r="225" customFormat="false" ht="15" hidden="false" customHeight="false" outlineLevel="0" collapsed="false">
      <c r="A225" s="17" t="n">
        <v>45788</v>
      </c>
      <c r="B225" s="13" t="s">
        <v>28</v>
      </c>
      <c r="C225" s="13"/>
      <c r="D225" s="13" t="s">
        <v>100</v>
      </c>
      <c r="E225" s="15" t="n">
        <v>545500</v>
      </c>
      <c r="F225" s="15" t="n">
        <v>93300</v>
      </c>
      <c r="G225" s="15" t="n">
        <v>39110</v>
      </c>
      <c r="H225" s="15" t="n">
        <v>51170</v>
      </c>
      <c r="I225" s="15" t="n">
        <v>22590</v>
      </c>
      <c r="J225" s="14" t="n">
        <f aca="false">SUM(E225:I225)</f>
        <v>751670</v>
      </c>
      <c r="K225" s="18"/>
      <c r="L225" s="15" t="n">
        <v>0</v>
      </c>
      <c r="M225" s="13"/>
      <c r="N225" s="15" t="n">
        <v>393000</v>
      </c>
      <c r="O225" s="15"/>
      <c r="P225" s="14" t="str">
        <f aca="false">IF(O225="","",O225+E225-L225-N225)</f>
        <v/>
      </c>
      <c r="Q225" s="15"/>
      <c r="R225" s="14" t="str">
        <f aca="false">IF(OR(Q225="",P225=""),"",Q225-P225)</f>
        <v/>
      </c>
      <c r="S225" s="19" t="str">
        <f aca="false">IF(R225="","",IF(ABS(R225)&lt;=Léeme!$B$12,"Cuadra",IF(R225&lt;0,"Faltante","Sobrante")))</f>
        <v/>
      </c>
      <c r="T225" s="13" t="s">
        <v>101</v>
      </c>
    </row>
    <row r="226" customFormat="false" ht="15" hidden="false" customHeight="false" outlineLevel="0" collapsed="false">
      <c r="A226" s="17" t="n">
        <v>45790</v>
      </c>
      <c r="B226" s="13" t="s">
        <v>27</v>
      </c>
      <c r="C226" s="13"/>
      <c r="D226" s="13" t="s">
        <v>100</v>
      </c>
      <c r="E226" s="15" t="n">
        <v>277930</v>
      </c>
      <c r="F226" s="15" t="n">
        <v>44430</v>
      </c>
      <c r="G226" s="15" t="n">
        <v>16480</v>
      </c>
      <c r="H226" s="15" t="n">
        <v>25330</v>
      </c>
      <c r="I226" s="15" t="n">
        <v>10120</v>
      </c>
      <c r="J226" s="14" t="n">
        <f aca="false">SUM(E226:I226)</f>
        <v>374290</v>
      </c>
      <c r="K226" s="18"/>
      <c r="L226" s="15" t="n">
        <v>0</v>
      </c>
      <c r="M226" s="13"/>
      <c r="N226" s="15" t="n">
        <v>0</v>
      </c>
      <c r="O226" s="15"/>
      <c r="P226" s="14" t="str">
        <f aca="false">IF(O226="","",O226+E226-L226-N226)</f>
        <v/>
      </c>
      <c r="Q226" s="15"/>
      <c r="R226" s="14" t="str">
        <f aca="false">IF(OR(Q226="",P226=""),"",Q226-P226)</f>
        <v/>
      </c>
      <c r="S226" s="19" t="str">
        <f aca="false">IF(R226="","",IF(ABS(R226)&lt;=Léeme!$B$12,"Cuadra",IF(R226&lt;0,"Faltante","Sobrante")))</f>
        <v/>
      </c>
      <c r="T226" s="13" t="s">
        <v>101</v>
      </c>
    </row>
    <row r="227" customFormat="false" ht="15" hidden="false" customHeight="false" outlineLevel="0" collapsed="false">
      <c r="A227" s="17" t="n">
        <v>45790</v>
      </c>
      <c r="B227" s="13" t="s">
        <v>28</v>
      </c>
      <c r="C227" s="13"/>
      <c r="D227" s="13" t="s">
        <v>100</v>
      </c>
      <c r="E227" s="15" t="n">
        <v>243450</v>
      </c>
      <c r="F227" s="15" t="n">
        <v>40360</v>
      </c>
      <c r="G227" s="15" t="n">
        <v>16700</v>
      </c>
      <c r="H227" s="15" t="n">
        <v>20970</v>
      </c>
      <c r="I227" s="15" t="n">
        <v>9580</v>
      </c>
      <c r="J227" s="14" t="n">
        <f aca="false">SUM(E227:I227)</f>
        <v>331060</v>
      </c>
      <c r="K227" s="18"/>
      <c r="L227" s="15" t="n">
        <v>0</v>
      </c>
      <c r="M227" s="13"/>
      <c r="N227" s="15" t="n">
        <v>0</v>
      </c>
      <c r="O227" s="15"/>
      <c r="P227" s="14" t="str">
        <f aca="false">IF(O227="","",O227+E227-L227-N227)</f>
        <v/>
      </c>
      <c r="Q227" s="15"/>
      <c r="R227" s="14" t="str">
        <f aca="false">IF(OR(Q227="",P227=""),"",Q227-P227)</f>
        <v/>
      </c>
      <c r="S227" s="19" t="str">
        <f aca="false">IF(R227="","",IF(ABS(R227)&lt;=Léeme!$B$12,"Cuadra",IF(R227&lt;0,"Faltante","Sobrante")))</f>
        <v/>
      </c>
      <c r="T227" s="13" t="s">
        <v>101</v>
      </c>
    </row>
    <row r="228" customFormat="false" ht="15" hidden="false" customHeight="false" outlineLevel="0" collapsed="false">
      <c r="A228" s="17" t="n">
        <v>45791</v>
      </c>
      <c r="B228" s="13" t="s">
        <v>27</v>
      </c>
      <c r="C228" s="13"/>
      <c r="D228" s="13" t="s">
        <v>100</v>
      </c>
      <c r="E228" s="15" t="n">
        <v>326080</v>
      </c>
      <c r="F228" s="15" t="n">
        <v>56220</v>
      </c>
      <c r="G228" s="15" t="n">
        <v>24110</v>
      </c>
      <c r="H228" s="15" t="n">
        <v>31890</v>
      </c>
      <c r="I228" s="15" t="n">
        <v>13620</v>
      </c>
      <c r="J228" s="14" t="n">
        <f aca="false">SUM(E228:I228)</f>
        <v>451920</v>
      </c>
      <c r="K228" s="18"/>
      <c r="L228" s="15" t="n">
        <v>4300</v>
      </c>
      <c r="M228" s="13" t="s">
        <v>105</v>
      </c>
      <c r="N228" s="15" t="n">
        <v>0</v>
      </c>
      <c r="O228" s="15"/>
      <c r="P228" s="14" t="str">
        <f aca="false">IF(O228="","",O228+E228-L228-N228)</f>
        <v/>
      </c>
      <c r="Q228" s="15"/>
      <c r="R228" s="14" t="str">
        <f aca="false">IF(OR(Q228="",P228=""),"",Q228-P228)</f>
        <v/>
      </c>
      <c r="S228" s="19" t="str">
        <f aca="false">IF(R228="","",IF(ABS(R228)&lt;=Léeme!$B$12,"Cuadra",IF(R228&lt;0,"Faltante","Sobrante")))</f>
        <v/>
      </c>
      <c r="T228" s="13" t="s">
        <v>101</v>
      </c>
    </row>
    <row r="229" customFormat="false" ht="15" hidden="false" customHeight="false" outlineLevel="0" collapsed="false">
      <c r="A229" s="17" t="n">
        <v>45791</v>
      </c>
      <c r="B229" s="13" t="s">
        <v>28</v>
      </c>
      <c r="C229" s="13"/>
      <c r="D229" s="13" t="s">
        <v>100</v>
      </c>
      <c r="E229" s="15" t="n">
        <v>216340</v>
      </c>
      <c r="F229" s="15" t="n">
        <v>35250</v>
      </c>
      <c r="G229" s="15" t="n">
        <v>15000</v>
      </c>
      <c r="H229" s="15" t="n">
        <v>19850</v>
      </c>
      <c r="I229" s="15" t="n">
        <v>8520</v>
      </c>
      <c r="J229" s="14" t="n">
        <f aca="false">SUM(E229:I229)</f>
        <v>294960</v>
      </c>
      <c r="K229" s="18"/>
      <c r="L229" s="15" t="n">
        <v>11310</v>
      </c>
      <c r="M229" s="13" t="s">
        <v>103</v>
      </c>
      <c r="N229" s="15" t="n">
        <v>0</v>
      </c>
      <c r="O229" s="15"/>
      <c r="P229" s="14" t="str">
        <f aca="false">IF(O229="","",O229+E229-L229-N229)</f>
        <v/>
      </c>
      <c r="Q229" s="15"/>
      <c r="R229" s="14" t="str">
        <f aca="false">IF(OR(Q229="",P229=""),"",Q229-P229)</f>
        <v/>
      </c>
      <c r="S229" s="19" t="str">
        <f aca="false">IF(R229="","",IF(ABS(R229)&lt;=Léeme!$B$12,"Cuadra",IF(R229&lt;0,"Faltante","Sobrante")))</f>
        <v/>
      </c>
      <c r="T229" s="13" t="s">
        <v>101</v>
      </c>
    </row>
    <row r="230" customFormat="false" ht="15" hidden="false" customHeight="false" outlineLevel="0" collapsed="false">
      <c r="A230" s="17" t="n">
        <v>45792</v>
      </c>
      <c r="B230" s="13" t="s">
        <v>27</v>
      </c>
      <c r="C230" s="13"/>
      <c r="D230" s="13" t="s">
        <v>100</v>
      </c>
      <c r="E230" s="15" t="n">
        <v>311000</v>
      </c>
      <c r="F230" s="15" t="n">
        <v>47290</v>
      </c>
      <c r="G230" s="15" t="n">
        <v>20420</v>
      </c>
      <c r="H230" s="15" t="n">
        <v>27030</v>
      </c>
      <c r="I230" s="15" t="n">
        <v>10950</v>
      </c>
      <c r="J230" s="14" t="n">
        <f aca="false">SUM(E230:I230)</f>
        <v>416690</v>
      </c>
      <c r="K230" s="18"/>
      <c r="L230" s="15" t="n">
        <v>0</v>
      </c>
      <c r="M230" s="13"/>
      <c r="N230" s="15" t="n">
        <v>0</v>
      </c>
      <c r="O230" s="15"/>
      <c r="P230" s="14" t="str">
        <f aca="false">IF(O230="","",O230+E230-L230-N230)</f>
        <v/>
      </c>
      <c r="Q230" s="15"/>
      <c r="R230" s="14" t="str">
        <f aca="false">IF(OR(Q230="",P230=""),"",Q230-P230)</f>
        <v/>
      </c>
      <c r="S230" s="19" t="str">
        <f aca="false">IF(R230="","",IF(ABS(R230)&lt;=Léeme!$B$12,"Cuadra",IF(R230&lt;0,"Faltante","Sobrante")))</f>
        <v/>
      </c>
      <c r="T230" s="13" t="s">
        <v>101</v>
      </c>
    </row>
    <row r="231" customFormat="false" ht="15" hidden="false" customHeight="false" outlineLevel="0" collapsed="false">
      <c r="A231" s="17" t="n">
        <v>45792</v>
      </c>
      <c r="B231" s="13" t="s">
        <v>28</v>
      </c>
      <c r="C231" s="13"/>
      <c r="D231" s="13" t="s">
        <v>100</v>
      </c>
      <c r="E231" s="15" t="n">
        <v>228590</v>
      </c>
      <c r="F231" s="15" t="n">
        <v>37000</v>
      </c>
      <c r="G231" s="15" t="n">
        <v>13940</v>
      </c>
      <c r="H231" s="15" t="n">
        <v>19510</v>
      </c>
      <c r="I231" s="15" t="n">
        <v>8340</v>
      </c>
      <c r="J231" s="14" t="n">
        <f aca="false">SUM(E231:I231)</f>
        <v>307380</v>
      </c>
      <c r="K231" s="18"/>
      <c r="L231" s="15" t="n">
        <v>0</v>
      </c>
      <c r="M231" s="13"/>
      <c r="N231" s="15" t="n">
        <v>0</v>
      </c>
      <c r="O231" s="15"/>
      <c r="P231" s="14" t="str">
        <f aca="false">IF(O231="","",O231+E231-L231-N231)</f>
        <v/>
      </c>
      <c r="Q231" s="15"/>
      <c r="R231" s="14" t="str">
        <f aca="false">IF(OR(Q231="",P231=""),"",Q231-P231)</f>
        <v/>
      </c>
      <c r="S231" s="19" t="str">
        <f aca="false">IF(R231="","",IF(ABS(R231)&lt;=Léeme!$B$12,"Cuadra",IF(R231&lt;0,"Faltante","Sobrante")))</f>
        <v/>
      </c>
      <c r="T231" s="13" t="s">
        <v>101</v>
      </c>
    </row>
    <row r="232" customFormat="false" ht="15" hidden="false" customHeight="false" outlineLevel="0" collapsed="false">
      <c r="A232" s="17" t="n">
        <v>45793</v>
      </c>
      <c r="B232" s="13" t="s">
        <v>27</v>
      </c>
      <c r="C232" s="13"/>
      <c r="D232" s="13" t="s">
        <v>100</v>
      </c>
      <c r="E232" s="15" t="n">
        <v>318730</v>
      </c>
      <c r="F232" s="15" t="n">
        <v>53460</v>
      </c>
      <c r="G232" s="15" t="n">
        <v>22400</v>
      </c>
      <c r="H232" s="15" t="n">
        <v>30670</v>
      </c>
      <c r="I232" s="15" t="n">
        <v>11620</v>
      </c>
      <c r="J232" s="14" t="n">
        <f aca="false">SUM(E232:I232)</f>
        <v>436880</v>
      </c>
      <c r="K232" s="18"/>
      <c r="L232" s="15" t="n">
        <v>0</v>
      </c>
      <c r="M232" s="13"/>
      <c r="N232" s="15" t="n">
        <v>0</v>
      </c>
      <c r="O232" s="15"/>
      <c r="P232" s="14" t="str">
        <f aca="false">IF(O232="","",O232+E232-L232-N232)</f>
        <v/>
      </c>
      <c r="Q232" s="15"/>
      <c r="R232" s="14" t="str">
        <f aca="false">IF(OR(Q232="",P232=""),"",Q232-P232)</f>
        <v/>
      </c>
      <c r="S232" s="19" t="str">
        <f aca="false">IF(R232="","",IF(ABS(R232)&lt;=Léeme!$B$12,"Cuadra",IF(R232&lt;0,"Faltante","Sobrante")))</f>
        <v/>
      </c>
      <c r="T232" s="13" t="s">
        <v>101</v>
      </c>
    </row>
    <row r="233" customFormat="false" ht="15" hidden="false" customHeight="false" outlineLevel="0" collapsed="false">
      <c r="A233" s="17" t="n">
        <v>45793</v>
      </c>
      <c r="B233" s="13" t="s">
        <v>28</v>
      </c>
      <c r="C233" s="13"/>
      <c r="D233" s="13" t="s">
        <v>100</v>
      </c>
      <c r="E233" s="15" t="n">
        <v>207750</v>
      </c>
      <c r="F233" s="15" t="n">
        <v>30400</v>
      </c>
      <c r="G233" s="15" t="n">
        <v>14810</v>
      </c>
      <c r="H233" s="15" t="n">
        <v>20860</v>
      </c>
      <c r="I233" s="15" t="n">
        <v>8820</v>
      </c>
      <c r="J233" s="14" t="n">
        <f aca="false">SUM(E233:I233)</f>
        <v>282640</v>
      </c>
      <c r="K233" s="18"/>
      <c r="L233" s="15" t="n">
        <v>0</v>
      </c>
      <c r="M233" s="13"/>
      <c r="N233" s="15" t="n">
        <v>172000</v>
      </c>
      <c r="O233" s="15"/>
      <c r="P233" s="14" t="str">
        <f aca="false">IF(O233="","",O233+E233-L233-N233)</f>
        <v/>
      </c>
      <c r="Q233" s="15"/>
      <c r="R233" s="14" t="str">
        <f aca="false">IF(OR(Q233="",P233=""),"",Q233-P233)</f>
        <v/>
      </c>
      <c r="S233" s="19" t="str">
        <f aca="false">IF(R233="","",IF(ABS(R233)&lt;=Léeme!$B$12,"Cuadra",IF(R233&lt;0,"Faltante","Sobrante")))</f>
        <v/>
      </c>
      <c r="T233" s="13" t="s">
        <v>101</v>
      </c>
    </row>
    <row r="234" customFormat="false" ht="15" hidden="false" customHeight="false" outlineLevel="0" collapsed="false">
      <c r="A234" s="17" t="n">
        <v>45794</v>
      </c>
      <c r="B234" s="13" t="s">
        <v>27</v>
      </c>
      <c r="C234" s="13"/>
      <c r="D234" s="13" t="s">
        <v>100</v>
      </c>
      <c r="E234" s="15" t="n">
        <v>477630</v>
      </c>
      <c r="F234" s="15" t="n">
        <v>86910</v>
      </c>
      <c r="G234" s="15" t="n">
        <v>30230</v>
      </c>
      <c r="H234" s="15" t="n">
        <v>48910</v>
      </c>
      <c r="I234" s="15" t="n">
        <v>20210</v>
      </c>
      <c r="J234" s="14" t="n">
        <f aca="false">SUM(E234:I234)</f>
        <v>663890</v>
      </c>
      <c r="K234" s="18"/>
      <c r="L234" s="15" t="n">
        <v>0</v>
      </c>
      <c r="M234" s="13"/>
      <c r="N234" s="15" t="n">
        <v>392000</v>
      </c>
      <c r="O234" s="15"/>
      <c r="P234" s="14" t="str">
        <f aca="false">IF(O234="","",O234+E234-L234-N234)</f>
        <v/>
      </c>
      <c r="Q234" s="15"/>
      <c r="R234" s="14" t="str">
        <f aca="false">IF(OR(Q234="",P234=""),"",Q234-P234)</f>
        <v/>
      </c>
      <c r="S234" s="19" t="str">
        <f aca="false">IF(R234="","",IF(ABS(R234)&lt;=Léeme!$B$12,"Cuadra",IF(R234&lt;0,"Faltante","Sobrante")))</f>
        <v/>
      </c>
      <c r="T234" s="13" t="s">
        <v>101</v>
      </c>
    </row>
    <row r="235" customFormat="false" ht="15" hidden="false" customHeight="false" outlineLevel="0" collapsed="false">
      <c r="A235" s="17" t="n">
        <v>45794</v>
      </c>
      <c r="B235" s="13" t="s">
        <v>28</v>
      </c>
      <c r="C235" s="13"/>
      <c r="D235" s="13" t="s">
        <v>100</v>
      </c>
      <c r="E235" s="15" t="n">
        <v>403020</v>
      </c>
      <c r="F235" s="15" t="n">
        <v>65710</v>
      </c>
      <c r="G235" s="15" t="n">
        <v>28660</v>
      </c>
      <c r="H235" s="15" t="n">
        <v>40420</v>
      </c>
      <c r="I235" s="15" t="n">
        <v>16250</v>
      </c>
      <c r="J235" s="14" t="n">
        <f aca="false">SUM(E235:I235)</f>
        <v>554060</v>
      </c>
      <c r="K235" s="18"/>
      <c r="L235" s="15" t="n">
        <v>0</v>
      </c>
      <c r="M235" s="13"/>
      <c r="N235" s="15" t="n">
        <v>242000</v>
      </c>
      <c r="O235" s="15"/>
      <c r="P235" s="14" t="str">
        <f aca="false">IF(O235="","",O235+E235-L235-N235)</f>
        <v/>
      </c>
      <c r="Q235" s="15"/>
      <c r="R235" s="14" t="str">
        <f aca="false">IF(OR(Q235="",P235=""),"",Q235-P235)</f>
        <v/>
      </c>
      <c r="S235" s="19" t="str">
        <f aca="false">IF(R235="","",IF(ABS(R235)&lt;=Léeme!$B$12,"Cuadra",IF(R235&lt;0,"Faltante","Sobrante")))</f>
        <v/>
      </c>
      <c r="T235" s="13" t="s">
        <v>101</v>
      </c>
    </row>
    <row r="236" customFormat="false" ht="15" hidden="false" customHeight="false" outlineLevel="0" collapsed="false">
      <c r="A236" s="17" t="n">
        <v>45795</v>
      </c>
      <c r="B236" s="13" t="s">
        <v>27</v>
      </c>
      <c r="C236" s="13"/>
      <c r="D236" s="13" t="s">
        <v>100</v>
      </c>
      <c r="E236" s="15" t="n">
        <v>738070</v>
      </c>
      <c r="F236" s="15" t="n">
        <v>134130</v>
      </c>
      <c r="G236" s="15" t="n">
        <v>53490</v>
      </c>
      <c r="H236" s="15" t="n">
        <v>73440</v>
      </c>
      <c r="I236" s="15" t="n">
        <v>29500</v>
      </c>
      <c r="J236" s="14" t="n">
        <f aca="false">SUM(E236:I236)</f>
        <v>1028630</v>
      </c>
      <c r="K236" s="18"/>
      <c r="L236" s="15" t="n">
        <v>0</v>
      </c>
      <c r="M236" s="13"/>
      <c r="N236" s="15" t="n">
        <v>459000</v>
      </c>
      <c r="O236" s="15"/>
      <c r="P236" s="14" t="str">
        <f aca="false">IF(O236="","",O236+E236-L236-N236)</f>
        <v/>
      </c>
      <c r="Q236" s="15"/>
      <c r="R236" s="14" t="str">
        <f aca="false">IF(OR(Q236="",P236=""),"",Q236-P236)</f>
        <v/>
      </c>
      <c r="S236" s="19" t="str">
        <f aca="false">IF(R236="","",IF(ABS(R236)&lt;=Léeme!$B$12,"Cuadra",IF(R236&lt;0,"Faltante","Sobrante")))</f>
        <v/>
      </c>
      <c r="T236" s="13" t="s">
        <v>101</v>
      </c>
    </row>
    <row r="237" customFormat="false" ht="15" hidden="false" customHeight="false" outlineLevel="0" collapsed="false">
      <c r="A237" s="17" t="n">
        <v>45795</v>
      </c>
      <c r="B237" s="13" t="s">
        <v>28</v>
      </c>
      <c r="C237" s="13"/>
      <c r="D237" s="13" t="s">
        <v>100</v>
      </c>
      <c r="E237" s="15" t="n">
        <v>581020</v>
      </c>
      <c r="F237" s="15" t="n">
        <v>87670</v>
      </c>
      <c r="G237" s="15" t="n">
        <v>42480</v>
      </c>
      <c r="H237" s="15" t="n">
        <v>54800</v>
      </c>
      <c r="I237" s="15" t="n">
        <v>22740</v>
      </c>
      <c r="J237" s="14" t="n">
        <f aca="false">SUM(E237:I237)</f>
        <v>788710</v>
      </c>
      <c r="K237" s="18"/>
      <c r="L237" s="15" t="n">
        <v>0</v>
      </c>
      <c r="M237" s="13"/>
      <c r="N237" s="15" t="n">
        <v>326000</v>
      </c>
      <c r="O237" s="15"/>
      <c r="P237" s="14" t="str">
        <f aca="false">IF(O237="","",O237+E237-L237-N237)</f>
        <v/>
      </c>
      <c r="Q237" s="15"/>
      <c r="R237" s="14" t="str">
        <f aca="false">IF(OR(Q237="",P237=""),"",Q237-P237)</f>
        <v/>
      </c>
      <c r="S237" s="19" t="str">
        <f aca="false">IF(R237="","",IF(ABS(R237)&lt;=Léeme!$B$12,"Cuadra",IF(R237&lt;0,"Faltante","Sobrante")))</f>
        <v/>
      </c>
      <c r="T237" s="13" t="s">
        <v>101</v>
      </c>
    </row>
    <row r="238" customFormat="false" ht="15" hidden="false" customHeight="false" outlineLevel="0" collapsed="false">
      <c r="A238" s="17" t="n">
        <v>45797</v>
      </c>
      <c r="B238" s="13" t="s">
        <v>27</v>
      </c>
      <c r="C238" s="13"/>
      <c r="D238" s="13" t="s">
        <v>100</v>
      </c>
      <c r="E238" s="15" t="n">
        <v>312000</v>
      </c>
      <c r="F238" s="15" t="n">
        <v>45170</v>
      </c>
      <c r="G238" s="15" t="n">
        <v>21740</v>
      </c>
      <c r="H238" s="15" t="n">
        <v>26920</v>
      </c>
      <c r="I238" s="15" t="n">
        <v>13560</v>
      </c>
      <c r="J238" s="14" t="n">
        <f aca="false">SUM(E238:I238)</f>
        <v>419390</v>
      </c>
      <c r="K238" s="18"/>
      <c r="L238" s="15" t="n">
        <v>10450</v>
      </c>
      <c r="M238" s="13" t="s">
        <v>102</v>
      </c>
      <c r="N238" s="15" t="n">
        <v>227000</v>
      </c>
      <c r="O238" s="15"/>
      <c r="P238" s="14" t="str">
        <f aca="false">IF(O238="","",O238+E238-L238-N238)</f>
        <v/>
      </c>
      <c r="Q238" s="15"/>
      <c r="R238" s="14" t="str">
        <f aca="false">IF(OR(Q238="",P238=""),"",Q238-P238)</f>
        <v/>
      </c>
      <c r="S238" s="19" t="str">
        <f aca="false">IF(R238="","",IF(ABS(R238)&lt;=Léeme!$B$12,"Cuadra",IF(R238&lt;0,"Faltante","Sobrante")))</f>
        <v/>
      </c>
      <c r="T238" s="13" t="s">
        <v>101</v>
      </c>
    </row>
    <row r="239" customFormat="false" ht="15" hidden="false" customHeight="false" outlineLevel="0" collapsed="false">
      <c r="A239" s="17" t="n">
        <v>45797</v>
      </c>
      <c r="B239" s="13" t="s">
        <v>28</v>
      </c>
      <c r="C239" s="13"/>
      <c r="D239" s="13" t="s">
        <v>100</v>
      </c>
      <c r="E239" s="15" t="n">
        <v>231380</v>
      </c>
      <c r="F239" s="15" t="n">
        <v>40590</v>
      </c>
      <c r="G239" s="15" t="n">
        <v>14670</v>
      </c>
      <c r="H239" s="15" t="n">
        <v>19870</v>
      </c>
      <c r="I239" s="15" t="n">
        <v>9210</v>
      </c>
      <c r="J239" s="14" t="n">
        <f aca="false">SUM(E239:I239)</f>
        <v>315720</v>
      </c>
      <c r="K239" s="18"/>
      <c r="L239" s="15" t="n">
        <v>11480</v>
      </c>
      <c r="M239" s="13" t="s">
        <v>103</v>
      </c>
      <c r="N239" s="15" t="n">
        <v>0</v>
      </c>
      <c r="O239" s="15"/>
      <c r="P239" s="14" t="str">
        <f aca="false">IF(O239="","",O239+E239-L239-N239)</f>
        <v/>
      </c>
      <c r="Q239" s="15"/>
      <c r="R239" s="14" t="str">
        <f aca="false">IF(OR(Q239="",P239=""),"",Q239-P239)</f>
        <v/>
      </c>
      <c r="S239" s="19" t="str">
        <f aca="false">IF(R239="","",IF(ABS(R239)&lt;=Léeme!$B$12,"Cuadra",IF(R239&lt;0,"Faltante","Sobrante")))</f>
        <v/>
      </c>
      <c r="T239" s="13" t="s">
        <v>101</v>
      </c>
    </row>
    <row r="240" customFormat="false" ht="15" hidden="false" customHeight="false" outlineLevel="0" collapsed="false">
      <c r="A240" s="17" t="n">
        <v>45798</v>
      </c>
      <c r="B240" s="13" t="s">
        <v>27</v>
      </c>
      <c r="C240" s="13"/>
      <c r="D240" s="13" t="s">
        <v>100</v>
      </c>
      <c r="E240" s="15" t="n">
        <v>343090</v>
      </c>
      <c r="F240" s="15" t="n">
        <v>51510</v>
      </c>
      <c r="G240" s="15" t="n">
        <v>21110</v>
      </c>
      <c r="H240" s="15" t="n">
        <v>28120</v>
      </c>
      <c r="I240" s="15" t="n">
        <v>14150</v>
      </c>
      <c r="J240" s="14" t="n">
        <f aca="false">SUM(E240:I240)</f>
        <v>457980</v>
      </c>
      <c r="K240" s="18"/>
      <c r="L240" s="15" t="n">
        <v>0</v>
      </c>
      <c r="M240" s="13"/>
      <c r="N240" s="15" t="n">
        <v>0</v>
      </c>
      <c r="O240" s="15"/>
      <c r="P240" s="14" t="str">
        <f aca="false">IF(O240="","",O240+E240-L240-N240)</f>
        <v/>
      </c>
      <c r="Q240" s="15"/>
      <c r="R240" s="14" t="str">
        <f aca="false">IF(OR(Q240="",P240=""),"",Q240-P240)</f>
        <v/>
      </c>
      <c r="S240" s="19" t="str">
        <f aca="false">IF(R240="","",IF(ABS(R240)&lt;=Léeme!$B$12,"Cuadra",IF(R240&lt;0,"Faltante","Sobrante")))</f>
        <v/>
      </c>
      <c r="T240" s="13" t="s">
        <v>101</v>
      </c>
    </row>
    <row r="241" customFormat="false" ht="15" hidden="false" customHeight="false" outlineLevel="0" collapsed="false">
      <c r="A241" s="17" t="n">
        <v>45798</v>
      </c>
      <c r="B241" s="13" t="s">
        <v>28</v>
      </c>
      <c r="C241" s="13"/>
      <c r="D241" s="13" t="s">
        <v>100</v>
      </c>
      <c r="E241" s="15" t="n">
        <v>223500</v>
      </c>
      <c r="F241" s="15" t="n">
        <v>36070</v>
      </c>
      <c r="G241" s="15" t="n">
        <v>16580</v>
      </c>
      <c r="H241" s="15" t="n">
        <v>22500</v>
      </c>
      <c r="I241" s="15" t="n">
        <v>8550</v>
      </c>
      <c r="J241" s="14" t="n">
        <f aca="false">SUM(E241:I241)</f>
        <v>307200</v>
      </c>
      <c r="K241" s="18"/>
      <c r="L241" s="15" t="n">
        <v>3820</v>
      </c>
      <c r="M241" s="13" t="s">
        <v>105</v>
      </c>
      <c r="N241" s="15" t="n">
        <v>140000</v>
      </c>
      <c r="O241" s="15"/>
      <c r="P241" s="14" t="str">
        <f aca="false">IF(O241="","",O241+E241-L241-N241)</f>
        <v/>
      </c>
      <c r="Q241" s="15"/>
      <c r="R241" s="14" t="str">
        <f aca="false">IF(OR(Q241="",P241=""),"",Q241-P241)</f>
        <v/>
      </c>
      <c r="S241" s="19" t="str">
        <f aca="false">IF(R241="","",IF(ABS(R241)&lt;=Léeme!$B$12,"Cuadra",IF(R241&lt;0,"Faltante","Sobrante")))</f>
        <v/>
      </c>
      <c r="T241" s="13" t="s">
        <v>101</v>
      </c>
    </row>
    <row r="242" customFormat="false" ht="15" hidden="false" customHeight="false" outlineLevel="0" collapsed="false">
      <c r="A242" s="17" t="n">
        <v>45799</v>
      </c>
      <c r="B242" s="13" t="s">
        <v>27</v>
      </c>
      <c r="C242" s="13"/>
      <c r="D242" s="13" t="s">
        <v>100</v>
      </c>
      <c r="E242" s="15" t="n">
        <v>278650</v>
      </c>
      <c r="F242" s="15" t="n">
        <v>41090</v>
      </c>
      <c r="G242" s="15" t="n">
        <v>17820</v>
      </c>
      <c r="H242" s="15" t="n">
        <v>23400</v>
      </c>
      <c r="I242" s="15" t="n">
        <v>11780</v>
      </c>
      <c r="J242" s="14" t="n">
        <f aca="false">SUM(E242:I242)</f>
        <v>372740</v>
      </c>
      <c r="K242" s="18"/>
      <c r="L242" s="15" t="n">
        <v>0</v>
      </c>
      <c r="M242" s="13"/>
      <c r="N242" s="15" t="n">
        <v>0</v>
      </c>
      <c r="O242" s="15"/>
      <c r="P242" s="14" t="str">
        <f aca="false">IF(O242="","",O242+E242-L242-N242)</f>
        <v/>
      </c>
      <c r="Q242" s="15"/>
      <c r="R242" s="14" t="str">
        <f aca="false">IF(OR(Q242="",P242=""),"",Q242-P242)</f>
        <v/>
      </c>
      <c r="S242" s="19" t="str">
        <f aca="false">IF(R242="","",IF(ABS(R242)&lt;=Léeme!$B$12,"Cuadra",IF(R242&lt;0,"Faltante","Sobrante")))</f>
        <v/>
      </c>
      <c r="T242" s="13" t="s">
        <v>101</v>
      </c>
    </row>
    <row r="243" customFormat="false" ht="15" hidden="false" customHeight="false" outlineLevel="0" collapsed="false">
      <c r="A243" s="17" t="n">
        <v>45799</v>
      </c>
      <c r="B243" s="13" t="s">
        <v>28</v>
      </c>
      <c r="C243" s="13"/>
      <c r="D243" s="13" t="s">
        <v>100</v>
      </c>
      <c r="E243" s="15" t="n">
        <v>216710</v>
      </c>
      <c r="F243" s="15" t="n">
        <v>37440</v>
      </c>
      <c r="G243" s="15" t="n">
        <v>15220</v>
      </c>
      <c r="H243" s="15" t="n">
        <v>21850</v>
      </c>
      <c r="I243" s="15" t="n">
        <v>9010</v>
      </c>
      <c r="J243" s="14" t="n">
        <f aca="false">SUM(E243:I243)</f>
        <v>300230</v>
      </c>
      <c r="K243" s="18"/>
      <c r="L243" s="15" t="n">
        <v>0</v>
      </c>
      <c r="M243" s="13"/>
      <c r="N243" s="15" t="n">
        <v>0</v>
      </c>
      <c r="O243" s="15"/>
      <c r="P243" s="14" t="str">
        <f aca="false">IF(O243="","",O243+E243-L243-N243)</f>
        <v/>
      </c>
      <c r="Q243" s="15"/>
      <c r="R243" s="14" t="str">
        <f aca="false">IF(OR(Q243="",P243=""),"",Q243-P243)</f>
        <v/>
      </c>
      <c r="S243" s="19" t="str">
        <f aca="false">IF(R243="","",IF(ABS(R243)&lt;=Léeme!$B$12,"Cuadra",IF(R243&lt;0,"Faltante","Sobrante")))</f>
        <v/>
      </c>
      <c r="T243" s="13" t="s">
        <v>101</v>
      </c>
    </row>
    <row r="244" customFormat="false" ht="15" hidden="false" customHeight="false" outlineLevel="0" collapsed="false">
      <c r="A244" s="17" t="n">
        <v>45800</v>
      </c>
      <c r="B244" s="13" t="s">
        <v>27</v>
      </c>
      <c r="C244" s="13"/>
      <c r="D244" s="13" t="s">
        <v>100</v>
      </c>
      <c r="E244" s="15" t="n">
        <v>332070</v>
      </c>
      <c r="F244" s="15" t="n">
        <v>54960</v>
      </c>
      <c r="G244" s="15" t="n">
        <v>20710</v>
      </c>
      <c r="H244" s="15" t="n">
        <v>31640</v>
      </c>
      <c r="I244" s="15" t="n">
        <v>13660</v>
      </c>
      <c r="J244" s="14" t="n">
        <f aca="false">SUM(E244:I244)</f>
        <v>453040</v>
      </c>
      <c r="K244" s="18"/>
      <c r="L244" s="15" t="n">
        <v>0</v>
      </c>
      <c r="M244" s="13"/>
      <c r="N244" s="15" t="n">
        <v>0</v>
      </c>
      <c r="O244" s="15"/>
      <c r="P244" s="14" t="str">
        <f aca="false">IF(O244="","",O244+E244-L244-N244)</f>
        <v/>
      </c>
      <c r="Q244" s="15"/>
      <c r="R244" s="14" t="str">
        <f aca="false">IF(OR(Q244="",P244=""),"",Q244-P244)</f>
        <v/>
      </c>
      <c r="S244" s="19" t="str">
        <f aca="false">IF(R244="","",IF(ABS(R244)&lt;=Léeme!$B$12,"Cuadra",IF(R244&lt;0,"Faltante","Sobrante")))</f>
        <v/>
      </c>
      <c r="T244" s="13" t="s">
        <v>101</v>
      </c>
    </row>
    <row r="245" customFormat="false" ht="15" hidden="false" customHeight="false" outlineLevel="0" collapsed="false">
      <c r="A245" s="17" t="n">
        <v>45800</v>
      </c>
      <c r="B245" s="13" t="s">
        <v>28</v>
      </c>
      <c r="C245" s="13"/>
      <c r="D245" s="13" t="s">
        <v>100</v>
      </c>
      <c r="E245" s="15" t="n">
        <v>245400</v>
      </c>
      <c r="F245" s="15" t="n">
        <v>40270</v>
      </c>
      <c r="G245" s="15" t="n">
        <v>17300</v>
      </c>
      <c r="H245" s="15" t="n">
        <v>27650</v>
      </c>
      <c r="I245" s="15" t="n">
        <v>9800</v>
      </c>
      <c r="J245" s="14" t="n">
        <f aca="false">SUM(E245:I245)</f>
        <v>340420</v>
      </c>
      <c r="K245" s="18"/>
      <c r="L245" s="15" t="n">
        <v>0</v>
      </c>
      <c r="M245" s="13"/>
      <c r="N245" s="15" t="n">
        <v>0</v>
      </c>
      <c r="O245" s="15"/>
      <c r="P245" s="14" t="str">
        <f aca="false">IF(O245="","",O245+E245-L245-N245)</f>
        <v/>
      </c>
      <c r="Q245" s="15"/>
      <c r="R245" s="14" t="str">
        <f aca="false">IF(OR(Q245="",P245=""),"",Q245-P245)</f>
        <v/>
      </c>
      <c r="S245" s="19" t="str">
        <f aca="false">IF(R245="","",IF(ABS(R245)&lt;=Léeme!$B$12,"Cuadra",IF(R245&lt;0,"Faltante","Sobrante")))</f>
        <v/>
      </c>
      <c r="T245" s="13" t="s">
        <v>101</v>
      </c>
    </row>
    <row r="246" customFormat="false" ht="15" hidden="false" customHeight="false" outlineLevel="0" collapsed="false">
      <c r="A246" s="17" t="n">
        <v>45801</v>
      </c>
      <c r="B246" s="13" t="s">
        <v>27</v>
      </c>
      <c r="C246" s="13"/>
      <c r="D246" s="13" t="s">
        <v>100</v>
      </c>
      <c r="E246" s="15" t="n">
        <v>451340</v>
      </c>
      <c r="F246" s="15" t="n">
        <v>87610</v>
      </c>
      <c r="G246" s="15" t="n">
        <v>32260</v>
      </c>
      <c r="H246" s="15" t="n">
        <v>42340</v>
      </c>
      <c r="I246" s="15" t="n">
        <v>21460</v>
      </c>
      <c r="J246" s="14" t="n">
        <f aca="false">SUM(E246:I246)</f>
        <v>635010</v>
      </c>
      <c r="K246" s="18"/>
      <c r="L246" s="15" t="n">
        <v>3740</v>
      </c>
      <c r="M246" s="13" t="s">
        <v>105</v>
      </c>
      <c r="N246" s="15" t="n">
        <v>0</v>
      </c>
      <c r="O246" s="15"/>
      <c r="P246" s="14" t="str">
        <f aca="false">IF(O246="","",O246+E246-L246-N246)</f>
        <v/>
      </c>
      <c r="Q246" s="15"/>
      <c r="R246" s="14" t="str">
        <f aca="false">IF(OR(Q246="",P246=""),"",Q246-P246)</f>
        <v/>
      </c>
      <c r="S246" s="19" t="str">
        <f aca="false">IF(R246="","",IF(ABS(R246)&lt;=Léeme!$B$12,"Cuadra",IF(R246&lt;0,"Faltante","Sobrante")))</f>
        <v/>
      </c>
      <c r="T246" s="13" t="s">
        <v>101</v>
      </c>
    </row>
    <row r="247" customFormat="false" ht="15" hidden="false" customHeight="false" outlineLevel="0" collapsed="false">
      <c r="A247" s="17" t="n">
        <v>45801</v>
      </c>
      <c r="B247" s="13" t="s">
        <v>28</v>
      </c>
      <c r="C247" s="13"/>
      <c r="D247" s="13" t="s">
        <v>100</v>
      </c>
      <c r="E247" s="15" t="n">
        <v>335020</v>
      </c>
      <c r="F247" s="15" t="n">
        <v>60550</v>
      </c>
      <c r="G247" s="15" t="n">
        <v>26120</v>
      </c>
      <c r="H247" s="15" t="n">
        <v>30880</v>
      </c>
      <c r="I247" s="15" t="n">
        <v>13280</v>
      </c>
      <c r="J247" s="14" t="n">
        <f aca="false">SUM(E247:I247)</f>
        <v>465850</v>
      </c>
      <c r="K247" s="18"/>
      <c r="L247" s="15" t="n">
        <v>4090</v>
      </c>
      <c r="M247" s="13" t="s">
        <v>104</v>
      </c>
      <c r="N247" s="15" t="n">
        <v>274000</v>
      </c>
      <c r="O247" s="15"/>
      <c r="P247" s="14" t="str">
        <f aca="false">IF(O247="","",O247+E247-L247-N247)</f>
        <v/>
      </c>
      <c r="Q247" s="15"/>
      <c r="R247" s="14" t="str">
        <f aca="false">IF(OR(Q247="",P247=""),"",Q247-P247)</f>
        <v/>
      </c>
      <c r="S247" s="19" t="str">
        <f aca="false">IF(R247="","",IF(ABS(R247)&lt;=Léeme!$B$12,"Cuadra",IF(R247&lt;0,"Faltante","Sobrante")))</f>
        <v/>
      </c>
      <c r="T247" s="13" t="s">
        <v>101</v>
      </c>
    </row>
    <row r="248" customFormat="false" ht="15" hidden="false" customHeight="false" outlineLevel="0" collapsed="false">
      <c r="A248" s="17" t="n">
        <v>45802</v>
      </c>
      <c r="B248" s="13" t="s">
        <v>27</v>
      </c>
      <c r="C248" s="13"/>
      <c r="D248" s="13" t="s">
        <v>100</v>
      </c>
      <c r="E248" s="15" t="n">
        <v>742530</v>
      </c>
      <c r="F248" s="15" t="n">
        <v>127070</v>
      </c>
      <c r="G248" s="15" t="n">
        <v>56990</v>
      </c>
      <c r="H248" s="15" t="n">
        <v>79040</v>
      </c>
      <c r="I248" s="15" t="n">
        <v>31400</v>
      </c>
      <c r="J248" s="14" t="n">
        <f aca="false">SUM(E248:I248)</f>
        <v>1037030</v>
      </c>
      <c r="K248" s="18"/>
      <c r="L248" s="15" t="n">
        <v>0</v>
      </c>
      <c r="M248" s="13"/>
      <c r="N248" s="15" t="n">
        <v>0</v>
      </c>
      <c r="O248" s="15"/>
      <c r="P248" s="14" t="str">
        <f aca="false">IF(O248="","",O248+E248-L248-N248)</f>
        <v/>
      </c>
      <c r="Q248" s="15"/>
      <c r="R248" s="14" t="str">
        <f aca="false">IF(OR(Q248="",P248=""),"",Q248-P248)</f>
        <v/>
      </c>
      <c r="S248" s="19" t="str">
        <f aca="false">IF(R248="","",IF(ABS(R248)&lt;=Léeme!$B$12,"Cuadra",IF(R248&lt;0,"Faltante","Sobrante")))</f>
        <v/>
      </c>
      <c r="T248" s="13" t="s">
        <v>101</v>
      </c>
    </row>
    <row r="249" customFormat="false" ht="15" hidden="false" customHeight="false" outlineLevel="0" collapsed="false">
      <c r="A249" s="17" t="n">
        <v>45802</v>
      </c>
      <c r="B249" s="13" t="s">
        <v>28</v>
      </c>
      <c r="C249" s="13"/>
      <c r="D249" s="13" t="s">
        <v>100</v>
      </c>
      <c r="E249" s="15" t="n">
        <v>605240</v>
      </c>
      <c r="F249" s="15" t="n">
        <v>107930</v>
      </c>
      <c r="G249" s="15" t="n">
        <v>40540</v>
      </c>
      <c r="H249" s="15" t="n">
        <v>62110</v>
      </c>
      <c r="I249" s="15" t="n">
        <v>26320</v>
      </c>
      <c r="J249" s="14" t="n">
        <f aca="false">SUM(E249:I249)</f>
        <v>842140</v>
      </c>
      <c r="K249" s="18"/>
      <c r="L249" s="15" t="n">
        <v>0</v>
      </c>
      <c r="M249" s="13"/>
      <c r="N249" s="15" t="n">
        <v>489000</v>
      </c>
      <c r="O249" s="15"/>
      <c r="P249" s="14" t="str">
        <f aca="false">IF(O249="","",O249+E249-L249-N249)</f>
        <v/>
      </c>
      <c r="Q249" s="15"/>
      <c r="R249" s="14" t="str">
        <f aca="false">IF(OR(Q249="",P249=""),"",Q249-P249)</f>
        <v/>
      </c>
      <c r="S249" s="19" t="str">
        <f aca="false">IF(R249="","",IF(ABS(R249)&lt;=Léeme!$B$12,"Cuadra",IF(R249&lt;0,"Faltante","Sobrante")))</f>
        <v/>
      </c>
      <c r="T249" s="13" t="s">
        <v>101</v>
      </c>
    </row>
    <row r="250" customFormat="false" ht="15" hidden="false" customHeight="false" outlineLevel="0" collapsed="false">
      <c r="A250" s="17" t="n">
        <v>45804</v>
      </c>
      <c r="B250" s="13" t="s">
        <v>27</v>
      </c>
      <c r="C250" s="13"/>
      <c r="D250" s="13" t="s">
        <v>100</v>
      </c>
      <c r="E250" s="15" t="n">
        <v>272660</v>
      </c>
      <c r="F250" s="15" t="n">
        <v>42790</v>
      </c>
      <c r="G250" s="15" t="n">
        <v>18480</v>
      </c>
      <c r="H250" s="15" t="n">
        <v>22650</v>
      </c>
      <c r="I250" s="15" t="n">
        <v>11160</v>
      </c>
      <c r="J250" s="14" t="n">
        <f aca="false">SUM(E250:I250)</f>
        <v>367740</v>
      </c>
      <c r="K250" s="18"/>
      <c r="L250" s="15" t="n">
        <v>0</v>
      </c>
      <c r="M250" s="13"/>
      <c r="N250" s="15" t="n">
        <v>225000</v>
      </c>
      <c r="O250" s="15"/>
      <c r="P250" s="14" t="str">
        <f aca="false">IF(O250="","",O250+E250-L250-N250)</f>
        <v/>
      </c>
      <c r="Q250" s="15"/>
      <c r="R250" s="14" t="str">
        <f aca="false">IF(OR(Q250="",P250=""),"",Q250-P250)</f>
        <v/>
      </c>
      <c r="S250" s="19" t="str">
        <f aca="false">IF(R250="","",IF(ABS(R250)&lt;=Léeme!$B$12,"Cuadra",IF(R250&lt;0,"Faltante","Sobrante")))</f>
        <v/>
      </c>
      <c r="T250" s="13" t="s">
        <v>101</v>
      </c>
    </row>
    <row r="251" customFormat="false" ht="15" hidden="false" customHeight="false" outlineLevel="0" collapsed="false">
      <c r="A251" s="17" t="n">
        <v>45804</v>
      </c>
      <c r="B251" s="13" t="s">
        <v>28</v>
      </c>
      <c r="C251" s="13"/>
      <c r="D251" s="13" t="s">
        <v>100</v>
      </c>
      <c r="E251" s="15" t="n">
        <v>218540</v>
      </c>
      <c r="F251" s="15" t="n">
        <v>38510</v>
      </c>
      <c r="G251" s="15" t="n">
        <v>14720</v>
      </c>
      <c r="H251" s="15" t="n">
        <v>23210</v>
      </c>
      <c r="I251" s="15" t="n">
        <v>9880</v>
      </c>
      <c r="J251" s="14" t="n">
        <f aca="false">SUM(E251:I251)</f>
        <v>304860</v>
      </c>
      <c r="K251" s="18"/>
      <c r="L251" s="15" t="n">
        <v>0</v>
      </c>
      <c r="M251" s="13"/>
      <c r="N251" s="15" t="n">
        <v>0</v>
      </c>
      <c r="O251" s="15"/>
      <c r="P251" s="14" t="str">
        <f aca="false">IF(O251="","",O251+E251-L251-N251)</f>
        <v/>
      </c>
      <c r="Q251" s="15"/>
      <c r="R251" s="14" t="str">
        <f aca="false">IF(OR(Q251="",P251=""),"",Q251-P251)</f>
        <v/>
      </c>
      <c r="S251" s="19" t="str">
        <f aca="false">IF(R251="","",IF(ABS(R251)&lt;=Léeme!$B$12,"Cuadra",IF(R251&lt;0,"Faltante","Sobrante")))</f>
        <v/>
      </c>
      <c r="T251" s="13" t="s">
        <v>101</v>
      </c>
    </row>
    <row r="252" customFormat="false" ht="15" hidden="false" customHeight="false" outlineLevel="0" collapsed="false">
      <c r="A252" s="17" t="n">
        <v>45805</v>
      </c>
      <c r="B252" s="13" t="s">
        <v>27</v>
      </c>
      <c r="C252" s="13"/>
      <c r="D252" s="13" t="s">
        <v>100</v>
      </c>
      <c r="E252" s="15" t="n">
        <v>292430</v>
      </c>
      <c r="F252" s="15" t="n">
        <v>47830</v>
      </c>
      <c r="G252" s="15" t="n">
        <v>19000</v>
      </c>
      <c r="H252" s="15" t="n">
        <v>28530</v>
      </c>
      <c r="I252" s="15" t="n">
        <v>11140</v>
      </c>
      <c r="J252" s="14" t="n">
        <f aca="false">SUM(E252:I252)</f>
        <v>398930</v>
      </c>
      <c r="K252" s="18"/>
      <c r="L252" s="15" t="n">
        <v>0</v>
      </c>
      <c r="M252" s="13"/>
      <c r="N252" s="15" t="n">
        <v>0</v>
      </c>
      <c r="O252" s="15"/>
      <c r="P252" s="14" t="str">
        <f aca="false">IF(O252="","",O252+E252-L252-N252)</f>
        <v/>
      </c>
      <c r="Q252" s="15"/>
      <c r="R252" s="14" t="str">
        <f aca="false">IF(OR(Q252="",P252=""),"",Q252-P252)</f>
        <v/>
      </c>
      <c r="S252" s="19" t="str">
        <f aca="false">IF(R252="","",IF(ABS(R252)&lt;=Léeme!$B$12,"Cuadra",IF(R252&lt;0,"Faltante","Sobrante")))</f>
        <v/>
      </c>
      <c r="T252" s="13" t="s">
        <v>101</v>
      </c>
    </row>
    <row r="253" customFormat="false" ht="15" hidden="false" customHeight="false" outlineLevel="0" collapsed="false">
      <c r="A253" s="17" t="n">
        <v>45805</v>
      </c>
      <c r="B253" s="13" t="s">
        <v>28</v>
      </c>
      <c r="C253" s="13"/>
      <c r="D253" s="13" t="s">
        <v>100</v>
      </c>
      <c r="E253" s="15" t="n">
        <v>231500</v>
      </c>
      <c r="F253" s="15" t="n">
        <v>40150</v>
      </c>
      <c r="G253" s="15" t="n">
        <v>16600</v>
      </c>
      <c r="H253" s="15" t="n">
        <v>25040</v>
      </c>
      <c r="I253" s="15" t="n">
        <v>10430</v>
      </c>
      <c r="J253" s="14" t="n">
        <f aca="false">SUM(E253:I253)</f>
        <v>323720</v>
      </c>
      <c r="K253" s="18"/>
      <c r="L253" s="15" t="n">
        <v>0</v>
      </c>
      <c r="M253" s="13"/>
      <c r="N253" s="15" t="n">
        <v>0</v>
      </c>
      <c r="O253" s="15"/>
      <c r="P253" s="14" t="str">
        <f aca="false">IF(O253="","",O253+E253-L253-N253)</f>
        <v/>
      </c>
      <c r="Q253" s="15"/>
      <c r="R253" s="14" t="str">
        <f aca="false">IF(OR(Q253="",P253=""),"",Q253-P253)</f>
        <v/>
      </c>
      <c r="S253" s="19" t="str">
        <f aca="false">IF(R253="","",IF(ABS(R253)&lt;=Léeme!$B$12,"Cuadra",IF(R253&lt;0,"Faltante","Sobrante")))</f>
        <v/>
      </c>
      <c r="T253" s="13" t="s">
        <v>101</v>
      </c>
    </row>
    <row r="254" customFormat="false" ht="15" hidden="false" customHeight="false" outlineLevel="0" collapsed="false">
      <c r="A254" s="17" t="n">
        <v>45806</v>
      </c>
      <c r="B254" s="13" t="s">
        <v>27</v>
      </c>
      <c r="C254" s="13"/>
      <c r="D254" s="13" t="s">
        <v>100</v>
      </c>
      <c r="E254" s="15" t="n">
        <v>318180</v>
      </c>
      <c r="F254" s="15" t="n">
        <v>54990</v>
      </c>
      <c r="G254" s="15" t="n">
        <v>22140</v>
      </c>
      <c r="H254" s="15" t="n">
        <v>27310</v>
      </c>
      <c r="I254" s="15" t="n">
        <v>12080</v>
      </c>
      <c r="J254" s="14" t="n">
        <f aca="false">SUM(E254:I254)</f>
        <v>434700</v>
      </c>
      <c r="K254" s="18"/>
      <c r="L254" s="15" t="n">
        <v>0</v>
      </c>
      <c r="M254" s="13"/>
      <c r="N254" s="15" t="n">
        <v>0</v>
      </c>
      <c r="O254" s="15"/>
      <c r="P254" s="14" t="str">
        <f aca="false">IF(O254="","",O254+E254-L254-N254)</f>
        <v/>
      </c>
      <c r="Q254" s="15"/>
      <c r="R254" s="14" t="str">
        <f aca="false">IF(OR(Q254="",P254=""),"",Q254-P254)</f>
        <v/>
      </c>
      <c r="S254" s="19" t="str">
        <f aca="false">IF(R254="","",IF(ABS(R254)&lt;=Léeme!$B$12,"Cuadra",IF(R254&lt;0,"Faltante","Sobrante")))</f>
        <v/>
      </c>
      <c r="T254" s="13" t="s">
        <v>101</v>
      </c>
    </row>
    <row r="255" customFormat="false" ht="15" hidden="false" customHeight="false" outlineLevel="0" collapsed="false">
      <c r="A255" s="17" t="n">
        <v>45806</v>
      </c>
      <c r="B255" s="13" t="s">
        <v>28</v>
      </c>
      <c r="C255" s="13"/>
      <c r="D255" s="13" t="s">
        <v>100</v>
      </c>
      <c r="E255" s="15" t="n">
        <v>249630</v>
      </c>
      <c r="F255" s="15" t="n">
        <v>37550</v>
      </c>
      <c r="G255" s="15" t="n">
        <v>16630</v>
      </c>
      <c r="H255" s="15" t="n">
        <v>21910</v>
      </c>
      <c r="I255" s="15" t="n">
        <v>9590</v>
      </c>
      <c r="J255" s="14" t="n">
        <f aca="false">SUM(E255:I255)</f>
        <v>335310</v>
      </c>
      <c r="K255" s="18"/>
      <c r="L255" s="15" t="n">
        <v>0</v>
      </c>
      <c r="M255" s="13"/>
      <c r="N255" s="15" t="n">
        <v>182000</v>
      </c>
      <c r="O255" s="15"/>
      <c r="P255" s="14" t="str">
        <f aca="false">IF(O255="","",O255+E255-L255-N255)</f>
        <v/>
      </c>
      <c r="Q255" s="15"/>
      <c r="R255" s="14" t="str">
        <f aca="false">IF(OR(Q255="",P255=""),"",Q255-P255)</f>
        <v/>
      </c>
      <c r="S255" s="19" t="str">
        <f aca="false">IF(R255="","",IF(ABS(R255)&lt;=Léeme!$B$12,"Cuadra",IF(R255&lt;0,"Faltante","Sobrante")))</f>
        <v/>
      </c>
      <c r="T255" s="13" t="s">
        <v>101</v>
      </c>
    </row>
    <row r="256" customFormat="false" ht="15" hidden="false" customHeight="false" outlineLevel="0" collapsed="false">
      <c r="A256" s="17" t="n">
        <v>45807</v>
      </c>
      <c r="B256" s="13" t="s">
        <v>27</v>
      </c>
      <c r="C256" s="13"/>
      <c r="D256" s="13" t="s">
        <v>100</v>
      </c>
      <c r="E256" s="15" t="n">
        <v>311410</v>
      </c>
      <c r="F256" s="15" t="n">
        <v>51710</v>
      </c>
      <c r="G256" s="15" t="n">
        <v>21850</v>
      </c>
      <c r="H256" s="15" t="n">
        <v>31580</v>
      </c>
      <c r="I256" s="15" t="n">
        <v>12740</v>
      </c>
      <c r="J256" s="14" t="n">
        <f aca="false">SUM(E256:I256)</f>
        <v>429290</v>
      </c>
      <c r="K256" s="18"/>
      <c r="L256" s="15" t="n">
        <v>0</v>
      </c>
      <c r="M256" s="13"/>
      <c r="N256" s="15" t="n">
        <v>0</v>
      </c>
      <c r="O256" s="15"/>
      <c r="P256" s="14" t="str">
        <f aca="false">IF(O256="","",O256+E256-L256-N256)</f>
        <v/>
      </c>
      <c r="Q256" s="15"/>
      <c r="R256" s="14" t="str">
        <f aca="false">IF(OR(Q256="",P256=""),"",Q256-P256)</f>
        <v/>
      </c>
      <c r="S256" s="19" t="str">
        <f aca="false">IF(R256="","",IF(ABS(R256)&lt;=Léeme!$B$12,"Cuadra",IF(R256&lt;0,"Faltante","Sobrante")))</f>
        <v/>
      </c>
      <c r="T256" s="13" t="s">
        <v>101</v>
      </c>
    </row>
    <row r="257" customFormat="false" ht="15" hidden="false" customHeight="false" outlineLevel="0" collapsed="false">
      <c r="A257" s="17" t="n">
        <v>45807</v>
      </c>
      <c r="B257" s="13" t="s">
        <v>28</v>
      </c>
      <c r="C257" s="13"/>
      <c r="D257" s="13" t="s">
        <v>100</v>
      </c>
      <c r="E257" s="15" t="n">
        <v>231780</v>
      </c>
      <c r="F257" s="15" t="n">
        <v>37490</v>
      </c>
      <c r="G257" s="15" t="n">
        <v>17260</v>
      </c>
      <c r="H257" s="15" t="n">
        <v>22870</v>
      </c>
      <c r="I257" s="15" t="n">
        <v>11000</v>
      </c>
      <c r="J257" s="14" t="n">
        <f aca="false">SUM(E257:I257)</f>
        <v>320400</v>
      </c>
      <c r="K257" s="18"/>
      <c r="L257" s="15" t="n">
        <v>8630</v>
      </c>
      <c r="M257" s="13" t="s">
        <v>104</v>
      </c>
      <c r="N257" s="15" t="n">
        <v>0</v>
      </c>
      <c r="O257" s="15"/>
      <c r="P257" s="14" t="str">
        <f aca="false">IF(O257="","",O257+E257-L257-N257)</f>
        <v/>
      </c>
      <c r="Q257" s="15"/>
      <c r="R257" s="14" t="str">
        <f aca="false">IF(OR(Q257="",P257=""),"",Q257-P257)</f>
        <v/>
      </c>
      <c r="S257" s="19" t="str">
        <f aca="false">IF(R257="","",IF(ABS(R257)&lt;=Léeme!$B$12,"Cuadra",IF(R257&lt;0,"Faltante","Sobrante")))</f>
        <v/>
      </c>
      <c r="T257" s="13" t="s">
        <v>101</v>
      </c>
    </row>
    <row r="258" customFormat="false" ht="15" hidden="false" customHeight="false" outlineLevel="0" collapsed="false">
      <c r="A258" s="17" t="n">
        <v>45808</v>
      </c>
      <c r="B258" s="13" t="s">
        <v>27</v>
      </c>
      <c r="C258" s="13"/>
      <c r="D258" s="13" t="s">
        <v>100</v>
      </c>
      <c r="E258" s="15" t="n">
        <v>496380</v>
      </c>
      <c r="F258" s="15" t="n">
        <v>92640</v>
      </c>
      <c r="G258" s="15" t="n">
        <v>36080</v>
      </c>
      <c r="H258" s="15" t="n">
        <v>59170</v>
      </c>
      <c r="I258" s="15" t="n">
        <v>21710</v>
      </c>
      <c r="J258" s="14" t="n">
        <f aca="false">SUM(E258:I258)</f>
        <v>705980</v>
      </c>
      <c r="K258" s="18"/>
      <c r="L258" s="15" t="n">
        <v>0</v>
      </c>
      <c r="M258" s="13"/>
      <c r="N258" s="15" t="n">
        <v>0</v>
      </c>
      <c r="O258" s="15"/>
      <c r="P258" s="14" t="str">
        <f aca="false">IF(O258="","",O258+E258-L258-N258)</f>
        <v/>
      </c>
      <c r="Q258" s="15"/>
      <c r="R258" s="14" t="str">
        <f aca="false">IF(OR(Q258="",P258=""),"",Q258-P258)</f>
        <v/>
      </c>
      <c r="S258" s="19" t="str">
        <f aca="false">IF(R258="","",IF(ABS(R258)&lt;=Léeme!$B$12,"Cuadra",IF(R258&lt;0,"Faltante","Sobrante")))</f>
        <v/>
      </c>
      <c r="T258" s="13" t="s">
        <v>101</v>
      </c>
    </row>
    <row r="259" customFormat="false" ht="15" hidden="false" customHeight="false" outlineLevel="0" collapsed="false">
      <c r="A259" s="17" t="n">
        <v>45808</v>
      </c>
      <c r="B259" s="13" t="s">
        <v>28</v>
      </c>
      <c r="C259" s="13"/>
      <c r="D259" s="13" t="s">
        <v>100</v>
      </c>
      <c r="E259" s="15" t="n">
        <v>414980</v>
      </c>
      <c r="F259" s="15" t="n">
        <v>66320</v>
      </c>
      <c r="G259" s="15" t="n">
        <v>25520</v>
      </c>
      <c r="H259" s="15" t="n">
        <v>40870</v>
      </c>
      <c r="I259" s="15" t="n">
        <v>17280</v>
      </c>
      <c r="J259" s="14" t="n">
        <f aca="false">SUM(E259:I259)</f>
        <v>564970</v>
      </c>
      <c r="K259" s="18"/>
      <c r="L259" s="15" t="n">
        <v>22730</v>
      </c>
      <c r="M259" s="13" t="s">
        <v>103</v>
      </c>
      <c r="N259" s="15" t="n">
        <v>0</v>
      </c>
      <c r="O259" s="15"/>
      <c r="P259" s="14" t="str">
        <f aca="false">IF(O259="","",O259+E259-L259-N259)</f>
        <v/>
      </c>
      <c r="Q259" s="15"/>
      <c r="R259" s="14" t="str">
        <f aca="false">IF(OR(Q259="",P259=""),"",Q259-P259)</f>
        <v/>
      </c>
      <c r="S259" s="19" t="str">
        <f aca="false">IF(R259="","",IF(ABS(R259)&lt;=Léeme!$B$12,"Cuadra",IF(R259&lt;0,"Faltante","Sobrante")))</f>
        <v/>
      </c>
      <c r="T259" s="13" t="s">
        <v>101</v>
      </c>
    </row>
    <row r="260" customFormat="false" ht="15" hidden="false" customHeight="false" outlineLevel="0" collapsed="false">
      <c r="A260" s="17" t="n">
        <v>45809</v>
      </c>
      <c r="B260" s="13" t="s">
        <v>27</v>
      </c>
      <c r="C260" s="13" t="s">
        <v>107</v>
      </c>
      <c r="D260" s="13" t="s">
        <v>108</v>
      </c>
      <c r="E260" s="15" t="n">
        <v>942180</v>
      </c>
      <c r="F260" s="15" t="n">
        <v>155930</v>
      </c>
      <c r="G260" s="15" t="n">
        <v>58640</v>
      </c>
      <c r="H260" s="15" t="n">
        <v>85870</v>
      </c>
      <c r="I260" s="15" t="n">
        <v>35150</v>
      </c>
      <c r="J260" s="14" t="n">
        <f aca="false">SUM(E260:I260)</f>
        <v>1277770</v>
      </c>
      <c r="K260" s="18" t="n">
        <v>123</v>
      </c>
      <c r="L260" s="15" t="n">
        <v>0</v>
      </c>
      <c r="M260" s="13"/>
      <c r="N260" s="15" t="n">
        <v>625000</v>
      </c>
      <c r="O260" s="15" t="n">
        <v>20000</v>
      </c>
      <c r="P260" s="14" t="n">
        <f aca="false">IF(O260="","",O260+E260-L260-N260)</f>
        <v>337180</v>
      </c>
      <c r="Q260" s="15" t="n">
        <v>334480</v>
      </c>
      <c r="R260" s="14" t="n">
        <f aca="false">IF(OR(Q260="",P260=""),"",Q260-P260)</f>
        <v>-2700</v>
      </c>
      <c r="S260" s="19" t="str">
        <f aca="false">IF(R260="","",IF(ABS(R260)&lt;=Léeme!$B$12,"Cuadra",IF(R260&lt;0,"Faltante","Sobrante")))</f>
        <v>Faltante</v>
      </c>
      <c r="T260" s="13" t="s">
        <v>101</v>
      </c>
    </row>
    <row r="261" customFormat="false" ht="15" hidden="false" customHeight="false" outlineLevel="0" collapsed="false">
      <c r="A261" s="17" t="n">
        <v>45809</v>
      </c>
      <c r="B261" s="13" t="s">
        <v>28</v>
      </c>
      <c r="C261" s="13" t="s">
        <v>109</v>
      </c>
      <c r="D261" s="13" t="s">
        <v>108</v>
      </c>
      <c r="E261" s="15" t="n">
        <v>709550</v>
      </c>
      <c r="F261" s="15" t="n">
        <v>116190</v>
      </c>
      <c r="G261" s="15" t="n">
        <v>52030</v>
      </c>
      <c r="H261" s="15" t="n">
        <v>72010</v>
      </c>
      <c r="I261" s="15" t="n">
        <v>30270</v>
      </c>
      <c r="J261" s="14" t="n">
        <f aca="false">SUM(E261:I261)</f>
        <v>980050</v>
      </c>
      <c r="K261" s="18" t="n">
        <v>102</v>
      </c>
      <c r="L261" s="15" t="n">
        <v>0</v>
      </c>
      <c r="M261" s="13"/>
      <c r="N261" s="15" t="n">
        <v>0</v>
      </c>
      <c r="O261" s="15" t="n">
        <v>20000</v>
      </c>
      <c r="P261" s="14" t="n">
        <f aca="false">IF(O261="","",O261+E261-L261-N261)</f>
        <v>729550</v>
      </c>
      <c r="Q261" s="15" t="n">
        <v>729550</v>
      </c>
      <c r="R261" s="14" t="n">
        <f aca="false">IF(OR(Q261="",P261=""),"",Q261-P261)</f>
        <v>0</v>
      </c>
      <c r="S261" s="19" t="str">
        <f aca="false">IF(R261="","",IF(ABS(R261)&lt;=Léeme!$B$12,"Cuadra",IF(R261&lt;0,"Faltante","Sobrante")))</f>
        <v>Cuadra</v>
      </c>
      <c r="T261" s="13" t="s">
        <v>101</v>
      </c>
    </row>
    <row r="262" customFormat="false" ht="15" hidden="false" customHeight="false" outlineLevel="0" collapsed="false">
      <c r="A262" s="17" t="n">
        <v>45811</v>
      </c>
      <c r="B262" s="13" t="s">
        <v>27</v>
      </c>
      <c r="C262" s="13" t="s">
        <v>110</v>
      </c>
      <c r="D262" s="13" t="s">
        <v>108</v>
      </c>
      <c r="E262" s="15" t="n">
        <v>347200</v>
      </c>
      <c r="F262" s="15" t="n">
        <v>61790</v>
      </c>
      <c r="G262" s="15" t="n">
        <v>25760</v>
      </c>
      <c r="H262" s="15" t="n">
        <v>41860</v>
      </c>
      <c r="I262" s="15" t="n">
        <v>17060</v>
      </c>
      <c r="J262" s="14" t="n">
        <f aca="false">SUM(E262:I262)</f>
        <v>493670</v>
      </c>
      <c r="K262" s="18" t="n">
        <v>46</v>
      </c>
      <c r="L262" s="15" t="n">
        <v>0</v>
      </c>
      <c r="M262" s="13"/>
      <c r="N262" s="15" t="n">
        <v>211000</v>
      </c>
      <c r="O262" s="15" t="n">
        <v>20000</v>
      </c>
      <c r="P262" s="14" t="n">
        <f aca="false">IF(O262="","",O262+E262-L262-N262)</f>
        <v>156200</v>
      </c>
      <c r="Q262" s="15" t="n">
        <v>155460</v>
      </c>
      <c r="R262" s="14" t="n">
        <f aca="false">IF(OR(Q262="",P262=""),"",Q262-P262)</f>
        <v>-740</v>
      </c>
      <c r="S262" s="19" t="str">
        <f aca="false">IF(R262="","",IF(ABS(R262)&lt;=Léeme!$B$12,"Cuadra",IF(R262&lt;0,"Faltante","Sobrante")))</f>
        <v>Faltante</v>
      </c>
      <c r="T262" s="13" t="s">
        <v>101</v>
      </c>
    </row>
    <row r="263" customFormat="false" ht="15" hidden="false" customHeight="false" outlineLevel="0" collapsed="false">
      <c r="A263" s="17" t="n">
        <v>45811</v>
      </c>
      <c r="B263" s="13" t="s">
        <v>28</v>
      </c>
      <c r="C263" s="13" t="s">
        <v>111</v>
      </c>
      <c r="D263" s="13" t="s">
        <v>108</v>
      </c>
      <c r="E263" s="15" t="n">
        <v>277720</v>
      </c>
      <c r="F263" s="15" t="n">
        <v>50580</v>
      </c>
      <c r="G263" s="15" t="n">
        <v>18900</v>
      </c>
      <c r="H263" s="15" t="n">
        <v>28180</v>
      </c>
      <c r="I263" s="15" t="n">
        <v>11410</v>
      </c>
      <c r="J263" s="14" t="n">
        <f aca="false">SUM(E263:I263)</f>
        <v>386790</v>
      </c>
      <c r="K263" s="18" t="n">
        <v>38</v>
      </c>
      <c r="L263" s="15" t="n">
        <v>27460</v>
      </c>
      <c r="M263" s="13" t="s">
        <v>103</v>
      </c>
      <c r="N263" s="15" t="n">
        <v>0</v>
      </c>
      <c r="O263" s="15" t="n">
        <v>20000</v>
      </c>
      <c r="P263" s="14" t="n">
        <f aca="false">IF(O263="","",O263+E263-L263-N263)</f>
        <v>270260</v>
      </c>
      <c r="Q263" s="15" t="n">
        <v>270260</v>
      </c>
      <c r="R263" s="14" t="n">
        <f aca="false">IF(OR(Q263="",P263=""),"",Q263-P263)</f>
        <v>0</v>
      </c>
      <c r="S263" s="19" t="str">
        <f aca="false">IF(R263="","",IF(ABS(R263)&lt;=Léeme!$B$12,"Cuadra",IF(R263&lt;0,"Faltante","Sobrante")))</f>
        <v>Cuadra</v>
      </c>
      <c r="T263" s="13" t="s">
        <v>101</v>
      </c>
    </row>
    <row r="264" customFormat="false" ht="15" hidden="false" customHeight="false" outlineLevel="0" collapsed="false">
      <c r="A264" s="17" t="n">
        <v>45812</v>
      </c>
      <c r="B264" s="13" t="s">
        <v>27</v>
      </c>
      <c r="C264" s="13" t="s">
        <v>110</v>
      </c>
      <c r="D264" s="13" t="s">
        <v>108</v>
      </c>
      <c r="E264" s="15" t="n">
        <v>365830</v>
      </c>
      <c r="F264" s="15" t="n">
        <v>62940</v>
      </c>
      <c r="G264" s="15" t="n">
        <v>23090</v>
      </c>
      <c r="H264" s="15" t="n">
        <v>32620</v>
      </c>
      <c r="I264" s="15" t="n">
        <v>14840</v>
      </c>
      <c r="J264" s="14" t="n">
        <f aca="false">SUM(E264:I264)</f>
        <v>499320</v>
      </c>
      <c r="K264" s="18" t="n">
        <v>49</v>
      </c>
      <c r="L264" s="15" t="n">
        <v>27480</v>
      </c>
      <c r="M264" s="13" t="s">
        <v>103</v>
      </c>
      <c r="N264" s="15" t="n">
        <v>206000</v>
      </c>
      <c r="O264" s="15" t="n">
        <v>20000</v>
      </c>
      <c r="P264" s="14" t="n">
        <f aca="false">IF(O264="","",O264+E264-L264-N264)</f>
        <v>152350</v>
      </c>
      <c r="Q264" s="15" t="n">
        <v>152350</v>
      </c>
      <c r="R264" s="14" t="n">
        <f aca="false">IF(OR(Q264="",P264=""),"",Q264-P264)</f>
        <v>0</v>
      </c>
      <c r="S264" s="19" t="str">
        <f aca="false">IF(R264="","",IF(ABS(R264)&lt;=Léeme!$B$12,"Cuadra",IF(R264&lt;0,"Faltante","Sobrante")))</f>
        <v>Cuadra</v>
      </c>
      <c r="T264" s="13" t="s">
        <v>101</v>
      </c>
    </row>
    <row r="265" customFormat="false" ht="15" hidden="false" customHeight="false" outlineLevel="0" collapsed="false">
      <c r="A265" s="17" t="n">
        <v>45812</v>
      </c>
      <c r="B265" s="13" t="s">
        <v>28</v>
      </c>
      <c r="C265" s="13" t="s">
        <v>111</v>
      </c>
      <c r="D265" s="13" t="s">
        <v>108</v>
      </c>
      <c r="E265" s="15" t="n">
        <v>270740</v>
      </c>
      <c r="F265" s="15" t="n">
        <v>46360</v>
      </c>
      <c r="G265" s="15" t="n">
        <v>21370</v>
      </c>
      <c r="H265" s="15" t="n">
        <v>31240</v>
      </c>
      <c r="I265" s="15" t="n">
        <v>12870</v>
      </c>
      <c r="J265" s="14" t="n">
        <f aca="false">SUM(E265:I265)</f>
        <v>382580</v>
      </c>
      <c r="K265" s="18" t="n">
        <v>39</v>
      </c>
      <c r="L265" s="15" t="n">
        <v>26040</v>
      </c>
      <c r="M265" s="13" t="s">
        <v>103</v>
      </c>
      <c r="N265" s="15" t="n">
        <v>0</v>
      </c>
      <c r="O265" s="15" t="n">
        <v>20000</v>
      </c>
      <c r="P265" s="14" t="n">
        <f aca="false">IF(O265="","",O265+E265-L265-N265)</f>
        <v>264700</v>
      </c>
      <c r="Q265" s="15" t="n">
        <v>264700</v>
      </c>
      <c r="R265" s="14" t="n">
        <f aca="false">IF(OR(Q265="",P265=""),"",Q265-P265)</f>
        <v>0</v>
      </c>
      <c r="S265" s="19" t="str">
        <f aca="false">IF(R265="","",IF(ABS(R265)&lt;=Léeme!$B$12,"Cuadra",IF(R265&lt;0,"Faltante","Sobrante")))</f>
        <v>Cuadra</v>
      </c>
      <c r="T265" s="13" t="s">
        <v>101</v>
      </c>
    </row>
    <row r="266" customFormat="false" ht="15" hidden="false" customHeight="false" outlineLevel="0" collapsed="false">
      <c r="A266" s="17" t="n">
        <v>45813</v>
      </c>
      <c r="B266" s="13" t="s">
        <v>27</v>
      </c>
      <c r="C266" s="13" t="s">
        <v>110</v>
      </c>
      <c r="D266" s="13" t="s">
        <v>108</v>
      </c>
      <c r="E266" s="15" t="n">
        <v>321590</v>
      </c>
      <c r="F266" s="15" t="n">
        <v>56460</v>
      </c>
      <c r="G266" s="15" t="n">
        <v>23650</v>
      </c>
      <c r="H266" s="15" t="n">
        <v>33730</v>
      </c>
      <c r="I266" s="15" t="n">
        <v>14140</v>
      </c>
      <c r="J266" s="14" t="n">
        <f aca="false">SUM(E266:I266)</f>
        <v>449570</v>
      </c>
      <c r="K266" s="18" t="n">
        <v>43</v>
      </c>
      <c r="L266" s="15" t="n">
        <v>0</v>
      </c>
      <c r="M266" s="13"/>
      <c r="N266" s="15" t="n">
        <v>0</v>
      </c>
      <c r="O266" s="15" t="n">
        <v>20000</v>
      </c>
      <c r="P266" s="14" t="n">
        <f aca="false">IF(O266="","",O266+E266-L266-N266)</f>
        <v>341590</v>
      </c>
      <c r="Q266" s="15" t="n">
        <v>341590</v>
      </c>
      <c r="R266" s="14" t="n">
        <f aca="false">IF(OR(Q266="",P266=""),"",Q266-P266)</f>
        <v>0</v>
      </c>
      <c r="S266" s="19" t="str">
        <f aca="false">IF(R266="","",IF(ABS(R266)&lt;=Léeme!$B$12,"Cuadra",IF(R266&lt;0,"Faltante","Sobrante")))</f>
        <v>Cuadra</v>
      </c>
      <c r="T266" s="13" t="s">
        <v>101</v>
      </c>
    </row>
    <row r="267" customFormat="false" ht="15" hidden="false" customHeight="false" outlineLevel="0" collapsed="false">
      <c r="A267" s="17" t="n">
        <v>45813</v>
      </c>
      <c r="B267" s="13" t="s">
        <v>28</v>
      </c>
      <c r="C267" s="13" t="s">
        <v>111</v>
      </c>
      <c r="D267" s="13" t="s">
        <v>108</v>
      </c>
      <c r="E267" s="15" t="n">
        <v>293770</v>
      </c>
      <c r="F267" s="15" t="n">
        <v>48300</v>
      </c>
      <c r="G267" s="15" t="n">
        <v>21890</v>
      </c>
      <c r="H267" s="15" t="n">
        <v>30150</v>
      </c>
      <c r="I267" s="15" t="n">
        <v>12190</v>
      </c>
      <c r="J267" s="14" t="n">
        <f aca="false">SUM(E267:I267)</f>
        <v>406300</v>
      </c>
      <c r="K267" s="18" t="n">
        <v>41</v>
      </c>
      <c r="L267" s="15" t="n">
        <v>0</v>
      </c>
      <c r="M267" s="13"/>
      <c r="N267" s="15" t="n">
        <v>0</v>
      </c>
      <c r="O267" s="15" t="n">
        <v>20000</v>
      </c>
      <c r="P267" s="14" t="n">
        <f aca="false">IF(O267="","",O267+E267-L267-N267)</f>
        <v>313770</v>
      </c>
      <c r="Q267" s="15" t="n">
        <v>313770</v>
      </c>
      <c r="R267" s="14" t="n">
        <f aca="false">IF(OR(Q267="",P267=""),"",Q267-P267)</f>
        <v>0</v>
      </c>
      <c r="S267" s="19" t="str">
        <f aca="false">IF(R267="","",IF(ABS(R267)&lt;=Léeme!$B$12,"Cuadra",IF(R267&lt;0,"Faltante","Sobrante")))</f>
        <v>Cuadra</v>
      </c>
      <c r="T267" s="13" t="s">
        <v>101</v>
      </c>
    </row>
    <row r="268" customFormat="false" ht="15" hidden="false" customHeight="false" outlineLevel="0" collapsed="false">
      <c r="A268" s="17" t="n">
        <v>45814</v>
      </c>
      <c r="B268" s="13" t="s">
        <v>27</v>
      </c>
      <c r="C268" s="13" t="s">
        <v>110</v>
      </c>
      <c r="D268" s="13" t="s">
        <v>108</v>
      </c>
      <c r="E268" s="15" t="n">
        <v>401740</v>
      </c>
      <c r="F268" s="15" t="n">
        <v>66530</v>
      </c>
      <c r="G268" s="15" t="n">
        <v>25350</v>
      </c>
      <c r="H268" s="15" t="n">
        <v>38130</v>
      </c>
      <c r="I268" s="15" t="n">
        <v>14820</v>
      </c>
      <c r="J268" s="14" t="n">
        <f aca="false">SUM(E268:I268)</f>
        <v>546570</v>
      </c>
      <c r="K268" s="18" t="n">
        <v>58</v>
      </c>
      <c r="L268" s="15" t="n">
        <v>27820</v>
      </c>
      <c r="M268" s="13" t="s">
        <v>103</v>
      </c>
      <c r="N268" s="15" t="n">
        <v>310000</v>
      </c>
      <c r="O268" s="15" t="n">
        <v>20000</v>
      </c>
      <c r="P268" s="14" t="n">
        <f aca="false">IF(O268="","",O268+E268-L268-N268)</f>
        <v>83920</v>
      </c>
      <c r="Q268" s="15" t="n">
        <v>83920</v>
      </c>
      <c r="R268" s="14" t="n">
        <f aca="false">IF(OR(Q268="",P268=""),"",Q268-P268)</f>
        <v>0</v>
      </c>
      <c r="S268" s="19" t="str">
        <f aca="false">IF(R268="","",IF(ABS(R268)&lt;=Léeme!$B$12,"Cuadra",IF(R268&lt;0,"Faltante","Sobrante")))</f>
        <v>Cuadra</v>
      </c>
      <c r="T268" s="13" t="s">
        <v>101</v>
      </c>
    </row>
    <row r="269" customFormat="false" ht="15" hidden="false" customHeight="false" outlineLevel="0" collapsed="false">
      <c r="A269" s="17" t="n">
        <v>45814</v>
      </c>
      <c r="B269" s="13" t="s">
        <v>28</v>
      </c>
      <c r="C269" s="13" t="s">
        <v>111</v>
      </c>
      <c r="D269" s="13" t="s">
        <v>108</v>
      </c>
      <c r="E269" s="15" t="n">
        <v>233860</v>
      </c>
      <c r="F269" s="15" t="n">
        <v>44150</v>
      </c>
      <c r="G269" s="15" t="n">
        <v>16970</v>
      </c>
      <c r="H269" s="15" t="n">
        <v>24260</v>
      </c>
      <c r="I269" s="15" t="n">
        <v>10430</v>
      </c>
      <c r="J269" s="14" t="n">
        <f aca="false">SUM(E269:I269)</f>
        <v>329670</v>
      </c>
      <c r="K269" s="18" t="n">
        <v>34</v>
      </c>
      <c r="L269" s="15" t="n">
        <v>0</v>
      </c>
      <c r="M269" s="13"/>
      <c r="N269" s="15" t="n">
        <v>0</v>
      </c>
      <c r="O269" s="15" t="n">
        <v>20000</v>
      </c>
      <c r="P269" s="14" t="n">
        <f aca="false">IF(O269="","",O269+E269-L269-N269)</f>
        <v>253860</v>
      </c>
      <c r="Q269" s="15" t="n">
        <v>253280</v>
      </c>
      <c r="R269" s="14" t="n">
        <f aca="false">IF(OR(Q269="",P269=""),"",Q269-P269)</f>
        <v>-580</v>
      </c>
      <c r="S269" s="19" t="str">
        <f aca="false">IF(R269="","",IF(ABS(R269)&lt;=Léeme!$B$12,"Cuadra",IF(R269&lt;0,"Faltante","Sobrante")))</f>
        <v>Faltante</v>
      </c>
      <c r="T269" s="13" t="s">
        <v>101</v>
      </c>
    </row>
    <row r="270" customFormat="false" ht="15" hidden="false" customHeight="false" outlineLevel="0" collapsed="false">
      <c r="A270" s="17" t="n">
        <v>45815</v>
      </c>
      <c r="B270" s="13" t="s">
        <v>27</v>
      </c>
      <c r="C270" s="13" t="s">
        <v>107</v>
      </c>
      <c r="D270" s="13" t="s">
        <v>108</v>
      </c>
      <c r="E270" s="15" t="n">
        <v>548820</v>
      </c>
      <c r="F270" s="15" t="n">
        <v>83980</v>
      </c>
      <c r="G270" s="15" t="n">
        <v>39400</v>
      </c>
      <c r="H270" s="15" t="n">
        <v>57220</v>
      </c>
      <c r="I270" s="15" t="n">
        <v>21280</v>
      </c>
      <c r="J270" s="14" t="n">
        <f aca="false">SUM(E270:I270)</f>
        <v>750700</v>
      </c>
      <c r="K270" s="18" t="n">
        <v>78</v>
      </c>
      <c r="L270" s="15" t="n">
        <v>15360</v>
      </c>
      <c r="M270" s="13" t="s">
        <v>103</v>
      </c>
      <c r="N270" s="15" t="n">
        <v>295000</v>
      </c>
      <c r="O270" s="15" t="n">
        <v>20000</v>
      </c>
      <c r="P270" s="14" t="n">
        <f aca="false">IF(O270="","",O270+E270-L270-N270)</f>
        <v>258460</v>
      </c>
      <c r="Q270" s="15" t="n">
        <v>258460</v>
      </c>
      <c r="R270" s="14" t="n">
        <f aca="false">IF(OR(Q270="",P270=""),"",Q270-P270)</f>
        <v>0</v>
      </c>
      <c r="S270" s="19" t="str">
        <f aca="false">IF(R270="","",IF(ABS(R270)&lt;=Léeme!$B$12,"Cuadra",IF(R270&lt;0,"Faltante","Sobrante")))</f>
        <v>Cuadra</v>
      </c>
      <c r="T270" s="13" t="s">
        <v>101</v>
      </c>
    </row>
    <row r="271" customFormat="false" ht="15" hidden="false" customHeight="false" outlineLevel="0" collapsed="false">
      <c r="A271" s="17" t="n">
        <v>45815</v>
      </c>
      <c r="B271" s="13" t="s">
        <v>28</v>
      </c>
      <c r="C271" s="13" t="s">
        <v>109</v>
      </c>
      <c r="D271" s="13" t="s">
        <v>108</v>
      </c>
      <c r="E271" s="15" t="n">
        <v>467930</v>
      </c>
      <c r="F271" s="15" t="n">
        <v>77450</v>
      </c>
      <c r="G271" s="15" t="n">
        <v>31510</v>
      </c>
      <c r="H271" s="15" t="n">
        <v>52260</v>
      </c>
      <c r="I271" s="15" t="n">
        <v>19680</v>
      </c>
      <c r="J271" s="14" t="n">
        <f aca="false">SUM(E271:I271)</f>
        <v>648830</v>
      </c>
      <c r="K271" s="18" t="n">
        <v>65</v>
      </c>
      <c r="L271" s="15" t="n">
        <v>0</v>
      </c>
      <c r="M271" s="13"/>
      <c r="N271" s="15" t="n">
        <v>285000</v>
      </c>
      <c r="O271" s="15" t="n">
        <v>20000</v>
      </c>
      <c r="P271" s="14" t="n">
        <f aca="false">IF(O271="","",O271+E271-L271-N271)</f>
        <v>202930</v>
      </c>
      <c r="Q271" s="15" t="n">
        <v>203620</v>
      </c>
      <c r="R271" s="14" t="n">
        <f aca="false">IF(OR(Q271="",P271=""),"",Q271-P271)</f>
        <v>690</v>
      </c>
      <c r="S271" s="19" t="str">
        <f aca="false">IF(R271="","",IF(ABS(R271)&lt;=Léeme!$B$12,"Cuadra",IF(R271&lt;0,"Faltante","Sobrante")))</f>
        <v>Sobrante</v>
      </c>
      <c r="T271" s="13" t="s">
        <v>101</v>
      </c>
    </row>
    <row r="272" customFormat="false" ht="15" hidden="false" customHeight="false" outlineLevel="0" collapsed="false">
      <c r="A272" s="17" t="n">
        <v>45816</v>
      </c>
      <c r="B272" s="13" t="s">
        <v>27</v>
      </c>
      <c r="C272" s="13" t="s">
        <v>107</v>
      </c>
      <c r="D272" s="13" t="s">
        <v>108</v>
      </c>
      <c r="E272" s="15" t="n">
        <v>809080</v>
      </c>
      <c r="F272" s="15" t="n">
        <v>144890</v>
      </c>
      <c r="G272" s="15" t="n">
        <v>57420</v>
      </c>
      <c r="H272" s="15" t="n">
        <v>89700</v>
      </c>
      <c r="I272" s="15" t="n">
        <v>37230</v>
      </c>
      <c r="J272" s="14" t="n">
        <f aca="false">SUM(E272:I272)</f>
        <v>1138320</v>
      </c>
      <c r="K272" s="18" t="n">
        <v>118</v>
      </c>
      <c r="L272" s="15" t="n">
        <v>0</v>
      </c>
      <c r="M272" s="13"/>
      <c r="N272" s="15" t="n">
        <v>0</v>
      </c>
      <c r="O272" s="15" t="n">
        <v>20000</v>
      </c>
      <c r="P272" s="14" t="n">
        <f aca="false">IF(O272="","",O272+E272-L272-N272)</f>
        <v>829080</v>
      </c>
      <c r="Q272" s="15" t="n">
        <v>826780</v>
      </c>
      <c r="R272" s="14" t="n">
        <f aca="false">IF(OR(Q272="",P272=""),"",Q272-P272)</f>
        <v>-2300</v>
      </c>
      <c r="S272" s="19" t="str">
        <f aca="false">IF(R272="","",IF(ABS(R272)&lt;=Léeme!$B$12,"Cuadra",IF(R272&lt;0,"Faltante","Sobrante")))</f>
        <v>Faltante</v>
      </c>
      <c r="T272" s="13" t="s">
        <v>101</v>
      </c>
    </row>
    <row r="273" customFormat="false" ht="15" hidden="false" customHeight="false" outlineLevel="0" collapsed="false">
      <c r="A273" s="17" t="n">
        <v>45816</v>
      </c>
      <c r="B273" s="13" t="s">
        <v>28</v>
      </c>
      <c r="C273" s="13" t="s">
        <v>109</v>
      </c>
      <c r="D273" s="13" t="s">
        <v>108</v>
      </c>
      <c r="E273" s="15" t="n">
        <v>645150</v>
      </c>
      <c r="F273" s="15" t="n">
        <v>98220</v>
      </c>
      <c r="G273" s="15" t="n">
        <v>39380</v>
      </c>
      <c r="H273" s="15" t="n">
        <v>59250</v>
      </c>
      <c r="I273" s="15" t="n">
        <v>27890</v>
      </c>
      <c r="J273" s="14" t="n">
        <f aca="false">SUM(E273:I273)</f>
        <v>869890</v>
      </c>
      <c r="K273" s="18" t="n">
        <v>86</v>
      </c>
      <c r="L273" s="15" t="n">
        <v>0</v>
      </c>
      <c r="M273" s="13"/>
      <c r="N273" s="15" t="n">
        <v>550000</v>
      </c>
      <c r="O273" s="15" t="n">
        <v>20000</v>
      </c>
      <c r="P273" s="14" t="n">
        <f aca="false">IF(O273="","",O273+E273-L273-N273)</f>
        <v>115150</v>
      </c>
      <c r="Q273" s="15" t="n">
        <v>115150</v>
      </c>
      <c r="R273" s="14" t="n">
        <f aca="false">IF(OR(Q273="",P273=""),"",Q273-P273)</f>
        <v>0</v>
      </c>
      <c r="S273" s="19" t="str">
        <f aca="false">IF(R273="","",IF(ABS(R273)&lt;=Léeme!$B$12,"Cuadra",IF(R273&lt;0,"Faltante","Sobrante")))</f>
        <v>Cuadra</v>
      </c>
      <c r="T273" s="13" t="s">
        <v>101</v>
      </c>
    </row>
    <row r="274" customFormat="false" ht="15" hidden="false" customHeight="false" outlineLevel="0" collapsed="false">
      <c r="A274" s="17" t="n">
        <v>45818</v>
      </c>
      <c r="B274" s="13" t="s">
        <v>27</v>
      </c>
      <c r="C274" s="13" t="s">
        <v>110</v>
      </c>
      <c r="D274" s="13" t="s">
        <v>108</v>
      </c>
      <c r="E274" s="15" t="n">
        <v>344040</v>
      </c>
      <c r="F274" s="15" t="n">
        <v>67760</v>
      </c>
      <c r="G274" s="15" t="n">
        <v>26900</v>
      </c>
      <c r="H274" s="15" t="n">
        <v>41750</v>
      </c>
      <c r="I274" s="15" t="n">
        <v>17400</v>
      </c>
      <c r="J274" s="14" t="n">
        <f aca="false">SUM(E274:I274)</f>
        <v>497850</v>
      </c>
      <c r="K274" s="18" t="n">
        <v>46</v>
      </c>
      <c r="L274" s="15" t="n">
        <v>0</v>
      </c>
      <c r="M274" s="13"/>
      <c r="N274" s="15" t="n">
        <v>0</v>
      </c>
      <c r="O274" s="15" t="n">
        <v>20000</v>
      </c>
      <c r="P274" s="14" t="n">
        <f aca="false">IF(O274="","",O274+E274-L274-N274)</f>
        <v>364040</v>
      </c>
      <c r="Q274" s="15" t="n">
        <v>364040</v>
      </c>
      <c r="R274" s="14" t="n">
        <f aca="false">IF(OR(Q274="",P274=""),"",Q274-P274)</f>
        <v>0</v>
      </c>
      <c r="S274" s="19" t="str">
        <f aca="false">IF(R274="","",IF(ABS(R274)&lt;=Léeme!$B$12,"Cuadra",IF(R274&lt;0,"Faltante","Sobrante")))</f>
        <v>Cuadra</v>
      </c>
      <c r="T274" s="13" t="s">
        <v>101</v>
      </c>
    </row>
    <row r="275" customFormat="false" ht="15" hidden="false" customHeight="false" outlineLevel="0" collapsed="false">
      <c r="A275" s="17" t="n">
        <v>45818</v>
      </c>
      <c r="B275" s="13" t="s">
        <v>28</v>
      </c>
      <c r="C275" s="13" t="s">
        <v>111</v>
      </c>
      <c r="D275" s="13" t="s">
        <v>108</v>
      </c>
      <c r="E275" s="15" t="n">
        <v>296860</v>
      </c>
      <c r="F275" s="15" t="n">
        <v>48610</v>
      </c>
      <c r="G275" s="15" t="n">
        <v>20310</v>
      </c>
      <c r="H275" s="15" t="n">
        <v>31040</v>
      </c>
      <c r="I275" s="15" t="n">
        <v>14050</v>
      </c>
      <c r="J275" s="14" t="n">
        <f aca="false">SUM(E275:I275)</f>
        <v>410870</v>
      </c>
      <c r="K275" s="18" t="n">
        <v>40</v>
      </c>
      <c r="L275" s="15" t="n">
        <v>20710</v>
      </c>
      <c r="M275" s="13" t="s">
        <v>103</v>
      </c>
      <c r="N275" s="15" t="n">
        <v>0</v>
      </c>
      <c r="O275" s="15" t="n">
        <v>20000</v>
      </c>
      <c r="P275" s="14" t="n">
        <f aca="false">IF(O275="","",O275+E275-L275-N275)</f>
        <v>296150</v>
      </c>
      <c r="Q275" s="15" t="n">
        <v>296150</v>
      </c>
      <c r="R275" s="14" t="n">
        <f aca="false">IF(OR(Q275="",P275=""),"",Q275-P275)</f>
        <v>0</v>
      </c>
      <c r="S275" s="19" t="str">
        <f aca="false">IF(R275="","",IF(ABS(R275)&lt;=Léeme!$B$12,"Cuadra",IF(R275&lt;0,"Faltante","Sobrante")))</f>
        <v>Cuadra</v>
      </c>
      <c r="T275" s="13" t="s">
        <v>101</v>
      </c>
    </row>
    <row r="276" customFormat="false" ht="15" hidden="false" customHeight="false" outlineLevel="0" collapsed="false">
      <c r="A276" s="17" t="n">
        <v>45819</v>
      </c>
      <c r="B276" s="13" t="s">
        <v>27</v>
      </c>
      <c r="C276" s="13" t="s">
        <v>110</v>
      </c>
      <c r="D276" s="13" t="s">
        <v>108</v>
      </c>
      <c r="E276" s="15" t="n">
        <v>382900</v>
      </c>
      <c r="F276" s="15" t="n">
        <v>68150</v>
      </c>
      <c r="G276" s="15" t="n">
        <v>29110</v>
      </c>
      <c r="H276" s="15" t="n">
        <v>39810</v>
      </c>
      <c r="I276" s="15" t="n">
        <v>15800</v>
      </c>
      <c r="J276" s="14" t="n">
        <f aca="false">SUM(E276:I276)</f>
        <v>535770</v>
      </c>
      <c r="K276" s="18" t="n">
        <v>54</v>
      </c>
      <c r="L276" s="15" t="n">
        <v>2280</v>
      </c>
      <c r="M276" s="13" t="s">
        <v>105</v>
      </c>
      <c r="N276" s="15" t="n">
        <v>0</v>
      </c>
      <c r="O276" s="15" t="n">
        <v>20000</v>
      </c>
      <c r="P276" s="14" t="n">
        <f aca="false">IF(O276="","",O276+E276-L276-N276)</f>
        <v>400620</v>
      </c>
      <c r="Q276" s="15" t="n">
        <v>400510</v>
      </c>
      <c r="R276" s="14" t="n">
        <f aca="false">IF(OR(Q276="",P276=""),"",Q276-P276)</f>
        <v>-110</v>
      </c>
      <c r="S276" s="19" t="str">
        <f aca="false">IF(R276="","",IF(ABS(R276)&lt;=Léeme!$B$12,"Cuadra",IF(R276&lt;0,"Faltante","Sobrante")))</f>
        <v>Cuadra</v>
      </c>
      <c r="T276" s="13" t="s">
        <v>101</v>
      </c>
    </row>
    <row r="277" customFormat="false" ht="15" hidden="false" customHeight="false" outlineLevel="0" collapsed="false">
      <c r="A277" s="17" t="n">
        <v>45819</v>
      </c>
      <c r="B277" s="13" t="s">
        <v>28</v>
      </c>
      <c r="C277" s="13" t="s">
        <v>111</v>
      </c>
      <c r="D277" s="13" t="s">
        <v>108</v>
      </c>
      <c r="E277" s="15" t="n">
        <v>239540</v>
      </c>
      <c r="F277" s="15" t="n">
        <v>40300</v>
      </c>
      <c r="G277" s="15" t="n">
        <v>17990</v>
      </c>
      <c r="H277" s="15" t="n">
        <v>25000</v>
      </c>
      <c r="I277" s="15" t="n">
        <v>11670</v>
      </c>
      <c r="J277" s="14" t="n">
        <f aca="false">SUM(E277:I277)</f>
        <v>334500</v>
      </c>
      <c r="K277" s="18" t="n">
        <v>34</v>
      </c>
      <c r="L277" s="15" t="n">
        <v>0</v>
      </c>
      <c r="M277" s="13"/>
      <c r="N277" s="15" t="n">
        <v>0</v>
      </c>
      <c r="O277" s="15" t="n">
        <v>20000</v>
      </c>
      <c r="P277" s="14" t="n">
        <f aca="false">IF(O277="","",O277+E277-L277-N277)</f>
        <v>259540</v>
      </c>
      <c r="Q277" s="15" t="n">
        <v>259540</v>
      </c>
      <c r="R277" s="14" t="n">
        <f aca="false">IF(OR(Q277="",P277=""),"",Q277-P277)</f>
        <v>0</v>
      </c>
      <c r="S277" s="19" t="str">
        <f aca="false">IF(R277="","",IF(ABS(R277)&lt;=Léeme!$B$12,"Cuadra",IF(R277&lt;0,"Faltante","Sobrante")))</f>
        <v>Cuadra</v>
      </c>
      <c r="T277" s="13" t="s">
        <v>101</v>
      </c>
    </row>
    <row r="278" customFormat="false" ht="15" hidden="false" customHeight="false" outlineLevel="0" collapsed="false">
      <c r="A278" s="17" t="n">
        <v>45820</v>
      </c>
      <c r="B278" s="13" t="s">
        <v>27</v>
      </c>
      <c r="C278" s="13" t="s">
        <v>110</v>
      </c>
      <c r="D278" s="13" t="s">
        <v>108</v>
      </c>
      <c r="E278" s="15" t="n">
        <v>338270</v>
      </c>
      <c r="F278" s="15" t="n">
        <v>53580</v>
      </c>
      <c r="G278" s="15" t="n">
        <v>22730</v>
      </c>
      <c r="H278" s="15" t="n">
        <v>34810</v>
      </c>
      <c r="I278" s="15" t="n">
        <v>13520</v>
      </c>
      <c r="J278" s="14" t="n">
        <f aca="false">SUM(E278:I278)</f>
        <v>462910</v>
      </c>
      <c r="K278" s="18" t="n">
        <v>45</v>
      </c>
      <c r="L278" s="15" t="n">
        <v>4270</v>
      </c>
      <c r="M278" s="13" t="s">
        <v>105</v>
      </c>
      <c r="N278" s="15" t="n">
        <v>0</v>
      </c>
      <c r="O278" s="15" t="n">
        <v>20000</v>
      </c>
      <c r="P278" s="14" t="n">
        <f aca="false">IF(O278="","",O278+E278-L278-N278)</f>
        <v>354000</v>
      </c>
      <c r="Q278" s="15" t="n">
        <v>354000</v>
      </c>
      <c r="R278" s="14" t="n">
        <f aca="false">IF(OR(Q278="",P278=""),"",Q278-P278)</f>
        <v>0</v>
      </c>
      <c r="S278" s="19" t="str">
        <f aca="false">IF(R278="","",IF(ABS(R278)&lt;=Léeme!$B$12,"Cuadra",IF(R278&lt;0,"Faltante","Sobrante")))</f>
        <v>Cuadra</v>
      </c>
      <c r="T278" s="13" t="s">
        <v>101</v>
      </c>
    </row>
    <row r="279" customFormat="false" ht="15" hidden="false" customHeight="false" outlineLevel="0" collapsed="false">
      <c r="A279" s="17" t="n">
        <v>45820</v>
      </c>
      <c r="B279" s="13" t="s">
        <v>28</v>
      </c>
      <c r="C279" s="13" t="s">
        <v>111</v>
      </c>
      <c r="D279" s="13" t="s">
        <v>108</v>
      </c>
      <c r="E279" s="15" t="n">
        <v>285750</v>
      </c>
      <c r="F279" s="15" t="n">
        <v>46010</v>
      </c>
      <c r="G279" s="15" t="n">
        <v>22870</v>
      </c>
      <c r="H279" s="15" t="n">
        <v>31820</v>
      </c>
      <c r="I279" s="15" t="n">
        <v>11740</v>
      </c>
      <c r="J279" s="14" t="n">
        <f aca="false">SUM(E279:I279)</f>
        <v>398190</v>
      </c>
      <c r="K279" s="18" t="n">
        <v>39</v>
      </c>
      <c r="L279" s="15" t="n">
        <v>13340</v>
      </c>
      <c r="M279" s="13" t="s">
        <v>103</v>
      </c>
      <c r="N279" s="15" t="n">
        <v>0</v>
      </c>
      <c r="O279" s="15" t="n">
        <v>20000</v>
      </c>
      <c r="P279" s="14" t="n">
        <f aca="false">IF(O279="","",O279+E279-L279-N279)</f>
        <v>292410</v>
      </c>
      <c r="Q279" s="15" t="n">
        <v>292410</v>
      </c>
      <c r="R279" s="14" t="n">
        <f aca="false">IF(OR(Q279="",P279=""),"",Q279-P279)</f>
        <v>0</v>
      </c>
      <c r="S279" s="19" t="str">
        <f aca="false">IF(R279="","",IF(ABS(R279)&lt;=Léeme!$B$12,"Cuadra",IF(R279&lt;0,"Faltante","Sobrante")))</f>
        <v>Cuadra</v>
      </c>
      <c r="T279" s="13" t="s">
        <v>101</v>
      </c>
    </row>
    <row r="280" customFormat="false" ht="15" hidden="false" customHeight="false" outlineLevel="0" collapsed="false">
      <c r="A280" s="17" t="n">
        <v>45821</v>
      </c>
      <c r="B280" s="13" t="s">
        <v>27</v>
      </c>
      <c r="C280" s="13" t="s">
        <v>110</v>
      </c>
      <c r="D280" s="13" t="s">
        <v>108</v>
      </c>
      <c r="E280" s="15" t="n">
        <v>372920</v>
      </c>
      <c r="F280" s="15" t="n">
        <v>64680</v>
      </c>
      <c r="G280" s="15" t="n">
        <v>27710</v>
      </c>
      <c r="H280" s="15" t="n">
        <v>42000</v>
      </c>
      <c r="I280" s="15" t="n">
        <v>18850</v>
      </c>
      <c r="J280" s="14" t="n">
        <f aca="false">SUM(E280:I280)</f>
        <v>526160</v>
      </c>
      <c r="K280" s="18" t="n">
        <v>55</v>
      </c>
      <c r="L280" s="15" t="n">
        <v>0</v>
      </c>
      <c r="M280" s="13"/>
      <c r="N280" s="15" t="n">
        <v>0</v>
      </c>
      <c r="O280" s="15" t="n">
        <v>20000</v>
      </c>
      <c r="P280" s="14" t="n">
        <f aca="false">IF(O280="","",O280+E280-L280-N280)</f>
        <v>392920</v>
      </c>
      <c r="Q280" s="15" t="n">
        <v>392920</v>
      </c>
      <c r="R280" s="14" t="n">
        <f aca="false">IF(OR(Q280="",P280=""),"",Q280-P280)</f>
        <v>0</v>
      </c>
      <c r="S280" s="19" t="str">
        <f aca="false">IF(R280="","",IF(ABS(R280)&lt;=Léeme!$B$12,"Cuadra",IF(R280&lt;0,"Faltante","Sobrante")))</f>
        <v>Cuadra</v>
      </c>
      <c r="T280" s="13" t="s">
        <v>101</v>
      </c>
    </row>
    <row r="281" customFormat="false" ht="15" hidden="false" customHeight="false" outlineLevel="0" collapsed="false">
      <c r="A281" s="17" t="n">
        <v>45821</v>
      </c>
      <c r="B281" s="13" t="s">
        <v>28</v>
      </c>
      <c r="C281" s="13" t="s">
        <v>111</v>
      </c>
      <c r="D281" s="13" t="s">
        <v>108</v>
      </c>
      <c r="E281" s="15" t="n">
        <v>262040</v>
      </c>
      <c r="F281" s="15" t="n">
        <v>42520</v>
      </c>
      <c r="G281" s="15" t="n">
        <v>19990</v>
      </c>
      <c r="H281" s="15" t="n">
        <v>26730</v>
      </c>
      <c r="I281" s="15" t="n">
        <v>11640</v>
      </c>
      <c r="J281" s="14" t="n">
        <f aca="false">SUM(E281:I281)</f>
        <v>362920</v>
      </c>
      <c r="K281" s="18" t="n">
        <v>38</v>
      </c>
      <c r="L281" s="15" t="n">
        <v>0</v>
      </c>
      <c r="M281" s="13"/>
      <c r="N281" s="15" t="n">
        <v>0</v>
      </c>
      <c r="O281" s="15" t="n">
        <v>20000</v>
      </c>
      <c r="P281" s="14" t="n">
        <f aca="false">IF(O281="","",O281+E281-L281-N281)</f>
        <v>282040</v>
      </c>
      <c r="Q281" s="15" t="n">
        <v>282040</v>
      </c>
      <c r="R281" s="14" t="n">
        <f aca="false">IF(OR(Q281="",P281=""),"",Q281-P281)</f>
        <v>0</v>
      </c>
      <c r="S281" s="19" t="str">
        <f aca="false">IF(R281="","",IF(ABS(R281)&lt;=Léeme!$B$12,"Cuadra",IF(R281&lt;0,"Faltante","Sobrante")))</f>
        <v>Cuadra</v>
      </c>
      <c r="T281" s="13" t="s">
        <v>101</v>
      </c>
    </row>
    <row r="282" customFormat="false" ht="15" hidden="false" customHeight="false" outlineLevel="0" collapsed="false">
      <c r="A282" s="17" t="n">
        <v>45822</v>
      </c>
      <c r="B282" s="13" t="s">
        <v>27</v>
      </c>
      <c r="C282" s="13" t="s">
        <v>107</v>
      </c>
      <c r="D282" s="13" t="s">
        <v>108</v>
      </c>
      <c r="E282" s="15" t="n">
        <v>610900</v>
      </c>
      <c r="F282" s="15" t="n">
        <v>110600</v>
      </c>
      <c r="G282" s="15" t="n">
        <v>47480</v>
      </c>
      <c r="H282" s="15" t="n">
        <v>65930</v>
      </c>
      <c r="I282" s="15" t="n">
        <v>26520</v>
      </c>
      <c r="J282" s="14" t="n">
        <f aca="false">SUM(E282:I282)</f>
        <v>861430</v>
      </c>
      <c r="K282" s="18" t="n">
        <v>80</v>
      </c>
      <c r="L282" s="15" t="n">
        <v>4890</v>
      </c>
      <c r="M282" s="13" t="s">
        <v>105</v>
      </c>
      <c r="N282" s="15" t="n">
        <v>401000</v>
      </c>
      <c r="O282" s="15" t="n">
        <v>20000</v>
      </c>
      <c r="P282" s="14" t="n">
        <f aca="false">IF(O282="","",O282+E282-L282-N282)</f>
        <v>225010</v>
      </c>
      <c r="Q282" s="15" t="n">
        <v>215710</v>
      </c>
      <c r="R282" s="14" t="n">
        <f aca="false">IF(OR(Q282="",P282=""),"",Q282-P282)</f>
        <v>-9300</v>
      </c>
      <c r="S282" s="19" t="str">
        <f aca="false">IF(R282="","",IF(ABS(R282)&lt;=Léeme!$B$12,"Cuadra",IF(R282&lt;0,"Faltante","Sobrante")))</f>
        <v>Faltante</v>
      </c>
      <c r="T282" s="13" t="s">
        <v>101</v>
      </c>
    </row>
    <row r="283" customFormat="false" ht="15" hidden="false" customHeight="false" outlineLevel="0" collapsed="false">
      <c r="A283" s="17" t="n">
        <v>45822</v>
      </c>
      <c r="B283" s="13" t="s">
        <v>28</v>
      </c>
      <c r="C283" s="13" t="s">
        <v>109</v>
      </c>
      <c r="D283" s="13" t="s">
        <v>108</v>
      </c>
      <c r="E283" s="15" t="n">
        <v>401790</v>
      </c>
      <c r="F283" s="15" t="n">
        <v>61050</v>
      </c>
      <c r="G283" s="15" t="n">
        <v>28810</v>
      </c>
      <c r="H283" s="15" t="n">
        <v>37760</v>
      </c>
      <c r="I283" s="15" t="n">
        <v>14890</v>
      </c>
      <c r="J283" s="14" t="n">
        <f aca="false">SUM(E283:I283)</f>
        <v>544300</v>
      </c>
      <c r="K283" s="18" t="n">
        <v>53</v>
      </c>
      <c r="L283" s="15" t="n">
        <v>0</v>
      </c>
      <c r="M283" s="13"/>
      <c r="N283" s="15" t="n">
        <v>226000</v>
      </c>
      <c r="O283" s="15" t="n">
        <v>20000</v>
      </c>
      <c r="P283" s="14" t="n">
        <f aca="false">IF(O283="","",O283+E283-L283-N283)</f>
        <v>195790</v>
      </c>
      <c r="Q283" s="15" t="n">
        <v>195670</v>
      </c>
      <c r="R283" s="14" t="n">
        <f aca="false">IF(OR(Q283="",P283=""),"",Q283-P283)</f>
        <v>-120</v>
      </c>
      <c r="S283" s="19" t="str">
        <f aca="false">IF(R283="","",IF(ABS(R283)&lt;=Léeme!$B$12,"Cuadra",IF(R283&lt;0,"Faltante","Sobrante")))</f>
        <v>Cuadra</v>
      </c>
      <c r="T283" s="13" t="s">
        <v>101</v>
      </c>
    </row>
    <row r="284" customFormat="false" ht="15" hidden="false" customHeight="false" outlineLevel="0" collapsed="false">
      <c r="A284" s="17" t="n">
        <v>45823</v>
      </c>
      <c r="B284" s="13" t="s">
        <v>27</v>
      </c>
      <c r="C284" s="13" t="s">
        <v>107</v>
      </c>
      <c r="D284" s="13" t="s">
        <v>108</v>
      </c>
      <c r="E284" s="15" t="n">
        <v>849120</v>
      </c>
      <c r="F284" s="15" t="n">
        <v>155490</v>
      </c>
      <c r="G284" s="15" t="n">
        <v>65340</v>
      </c>
      <c r="H284" s="15" t="n">
        <v>91150</v>
      </c>
      <c r="I284" s="15" t="n">
        <v>40650</v>
      </c>
      <c r="J284" s="14" t="n">
        <f aca="false">SUM(E284:I284)</f>
        <v>1201750</v>
      </c>
      <c r="K284" s="18" t="n">
        <v>129</v>
      </c>
      <c r="L284" s="15" t="n">
        <v>26660</v>
      </c>
      <c r="M284" s="13" t="s">
        <v>103</v>
      </c>
      <c r="N284" s="15" t="n">
        <v>0</v>
      </c>
      <c r="O284" s="15" t="n">
        <v>20000</v>
      </c>
      <c r="P284" s="14" t="n">
        <f aca="false">IF(O284="","",O284+E284-L284-N284)</f>
        <v>842460</v>
      </c>
      <c r="Q284" s="15" t="n">
        <v>839860</v>
      </c>
      <c r="R284" s="14" t="n">
        <f aca="false">IF(OR(Q284="",P284=""),"",Q284-P284)</f>
        <v>-2600</v>
      </c>
      <c r="S284" s="19" t="str">
        <f aca="false">IF(R284="","",IF(ABS(R284)&lt;=Léeme!$B$12,"Cuadra",IF(R284&lt;0,"Faltante","Sobrante")))</f>
        <v>Faltante</v>
      </c>
      <c r="T284" s="13" t="s">
        <v>101</v>
      </c>
    </row>
    <row r="285" customFormat="false" ht="15" hidden="false" customHeight="false" outlineLevel="0" collapsed="false">
      <c r="A285" s="17" t="n">
        <v>45823</v>
      </c>
      <c r="B285" s="13" t="s">
        <v>28</v>
      </c>
      <c r="C285" s="13" t="s">
        <v>109</v>
      </c>
      <c r="D285" s="13" t="s">
        <v>108</v>
      </c>
      <c r="E285" s="15" t="n">
        <v>683100</v>
      </c>
      <c r="F285" s="15" t="n">
        <v>115250</v>
      </c>
      <c r="G285" s="15" t="n">
        <v>44540</v>
      </c>
      <c r="H285" s="15" t="n">
        <v>66360</v>
      </c>
      <c r="I285" s="15" t="n">
        <v>30960</v>
      </c>
      <c r="J285" s="14" t="n">
        <f aca="false">SUM(E285:I285)</f>
        <v>940210</v>
      </c>
      <c r="K285" s="18" t="n">
        <v>96</v>
      </c>
      <c r="L285" s="15" t="n">
        <v>0</v>
      </c>
      <c r="M285" s="13"/>
      <c r="N285" s="15" t="n">
        <v>589000</v>
      </c>
      <c r="O285" s="15" t="n">
        <v>20000</v>
      </c>
      <c r="P285" s="14" t="n">
        <f aca="false">IF(O285="","",O285+E285-L285-N285)</f>
        <v>114100</v>
      </c>
      <c r="Q285" s="15" t="n">
        <v>114100</v>
      </c>
      <c r="R285" s="14" t="n">
        <f aca="false">IF(OR(Q285="",P285=""),"",Q285-P285)</f>
        <v>0</v>
      </c>
      <c r="S285" s="19" t="str">
        <f aca="false">IF(R285="","",IF(ABS(R285)&lt;=Léeme!$B$12,"Cuadra",IF(R285&lt;0,"Faltante","Sobrante")))</f>
        <v>Cuadra</v>
      </c>
      <c r="T285" s="13" t="s">
        <v>101</v>
      </c>
    </row>
    <row r="286" customFormat="false" ht="15" hidden="false" customHeight="false" outlineLevel="0" collapsed="false">
      <c r="A286" s="17" t="n">
        <v>45825</v>
      </c>
      <c r="B286" s="13" t="s">
        <v>27</v>
      </c>
      <c r="C286" s="13" t="s">
        <v>110</v>
      </c>
      <c r="D286" s="13" t="s">
        <v>108</v>
      </c>
      <c r="E286" s="15" t="n">
        <v>353590</v>
      </c>
      <c r="F286" s="15" t="n">
        <v>64110</v>
      </c>
      <c r="G286" s="15" t="n">
        <v>25990</v>
      </c>
      <c r="H286" s="15" t="n">
        <v>35490</v>
      </c>
      <c r="I286" s="15" t="n">
        <v>16480</v>
      </c>
      <c r="J286" s="14" t="n">
        <f aca="false">SUM(E286:I286)</f>
        <v>495660</v>
      </c>
      <c r="K286" s="18" t="n">
        <v>50</v>
      </c>
      <c r="L286" s="15" t="n">
        <v>0</v>
      </c>
      <c r="M286" s="13"/>
      <c r="N286" s="15" t="n">
        <v>0</v>
      </c>
      <c r="O286" s="15" t="n">
        <v>20000</v>
      </c>
      <c r="P286" s="14" t="n">
        <f aca="false">IF(O286="","",O286+E286-L286-N286)</f>
        <v>373590</v>
      </c>
      <c r="Q286" s="15" t="n">
        <v>370780</v>
      </c>
      <c r="R286" s="14" t="n">
        <f aca="false">IF(OR(Q286="",P286=""),"",Q286-P286)</f>
        <v>-2810</v>
      </c>
      <c r="S286" s="19" t="str">
        <f aca="false">IF(R286="","",IF(ABS(R286)&lt;=Léeme!$B$12,"Cuadra",IF(R286&lt;0,"Faltante","Sobrante")))</f>
        <v>Faltante</v>
      </c>
      <c r="T286" s="13" t="s">
        <v>101</v>
      </c>
    </row>
    <row r="287" customFormat="false" ht="15" hidden="false" customHeight="false" outlineLevel="0" collapsed="false">
      <c r="A287" s="17" t="n">
        <v>45825</v>
      </c>
      <c r="B287" s="13" t="s">
        <v>28</v>
      </c>
      <c r="C287" s="13" t="s">
        <v>111</v>
      </c>
      <c r="D287" s="13" t="s">
        <v>108</v>
      </c>
      <c r="E287" s="15" t="n">
        <v>296330</v>
      </c>
      <c r="F287" s="15" t="n">
        <v>49300</v>
      </c>
      <c r="G287" s="15" t="n">
        <v>18260</v>
      </c>
      <c r="H287" s="15" t="n">
        <v>31570</v>
      </c>
      <c r="I287" s="15" t="n">
        <v>12020</v>
      </c>
      <c r="J287" s="14" t="n">
        <f aca="false">SUM(E287:I287)</f>
        <v>407480</v>
      </c>
      <c r="K287" s="18" t="n">
        <v>41</v>
      </c>
      <c r="L287" s="15" t="n">
        <v>19790</v>
      </c>
      <c r="M287" s="13" t="s">
        <v>103</v>
      </c>
      <c r="N287" s="15" t="n">
        <v>165000</v>
      </c>
      <c r="O287" s="15" t="n">
        <v>20000</v>
      </c>
      <c r="P287" s="14" t="n">
        <f aca="false">IF(O287="","",O287+E287-L287-N287)</f>
        <v>131540</v>
      </c>
      <c r="Q287" s="15" t="n">
        <v>131950</v>
      </c>
      <c r="R287" s="14" t="n">
        <f aca="false">IF(OR(Q287="",P287=""),"",Q287-P287)</f>
        <v>410</v>
      </c>
      <c r="S287" s="19" t="str">
        <f aca="false">IF(R287="","",IF(ABS(R287)&lt;=Léeme!$B$12,"Cuadra",IF(R287&lt;0,"Faltante","Sobrante")))</f>
        <v>Cuadra</v>
      </c>
      <c r="T287" s="13" t="s">
        <v>101</v>
      </c>
    </row>
    <row r="288" customFormat="false" ht="15" hidden="false" customHeight="false" outlineLevel="0" collapsed="false">
      <c r="A288" s="17" t="n">
        <v>45826</v>
      </c>
      <c r="B288" s="13" t="s">
        <v>27</v>
      </c>
      <c r="C288" s="13" t="s">
        <v>110</v>
      </c>
      <c r="D288" s="13" t="s">
        <v>108</v>
      </c>
      <c r="E288" s="15" t="n">
        <v>393420</v>
      </c>
      <c r="F288" s="15" t="n">
        <v>64190</v>
      </c>
      <c r="G288" s="15" t="n">
        <v>25750</v>
      </c>
      <c r="H288" s="15" t="n">
        <v>36630</v>
      </c>
      <c r="I288" s="15" t="n">
        <v>18090</v>
      </c>
      <c r="J288" s="14" t="n">
        <f aca="false">SUM(E288:I288)</f>
        <v>538080</v>
      </c>
      <c r="K288" s="18" t="n">
        <v>53</v>
      </c>
      <c r="L288" s="15" t="n">
        <v>23090</v>
      </c>
      <c r="M288" s="13" t="s">
        <v>103</v>
      </c>
      <c r="N288" s="15" t="n">
        <v>0</v>
      </c>
      <c r="O288" s="15" t="n">
        <v>20000</v>
      </c>
      <c r="P288" s="14" t="n">
        <f aca="false">IF(O288="","",O288+E288-L288-N288)</f>
        <v>390330</v>
      </c>
      <c r="Q288" s="15" t="n">
        <v>390350</v>
      </c>
      <c r="R288" s="14" t="n">
        <f aca="false">IF(OR(Q288="",P288=""),"",Q288-P288)</f>
        <v>20</v>
      </c>
      <c r="S288" s="19" t="str">
        <f aca="false">IF(R288="","",IF(ABS(R288)&lt;=Léeme!$B$12,"Cuadra",IF(R288&lt;0,"Faltante","Sobrante")))</f>
        <v>Cuadra</v>
      </c>
      <c r="T288" s="13" t="s">
        <v>101</v>
      </c>
    </row>
    <row r="289" customFormat="false" ht="15" hidden="false" customHeight="false" outlineLevel="0" collapsed="false">
      <c r="A289" s="17" t="n">
        <v>45826</v>
      </c>
      <c r="B289" s="13" t="s">
        <v>28</v>
      </c>
      <c r="C289" s="13" t="s">
        <v>111</v>
      </c>
      <c r="D289" s="13" t="s">
        <v>108</v>
      </c>
      <c r="E289" s="15" t="n">
        <v>295360</v>
      </c>
      <c r="F289" s="15" t="n">
        <v>49150</v>
      </c>
      <c r="G289" s="15" t="n">
        <v>22520</v>
      </c>
      <c r="H289" s="15" t="n">
        <v>28130</v>
      </c>
      <c r="I289" s="15" t="n">
        <v>11740</v>
      </c>
      <c r="J289" s="14" t="n">
        <f aca="false">SUM(E289:I289)</f>
        <v>406900</v>
      </c>
      <c r="K289" s="18" t="n">
        <v>43</v>
      </c>
      <c r="L289" s="15" t="n">
        <v>8360</v>
      </c>
      <c r="M289" s="13" t="s">
        <v>104</v>
      </c>
      <c r="N289" s="15" t="n">
        <v>170000</v>
      </c>
      <c r="O289" s="15" t="n">
        <v>20000</v>
      </c>
      <c r="P289" s="14" t="n">
        <f aca="false">IF(O289="","",O289+E289-L289-N289)</f>
        <v>137000</v>
      </c>
      <c r="Q289" s="15" t="n">
        <v>136570</v>
      </c>
      <c r="R289" s="14" t="n">
        <f aca="false">IF(OR(Q289="",P289=""),"",Q289-P289)</f>
        <v>-430</v>
      </c>
      <c r="S289" s="19" t="str">
        <f aca="false">IF(R289="","",IF(ABS(R289)&lt;=Léeme!$B$12,"Cuadra",IF(R289&lt;0,"Faltante","Sobrante")))</f>
        <v>Cuadra</v>
      </c>
      <c r="T289" s="13" t="s">
        <v>101</v>
      </c>
    </row>
    <row r="290" customFormat="false" ht="15" hidden="false" customHeight="false" outlineLevel="0" collapsed="false">
      <c r="A290" s="17" t="n">
        <v>45827</v>
      </c>
      <c r="B290" s="13" t="s">
        <v>27</v>
      </c>
      <c r="C290" s="13" t="s">
        <v>110</v>
      </c>
      <c r="D290" s="13" t="s">
        <v>108</v>
      </c>
      <c r="E290" s="15" t="n">
        <v>369600</v>
      </c>
      <c r="F290" s="15" t="n">
        <v>58190</v>
      </c>
      <c r="G290" s="15" t="n">
        <v>25190</v>
      </c>
      <c r="H290" s="15" t="n">
        <v>39070</v>
      </c>
      <c r="I290" s="15" t="n">
        <v>17400</v>
      </c>
      <c r="J290" s="14" t="n">
        <f aca="false">SUM(E290:I290)</f>
        <v>509450</v>
      </c>
      <c r="K290" s="18" t="n">
        <v>52</v>
      </c>
      <c r="L290" s="15" t="n">
        <v>9630</v>
      </c>
      <c r="M290" s="13" t="s">
        <v>103</v>
      </c>
      <c r="N290" s="15" t="n">
        <v>0</v>
      </c>
      <c r="O290" s="15" t="n">
        <v>20000</v>
      </c>
      <c r="P290" s="14" t="n">
        <f aca="false">IF(O290="","",O290+E290-L290-N290)</f>
        <v>379970</v>
      </c>
      <c r="Q290" s="15" t="n">
        <v>379970</v>
      </c>
      <c r="R290" s="14" t="n">
        <f aca="false">IF(OR(Q290="",P290=""),"",Q290-P290)</f>
        <v>0</v>
      </c>
      <c r="S290" s="19" t="str">
        <f aca="false">IF(R290="","",IF(ABS(R290)&lt;=Léeme!$B$12,"Cuadra",IF(R290&lt;0,"Faltante","Sobrante")))</f>
        <v>Cuadra</v>
      </c>
      <c r="T290" s="13" t="s">
        <v>101</v>
      </c>
    </row>
    <row r="291" customFormat="false" ht="15" hidden="false" customHeight="false" outlineLevel="0" collapsed="false">
      <c r="A291" s="17" t="n">
        <v>45827</v>
      </c>
      <c r="B291" s="13" t="s">
        <v>28</v>
      </c>
      <c r="C291" s="13" t="s">
        <v>111</v>
      </c>
      <c r="D291" s="13" t="s">
        <v>108</v>
      </c>
      <c r="E291" s="15" t="n">
        <v>261210</v>
      </c>
      <c r="F291" s="15" t="n">
        <v>44360</v>
      </c>
      <c r="G291" s="15" t="n">
        <v>17670</v>
      </c>
      <c r="H291" s="15" t="n">
        <v>26560</v>
      </c>
      <c r="I291" s="15" t="n">
        <v>11530</v>
      </c>
      <c r="J291" s="14" t="n">
        <f aca="false">SUM(E291:I291)</f>
        <v>361330</v>
      </c>
      <c r="K291" s="18" t="n">
        <v>37</v>
      </c>
      <c r="L291" s="15" t="n">
        <v>0</v>
      </c>
      <c r="M291" s="13"/>
      <c r="N291" s="15" t="n">
        <v>0</v>
      </c>
      <c r="O291" s="15" t="n">
        <v>20000</v>
      </c>
      <c r="P291" s="14" t="n">
        <f aca="false">IF(O291="","",O291+E291-L291-N291)</f>
        <v>281210</v>
      </c>
      <c r="Q291" s="15" t="n">
        <v>281210</v>
      </c>
      <c r="R291" s="14" t="n">
        <f aca="false">IF(OR(Q291="",P291=""),"",Q291-P291)</f>
        <v>0</v>
      </c>
      <c r="S291" s="19" t="str">
        <f aca="false">IF(R291="","",IF(ABS(R291)&lt;=Léeme!$B$12,"Cuadra",IF(R291&lt;0,"Faltante","Sobrante")))</f>
        <v>Cuadra</v>
      </c>
      <c r="T291" s="13" t="s">
        <v>101</v>
      </c>
    </row>
    <row r="292" customFormat="false" ht="15" hidden="false" customHeight="false" outlineLevel="0" collapsed="false">
      <c r="A292" s="17" t="n">
        <v>45828</v>
      </c>
      <c r="B292" s="13" t="s">
        <v>27</v>
      </c>
      <c r="C292" s="13" t="s">
        <v>110</v>
      </c>
      <c r="D292" s="13" t="s">
        <v>108</v>
      </c>
      <c r="E292" s="15" t="n">
        <v>377060</v>
      </c>
      <c r="F292" s="15" t="n">
        <v>62800</v>
      </c>
      <c r="G292" s="15" t="n">
        <v>24520</v>
      </c>
      <c r="H292" s="15" t="n">
        <v>37130</v>
      </c>
      <c r="I292" s="15" t="n">
        <v>17020</v>
      </c>
      <c r="J292" s="14" t="n">
        <f aca="false">SUM(E292:I292)</f>
        <v>518530</v>
      </c>
      <c r="K292" s="18" t="n">
        <v>54</v>
      </c>
      <c r="L292" s="15" t="n">
        <v>0</v>
      </c>
      <c r="M292" s="13"/>
      <c r="N292" s="15" t="n">
        <v>0</v>
      </c>
      <c r="O292" s="15" t="n">
        <v>20000</v>
      </c>
      <c r="P292" s="14" t="n">
        <f aca="false">IF(O292="","",O292+E292-L292-N292)</f>
        <v>397060</v>
      </c>
      <c r="Q292" s="15" t="n">
        <v>397060</v>
      </c>
      <c r="R292" s="14" t="n">
        <f aca="false">IF(OR(Q292="",P292=""),"",Q292-P292)</f>
        <v>0</v>
      </c>
      <c r="S292" s="19" t="str">
        <f aca="false">IF(R292="","",IF(ABS(R292)&lt;=Léeme!$B$12,"Cuadra",IF(R292&lt;0,"Faltante","Sobrante")))</f>
        <v>Cuadra</v>
      </c>
      <c r="T292" s="13" t="s">
        <v>101</v>
      </c>
    </row>
    <row r="293" customFormat="false" ht="15" hidden="false" customHeight="false" outlineLevel="0" collapsed="false">
      <c r="A293" s="17" t="n">
        <v>45828</v>
      </c>
      <c r="B293" s="13" t="s">
        <v>28</v>
      </c>
      <c r="C293" s="13" t="s">
        <v>111</v>
      </c>
      <c r="D293" s="13" t="s">
        <v>108</v>
      </c>
      <c r="E293" s="15" t="n">
        <v>276150</v>
      </c>
      <c r="F293" s="15" t="n">
        <v>46120</v>
      </c>
      <c r="G293" s="15" t="n">
        <v>21280</v>
      </c>
      <c r="H293" s="15" t="n">
        <v>31950</v>
      </c>
      <c r="I293" s="15" t="n">
        <v>12860</v>
      </c>
      <c r="J293" s="14" t="n">
        <f aca="false">SUM(E293:I293)</f>
        <v>388360</v>
      </c>
      <c r="K293" s="18" t="n">
        <v>42</v>
      </c>
      <c r="L293" s="15" t="n">
        <v>0</v>
      </c>
      <c r="M293" s="13"/>
      <c r="N293" s="15" t="n">
        <v>0</v>
      </c>
      <c r="O293" s="15" t="n">
        <v>20000</v>
      </c>
      <c r="P293" s="14" t="n">
        <f aca="false">IF(O293="","",O293+E293-L293-N293)</f>
        <v>296150</v>
      </c>
      <c r="Q293" s="15" t="n">
        <v>296870</v>
      </c>
      <c r="R293" s="14" t="n">
        <f aca="false">IF(OR(Q293="",P293=""),"",Q293-P293)</f>
        <v>720</v>
      </c>
      <c r="S293" s="19" t="str">
        <f aca="false">IF(R293="","",IF(ABS(R293)&lt;=Léeme!$B$12,"Cuadra",IF(R293&lt;0,"Faltante","Sobrante")))</f>
        <v>Sobrante</v>
      </c>
      <c r="T293" s="13" t="s">
        <v>101</v>
      </c>
    </row>
    <row r="294" customFormat="false" ht="15" hidden="false" customHeight="false" outlineLevel="0" collapsed="false">
      <c r="A294" s="17" t="n">
        <v>45829</v>
      </c>
      <c r="B294" s="13" t="s">
        <v>27</v>
      </c>
      <c r="C294" s="13" t="s">
        <v>107</v>
      </c>
      <c r="D294" s="13" t="s">
        <v>108</v>
      </c>
      <c r="E294" s="15" t="n">
        <v>578000</v>
      </c>
      <c r="F294" s="15" t="n">
        <v>88550</v>
      </c>
      <c r="G294" s="15" t="n">
        <v>38270</v>
      </c>
      <c r="H294" s="15" t="n">
        <v>52650</v>
      </c>
      <c r="I294" s="15" t="n">
        <v>24350</v>
      </c>
      <c r="J294" s="14" t="n">
        <f aca="false">SUM(E294:I294)</f>
        <v>781820</v>
      </c>
      <c r="K294" s="18" t="n">
        <v>76</v>
      </c>
      <c r="L294" s="15" t="n">
        <v>11470</v>
      </c>
      <c r="M294" s="13" t="s">
        <v>102</v>
      </c>
      <c r="N294" s="15" t="n">
        <v>0</v>
      </c>
      <c r="O294" s="15" t="n">
        <v>20000</v>
      </c>
      <c r="P294" s="14" t="n">
        <f aca="false">IF(O294="","",O294+E294-L294-N294)</f>
        <v>586530</v>
      </c>
      <c r="Q294" s="15" t="n">
        <v>586530</v>
      </c>
      <c r="R294" s="14" t="n">
        <f aca="false">IF(OR(Q294="",P294=""),"",Q294-P294)</f>
        <v>0</v>
      </c>
      <c r="S294" s="19" t="str">
        <f aca="false">IF(R294="","",IF(ABS(R294)&lt;=Léeme!$B$12,"Cuadra",IF(R294&lt;0,"Faltante","Sobrante")))</f>
        <v>Cuadra</v>
      </c>
      <c r="T294" s="13" t="s">
        <v>101</v>
      </c>
    </row>
    <row r="295" customFormat="false" ht="15" hidden="false" customHeight="false" outlineLevel="0" collapsed="false">
      <c r="A295" s="17" t="n">
        <v>45829</v>
      </c>
      <c r="B295" s="13" t="s">
        <v>28</v>
      </c>
      <c r="C295" s="13" t="s">
        <v>109</v>
      </c>
      <c r="D295" s="13" t="s">
        <v>108</v>
      </c>
      <c r="E295" s="15" t="n">
        <v>404460</v>
      </c>
      <c r="F295" s="15" t="n">
        <v>71080</v>
      </c>
      <c r="G295" s="15" t="n">
        <v>28960</v>
      </c>
      <c r="H295" s="15" t="n">
        <v>44980</v>
      </c>
      <c r="I295" s="15" t="n">
        <v>17860</v>
      </c>
      <c r="J295" s="14" t="n">
        <f aca="false">SUM(E295:I295)</f>
        <v>567340</v>
      </c>
      <c r="K295" s="18" t="n">
        <v>59</v>
      </c>
      <c r="L295" s="15" t="n">
        <v>0</v>
      </c>
      <c r="M295" s="13"/>
      <c r="N295" s="15" t="n">
        <v>317000</v>
      </c>
      <c r="O295" s="15" t="n">
        <v>20000</v>
      </c>
      <c r="P295" s="14" t="n">
        <f aca="false">IF(O295="","",O295+E295-L295-N295)</f>
        <v>107460</v>
      </c>
      <c r="Q295" s="15" t="n">
        <v>105580</v>
      </c>
      <c r="R295" s="14" t="n">
        <f aca="false">IF(OR(Q295="",P295=""),"",Q295-P295)</f>
        <v>-1880</v>
      </c>
      <c r="S295" s="19" t="str">
        <f aca="false">IF(R295="","",IF(ABS(R295)&lt;=Léeme!$B$12,"Cuadra",IF(R295&lt;0,"Faltante","Sobrante")))</f>
        <v>Faltante</v>
      </c>
      <c r="T295" s="13" t="s">
        <v>101</v>
      </c>
    </row>
    <row r="296" customFormat="false" ht="15" hidden="false" customHeight="false" outlineLevel="0" collapsed="false">
      <c r="A296" s="17" t="n">
        <v>45830</v>
      </c>
      <c r="B296" s="13" t="s">
        <v>27</v>
      </c>
      <c r="C296" s="13" t="s">
        <v>107</v>
      </c>
      <c r="D296" s="13" t="s">
        <v>108</v>
      </c>
      <c r="E296" s="15" t="n">
        <v>846430</v>
      </c>
      <c r="F296" s="15" t="n">
        <v>132080</v>
      </c>
      <c r="G296" s="15" t="n">
        <v>60640</v>
      </c>
      <c r="H296" s="15" t="n">
        <v>85350</v>
      </c>
      <c r="I296" s="15" t="n">
        <v>40540</v>
      </c>
      <c r="J296" s="14" t="n">
        <f aca="false">SUM(E296:I296)</f>
        <v>1165040</v>
      </c>
      <c r="K296" s="18" t="n">
        <v>118</v>
      </c>
      <c r="L296" s="15" t="n">
        <v>9030</v>
      </c>
      <c r="M296" s="13" t="s">
        <v>104</v>
      </c>
      <c r="N296" s="15" t="n">
        <v>557000</v>
      </c>
      <c r="O296" s="15" t="n">
        <v>20000</v>
      </c>
      <c r="P296" s="14" t="n">
        <f aca="false">IF(O296="","",O296+E296-L296-N296)</f>
        <v>300400</v>
      </c>
      <c r="Q296" s="15" t="n">
        <v>291000</v>
      </c>
      <c r="R296" s="14" t="n">
        <f aca="false">IF(OR(Q296="",P296=""),"",Q296-P296)</f>
        <v>-9400</v>
      </c>
      <c r="S296" s="19" t="str">
        <f aca="false">IF(R296="","",IF(ABS(R296)&lt;=Léeme!$B$12,"Cuadra",IF(R296&lt;0,"Faltante","Sobrante")))</f>
        <v>Faltante</v>
      </c>
      <c r="T296" s="13" t="s">
        <v>101</v>
      </c>
    </row>
    <row r="297" customFormat="false" ht="15" hidden="false" customHeight="false" outlineLevel="0" collapsed="false">
      <c r="A297" s="17" t="n">
        <v>45830</v>
      </c>
      <c r="B297" s="13" t="s">
        <v>28</v>
      </c>
      <c r="C297" s="13" t="s">
        <v>109</v>
      </c>
      <c r="D297" s="13" t="s">
        <v>108</v>
      </c>
      <c r="E297" s="15" t="n">
        <v>694590</v>
      </c>
      <c r="F297" s="15" t="n">
        <v>116540</v>
      </c>
      <c r="G297" s="15" t="n">
        <v>47130</v>
      </c>
      <c r="H297" s="15" t="n">
        <v>73350</v>
      </c>
      <c r="I297" s="15" t="n">
        <v>31720</v>
      </c>
      <c r="J297" s="14" t="n">
        <f aca="false">SUM(E297:I297)</f>
        <v>963330</v>
      </c>
      <c r="K297" s="18" t="n">
        <v>89</v>
      </c>
      <c r="L297" s="15" t="n">
        <v>14300</v>
      </c>
      <c r="M297" s="13" t="s">
        <v>103</v>
      </c>
      <c r="N297" s="15" t="n">
        <v>542000</v>
      </c>
      <c r="O297" s="15" t="n">
        <v>20000</v>
      </c>
      <c r="P297" s="14" t="n">
        <f aca="false">IF(O297="","",O297+E297-L297-N297)</f>
        <v>158290</v>
      </c>
      <c r="Q297" s="15" t="n">
        <v>158090</v>
      </c>
      <c r="R297" s="14" t="n">
        <f aca="false">IF(OR(Q297="",P297=""),"",Q297-P297)</f>
        <v>-200</v>
      </c>
      <c r="S297" s="19" t="str">
        <f aca="false">IF(R297="","",IF(ABS(R297)&lt;=Léeme!$B$12,"Cuadra",IF(R297&lt;0,"Faltante","Sobrante")))</f>
        <v>Cuadra</v>
      </c>
      <c r="T297" s="13" t="s">
        <v>101</v>
      </c>
    </row>
    <row r="298" customFormat="false" ht="15" hidden="false" customHeight="false" outlineLevel="0" collapsed="false">
      <c r="A298" s="17" t="n">
        <v>45832</v>
      </c>
      <c r="B298" s="13" t="s">
        <v>27</v>
      </c>
      <c r="C298" s="13" t="s">
        <v>110</v>
      </c>
      <c r="D298" s="13" t="s">
        <v>108</v>
      </c>
      <c r="E298" s="15" t="n">
        <v>325900</v>
      </c>
      <c r="F298" s="15" t="n">
        <v>55530</v>
      </c>
      <c r="G298" s="15" t="n">
        <v>22880</v>
      </c>
      <c r="H298" s="15" t="n">
        <v>37470</v>
      </c>
      <c r="I298" s="15" t="n">
        <v>14100</v>
      </c>
      <c r="J298" s="14" t="n">
        <f aca="false">SUM(E298:I298)</f>
        <v>455880</v>
      </c>
      <c r="K298" s="18" t="n">
        <v>45</v>
      </c>
      <c r="L298" s="15" t="n">
        <v>0</v>
      </c>
      <c r="M298" s="13"/>
      <c r="N298" s="15" t="n">
        <v>0</v>
      </c>
      <c r="O298" s="15" t="n">
        <v>20000</v>
      </c>
      <c r="P298" s="14" t="n">
        <f aca="false">IF(O298="","",O298+E298-L298-N298)</f>
        <v>345900</v>
      </c>
      <c r="Q298" s="15" t="n">
        <v>345900</v>
      </c>
      <c r="R298" s="14" t="n">
        <f aca="false">IF(OR(Q298="",P298=""),"",Q298-P298)</f>
        <v>0</v>
      </c>
      <c r="S298" s="19" t="str">
        <f aca="false">IF(R298="","",IF(ABS(R298)&lt;=Léeme!$B$12,"Cuadra",IF(R298&lt;0,"Faltante","Sobrante")))</f>
        <v>Cuadra</v>
      </c>
      <c r="T298" s="13" t="s">
        <v>101</v>
      </c>
    </row>
    <row r="299" customFormat="false" ht="15" hidden="false" customHeight="false" outlineLevel="0" collapsed="false">
      <c r="A299" s="17" t="n">
        <v>45832</v>
      </c>
      <c r="B299" s="13" t="s">
        <v>28</v>
      </c>
      <c r="C299" s="13" t="s">
        <v>111</v>
      </c>
      <c r="D299" s="13" t="s">
        <v>108</v>
      </c>
      <c r="E299" s="15" t="n">
        <v>227030</v>
      </c>
      <c r="F299" s="15" t="n">
        <v>46780</v>
      </c>
      <c r="G299" s="15" t="n">
        <v>17280</v>
      </c>
      <c r="H299" s="15" t="n">
        <v>28150</v>
      </c>
      <c r="I299" s="15" t="n">
        <v>11950</v>
      </c>
      <c r="J299" s="14" t="n">
        <f aca="false">SUM(E299:I299)</f>
        <v>331190</v>
      </c>
      <c r="K299" s="18" t="n">
        <v>35</v>
      </c>
      <c r="L299" s="15" t="n">
        <v>24140</v>
      </c>
      <c r="M299" s="13" t="s">
        <v>103</v>
      </c>
      <c r="N299" s="15" t="n">
        <v>0</v>
      </c>
      <c r="O299" s="15" t="n">
        <v>20000</v>
      </c>
      <c r="P299" s="14" t="n">
        <f aca="false">IF(O299="","",O299+E299-L299-N299)</f>
        <v>222890</v>
      </c>
      <c r="Q299" s="15" t="n">
        <v>222660</v>
      </c>
      <c r="R299" s="14" t="n">
        <f aca="false">IF(OR(Q299="",P299=""),"",Q299-P299)</f>
        <v>-230</v>
      </c>
      <c r="S299" s="19" t="str">
        <f aca="false">IF(R299="","",IF(ABS(R299)&lt;=Léeme!$B$12,"Cuadra",IF(R299&lt;0,"Faltante","Sobrante")))</f>
        <v>Cuadra</v>
      </c>
      <c r="T299" s="13" t="s">
        <v>101</v>
      </c>
    </row>
    <row r="300" customFormat="false" ht="15" hidden="false" customHeight="false" outlineLevel="0" collapsed="false">
      <c r="A300" s="17" t="n">
        <v>45833</v>
      </c>
      <c r="B300" s="13" t="s">
        <v>27</v>
      </c>
      <c r="C300" s="13" t="s">
        <v>110</v>
      </c>
      <c r="D300" s="13" t="s">
        <v>108</v>
      </c>
      <c r="E300" s="15" t="n">
        <v>323350</v>
      </c>
      <c r="F300" s="15" t="n">
        <v>54470</v>
      </c>
      <c r="G300" s="15" t="n">
        <v>20880</v>
      </c>
      <c r="H300" s="15" t="n">
        <v>30400</v>
      </c>
      <c r="I300" s="15" t="n">
        <v>14560</v>
      </c>
      <c r="J300" s="14" t="n">
        <f aca="false">SUM(E300:I300)</f>
        <v>443660</v>
      </c>
      <c r="K300" s="18" t="n">
        <v>42</v>
      </c>
      <c r="L300" s="15" t="n">
        <v>5940</v>
      </c>
      <c r="M300" s="13" t="s">
        <v>105</v>
      </c>
      <c r="N300" s="15" t="n">
        <v>198000</v>
      </c>
      <c r="O300" s="15" t="n">
        <v>20000</v>
      </c>
      <c r="P300" s="14" t="n">
        <f aca="false">IF(O300="","",O300+E300-L300-N300)</f>
        <v>139410</v>
      </c>
      <c r="Q300" s="15" t="n">
        <v>139410</v>
      </c>
      <c r="R300" s="14" t="n">
        <f aca="false">IF(OR(Q300="",P300=""),"",Q300-P300)</f>
        <v>0</v>
      </c>
      <c r="S300" s="19" t="str">
        <f aca="false">IF(R300="","",IF(ABS(R300)&lt;=Léeme!$B$12,"Cuadra",IF(R300&lt;0,"Faltante","Sobrante")))</f>
        <v>Cuadra</v>
      </c>
      <c r="T300" s="13" t="s">
        <v>101</v>
      </c>
    </row>
    <row r="301" customFormat="false" ht="15" hidden="false" customHeight="false" outlineLevel="0" collapsed="false">
      <c r="A301" s="17" t="n">
        <v>45833</v>
      </c>
      <c r="B301" s="13" t="s">
        <v>28</v>
      </c>
      <c r="C301" s="13" t="s">
        <v>111</v>
      </c>
      <c r="D301" s="13" t="s">
        <v>108</v>
      </c>
      <c r="E301" s="15" t="n">
        <v>278540</v>
      </c>
      <c r="F301" s="15" t="n">
        <v>48290</v>
      </c>
      <c r="G301" s="15" t="n">
        <v>20820</v>
      </c>
      <c r="H301" s="15" t="n">
        <v>27950</v>
      </c>
      <c r="I301" s="15" t="n">
        <v>13250</v>
      </c>
      <c r="J301" s="14" t="n">
        <f aca="false">SUM(E301:I301)</f>
        <v>388850</v>
      </c>
      <c r="K301" s="18" t="n">
        <v>37</v>
      </c>
      <c r="L301" s="15" t="n">
        <v>0</v>
      </c>
      <c r="M301" s="13"/>
      <c r="N301" s="15" t="n">
        <v>0</v>
      </c>
      <c r="O301" s="15" t="n">
        <v>20000</v>
      </c>
      <c r="P301" s="14" t="n">
        <f aca="false">IF(O301="","",O301+E301-L301-N301)</f>
        <v>298540</v>
      </c>
      <c r="Q301" s="15" t="n">
        <v>298420</v>
      </c>
      <c r="R301" s="14" t="n">
        <f aca="false">IF(OR(Q301="",P301=""),"",Q301-P301)</f>
        <v>-120</v>
      </c>
      <c r="S301" s="19" t="str">
        <f aca="false">IF(R301="","",IF(ABS(R301)&lt;=Léeme!$B$12,"Cuadra",IF(R301&lt;0,"Faltante","Sobrante")))</f>
        <v>Cuadra</v>
      </c>
      <c r="T301" s="13" t="s">
        <v>101</v>
      </c>
    </row>
    <row r="302" customFormat="false" ht="15" hidden="false" customHeight="false" outlineLevel="0" collapsed="false">
      <c r="A302" s="17" t="n">
        <v>45834</v>
      </c>
      <c r="B302" s="13" t="s">
        <v>27</v>
      </c>
      <c r="C302" s="13" t="s">
        <v>110</v>
      </c>
      <c r="D302" s="13" t="s">
        <v>108</v>
      </c>
      <c r="E302" s="15" t="n">
        <v>365370</v>
      </c>
      <c r="F302" s="15" t="n">
        <v>68140</v>
      </c>
      <c r="G302" s="15" t="n">
        <v>28160</v>
      </c>
      <c r="H302" s="15" t="n">
        <v>37260</v>
      </c>
      <c r="I302" s="15" t="n">
        <v>15200</v>
      </c>
      <c r="J302" s="14" t="n">
        <f aca="false">SUM(E302:I302)</f>
        <v>514130</v>
      </c>
      <c r="K302" s="18" t="n">
        <v>50</v>
      </c>
      <c r="L302" s="15" t="n">
        <v>0</v>
      </c>
      <c r="M302" s="13"/>
      <c r="N302" s="15" t="n">
        <v>0</v>
      </c>
      <c r="O302" s="15" t="n">
        <v>20000</v>
      </c>
      <c r="P302" s="14" t="n">
        <f aca="false">IF(O302="","",O302+E302-L302-N302)</f>
        <v>385370</v>
      </c>
      <c r="Q302" s="15" t="n">
        <v>385370</v>
      </c>
      <c r="R302" s="14" t="n">
        <f aca="false">IF(OR(Q302="",P302=""),"",Q302-P302)</f>
        <v>0</v>
      </c>
      <c r="S302" s="19" t="str">
        <f aca="false">IF(R302="","",IF(ABS(R302)&lt;=Léeme!$B$12,"Cuadra",IF(R302&lt;0,"Faltante","Sobrante")))</f>
        <v>Cuadra</v>
      </c>
      <c r="T302" s="13" t="s">
        <v>101</v>
      </c>
    </row>
    <row r="303" customFormat="false" ht="15" hidden="false" customHeight="false" outlineLevel="0" collapsed="false">
      <c r="A303" s="17" t="n">
        <v>45834</v>
      </c>
      <c r="B303" s="13" t="s">
        <v>28</v>
      </c>
      <c r="C303" s="13" t="s">
        <v>111</v>
      </c>
      <c r="D303" s="13" t="s">
        <v>108</v>
      </c>
      <c r="E303" s="15" t="n">
        <v>237790</v>
      </c>
      <c r="F303" s="15" t="n">
        <v>42100</v>
      </c>
      <c r="G303" s="15" t="n">
        <v>17100</v>
      </c>
      <c r="H303" s="15" t="n">
        <v>24270</v>
      </c>
      <c r="I303" s="15" t="n">
        <v>10550</v>
      </c>
      <c r="J303" s="14" t="n">
        <f aca="false">SUM(E303:I303)</f>
        <v>331810</v>
      </c>
      <c r="K303" s="18" t="n">
        <v>34</v>
      </c>
      <c r="L303" s="15" t="n">
        <v>0</v>
      </c>
      <c r="M303" s="13"/>
      <c r="N303" s="15" t="n">
        <v>0</v>
      </c>
      <c r="O303" s="15" t="n">
        <v>20000</v>
      </c>
      <c r="P303" s="14" t="n">
        <f aca="false">IF(O303="","",O303+E303-L303-N303)</f>
        <v>257790</v>
      </c>
      <c r="Q303" s="15" t="n">
        <v>258200</v>
      </c>
      <c r="R303" s="14" t="n">
        <f aca="false">IF(OR(Q303="",P303=""),"",Q303-P303)</f>
        <v>410</v>
      </c>
      <c r="S303" s="19" t="str">
        <f aca="false">IF(R303="","",IF(ABS(R303)&lt;=Léeme!$B$12,"Cuadra",IF(R303&lt;0,"Faltante","Sobrante")))</f>
        <v>Cuadra</v>
      </c>
      <c r="T303" s="13" t="s">
        <v>101</v>
      </c>
    </row>
    <row r="304" customFormat="false" ht="15" hidden="false" customHeight="false" outlineLevel="0" collapsed="false">
      <c r="A304" s="17" t="n">
        <v>45835</v>
      </c>
      <c r="B304" s="13" t="s">
        <v>27</v>
      </c>
      <c r="C304" s="13" t="s">
        <v>110</v>
      </c>
      <c r="D304" s="13" t="s">
        <v>108</v>
      </c>
      <c r="E304" s="15" t="n">
        <v>300650</v>
      </c>
      <c r="F304" s="15" t="n">
        <v>56590</v>
      </c>
      <c r="G304" s="15" t="n">
        <v>24890</v>
      </c>
      <c r="H304" s="15" t="n">
        <v>37820</v>
      </c>
      <c r="I304" s="15" t="n">
        <v>14340</v>
      </c>
      <c r="J304" s="14" t="n">
        <f aca="false">SUM(E304:I304)</f>
        <v>434290</v>
      </c>
      <c r="K304" s="18" t="n">
        <v>44</v>
      </c>
      <c r="L304" s="15" t="n">
        <v>0</v>
      </c>
      <c r="M304" s="13"/>
      <c r="N304" s="15" t="n">
        <v>0</v>
      </c>
      <c r="O304" s="15" t="n">
        <v>20000</v>
      </c>
      <c r="P304" s="14" t="n">
        <f aca="false">IF(O304="","",O304+E304-L304-N304)</f>
        <v>320650</v>
      </c>
      <c r="Q304" s="15" t="n">
        <v>321140</v>
      </c>
      <c r="R304" s="14" t="n">
        <f aca="false">IF(OR(Q304="",P304=""),"",Q304-P304)</f>
        <v>490</v>
      </c>
      <c r="S304" s="19" t="str">
        <f aca="false">IF(R304="","",IF(ABS(R304)&lt;=Léeme!$B$12,"Cuadra",IF(R304&lt;0,"Faltante","Sobrante")))</f>
        <v>Cuadra</v>
      </c>
      <c r="T304" s="13" t="s">
        <v>101</v>
      </c>
    </row>
    <row r="305" customFormat="false" ht="15" hidden="false" customHeight="false" outlineLevel="0" collapsed="false">
      <c r="A305" s="17" t="n">
        <v>45835</v>
      </c>
      <c r="B305" s="13" t="s">
        <v>28</v>
      </c>
      <c r="C305" s="13" t="s">
        <v>111</v>
      </c>
      <c r="D305" s="13" t="s">
        <v>108</v>
      </c>
      <c r="E305" s="15" t="n">
        <v>249300</v>
      </c>
      <c r="F305" s="15" t="n">
        <v>47610</v>
      </c>
      <c r="G305" s="15" t="n">
        <v>18050</v>
      </c>
      <c r="H305" s="15" t="n">
        <v>27050</v>
      </c>
      <c r="I305" s="15" t="n">
        <v>11930</v>
      </c>
      <c r="J305" s="14" t="n">
        <f aca="false">SUM(E305:I305)</f>
        <v>353940</v>
      </c>
      <c r="K305" s="18" t="n">
        <v>35</v>
      </c>
      <c r="L305" s="15" t="n">
        <v>4390</v>
      </c>
      <c r="M305" s="13" t="s">
        <v>104</v>
      </c>
      <c r="N305" s="15" t="n">
        <v>165000</v>
      </c>
      <c r="O305" s="15" t="n">
        <v>20000</v>
      </c>
      <c r="P305" s="14" t="n">
        <f aca="false">IF(O305="","",O305+E305-L305-N305)</f>
        <v>99910</v>
      </c>
      <c r="Q305" s="15" t="n">
        <v>97230</v>
      </c>
      <c r="R305" s="14" t="n">
        <f aca="false">IF(OR(Q305="",P305=""),"",Q305-P305)</f>
        <v>-2680</v>
      </c>
      <c r="S305" s="19" t="str">
        <f aca="false">IF(R305="","",IF(ABS(R305)&lt;=Léeme!$B$12,"Cuadra",IF(R305&lt;0,"Faltante","Sobrante")))</f>
        <v>Faltante</v>
      </c>
      <c r="T305" s="13" t="s">
        <v>101</v>
      </c>
    </row>
    <row r="306" customFormat="false" ht="15" hidden="false" customHeight="false" outlineLevel="0" collapsed="false">
      <c r="A306" s="17" t="n">
        <v>45836</v>
      </c>
      <c r="B306" s="13" t="s">
        <v>27</v>
      </c>
      <c r="C306" s="13" t="s">
        <v>107</v>
      </c>
      <c r="D306" s="13" t="s">
        <v>108</v>
      </c>
      <c r="E306" s="15" t="n">
        <v>606000</v>
      </c>
      <c r="F306" s="15" t="n">
        <v>109110</v>
      </c>
      <c r="G306" s="15" t="n">
        <v>45890</v>
      </c>
      <c r="H306" s="15" t="n">
        <v>69770</v>
      </c>
      <c r="I306" s="15" t="n">
        <v>28610</v>
      </c>
      <c r="J306" s="14" t="n">
        <f aca="false">SUM(E306:I306)</f>
        <v>859380</v>
      </c>
      <c r="K306" s="18" t="n">
        <v>85</v>
      </c>
      <c r="L306" s="15" t="n">
        <v>20710</v>
      </c>
      <c r="M306" s="13" t="s">
        <v>103</v>
      </c>
      <c r="N306" s="15" t="n">
        <v>373000</v>
      </c>
      <c r="O306" s="15" t="n">
        <v>20000</v>
      </c>
      <c r="P306" s="14" t="n">
        <f aca="false">IF(O306="","",O306+E306-L306-N306)</f>
        <v>232290</v>
      </c>
      <c r="Q306" s="15" t="n">
        <v>224790</v>
      </c>
      <c r="R306" s="14" t="n">
        <f aca="false">IF(OR(Q306="",P306=""),"",Q306-P306)</f>
        <v>-7500</v>
      </c>
      <c r="S306" s="19" t="str">
        <f aca="false">IF(R306="","",IF(ABS(R306)&lt;=Léeme!$B$12,"Cuadra",IF(R306&lt;0,"Faltante","Sobrante")))</f>
        <v>Faltante</v>
      </c>
      <c r="T306" s="13" t="s">
        <v>101</v>
      </c>
    </row>
    <row r="307" customFormat="false" ht="15" hidden="false" customHeight="false" outlineLevel="0" collapsed="false">
      <c r="A307" s="17" t="n">
        <v>45836</v>
      </c>
      <c r="B307" s="13" t="s">
        <v>28</v>
      </c>
      <c r="C307" s="13" t="s">
        <v>109</v>
      </c>
      <c r="D307" s="13" t="s">
        <v>108</v>
      </c>
      <c r="E307" s="15" t="n">
        <v>386980</v>
      </c>
      <c r="F307" s="15" t="n">
        <v>65990</v>
      </c>
      <c r="G307" s="15" t="n">
        <v>27080</v>
      </c>
      <c r="H307" s="15" t="n">
        <v>39330</v>
      </c>
      <c r="I307" s="15" t="n">
        <v>18910</v>
      </c>
      <c r="J307" s="14" t="n">
        <f aca="false">SUM(E307:I307)</f>
        <v>538290</v>
      </c>
      <c r="K307" s="18" t="n">
        <v>52</v>
      </c>
      <c r="L307" s="15" t="n">
        <v>11300</v>
      </c>
      <c r="M307" s="13" t="s">
        <v>103</v>
      </c>
      <c r="N307" s="15" t="n">
        <v>322000</v>
      </c>
      <c r="O307" s="15" t="n">
        <v>20000</v>
      </c>
      <c r="P307" s="14" t="n">
        <f aca="false">IF(O307="","",O307+E307-L307-N307)</f>
        <v>73680</v>
      </c>
      <c r="Q307" s="15" t="n">
        <v>73680</v>
      </c>
      <c r="R307" s="14" t="n">
        <f aca="false">IF(OR(Q307="",P307=""),"",Q307-P307)</f>
        <v>0</v>
      </c>
      <c r="S307" s="19" t="str">
        <f aca="false">IF(R307="","",IF(ABS(R307)&lt;=Léeme!$B$12,"Cuadra",IF(R307&lt;0,"Faltante","Sobrante")))</f>
        <v>Cuadra</v>
      </c>
      <c r="T307" s="13" t="s">
        <v>101</v>
      </c>
    </row>
    <row r="308" customFormat="false" ht="15" hidden="false" customHeight="false" outlineLevel="0" collapsed="false">
      <c r="A308" s="17" t="n">
        <v>45837</v>
      </c>
      <c r="B308" s="13" t="s">
        <v>27</v>
      </c>
      <c r="C308" s="13" t="s">
        <v>107</v>
      </c>
      <c r="D308" s="13" t="s">
        <v>108</v>
      </c>
      <c r="E308" s="15" t="n">
        <v>813330</v>
      </c>
      <c r="F308" s="15" t="n">
        <v>142600</v>
      </c>
      <c r="G308" s="15" t="n">
        <v>57760</v>
      </c>
      <c r="H308" s="15" t="n">
        <v>87410</v>
      </c>
      <c r="I308" s="15" t="n">
        <v>40520</v>
      </c>
      <c r="J308" s="14" t="n">
        <f aca="false">SUM(E308:I308)</f>
        <v>1141620</v>
      </c>
      <c r="K308" s="18" t="n">
        <v>117</v>
      </c>
      <c r="L308" s="15" t="n">
        <v>4070</v>
      </c>
      <c r="M308" s="13" t="s">
        <v>104</v>
      </c>
      <c r="N308" s="15" t="n">
        <v>488000</v>
      </c>
      <c r="O308" s="15" t="n">
        <v>20000</v>
      </c>
      <c r="P308" s="14" t="n">
        <f aca="false">IF(O308="","",O308+E308-L308-N308)</f>
        <v>341260</v>
      </c>
      <c r="Q308" s="15" t="n">
        <v>336760</v>
      </c>
      <c r="R308" s="14" t="n">
        <f aca="false">IF(OR(Q308="",P308=""),"",Q308-P308)</f>
        <v>-4500</v>
      </c>
      <c r="S308" s="19" t="str">
        <f aca="false">IF(R308="","",IF(ABS(R308)&lt;=Léeme!$B$12,"Cuadra",IF(R308&lt;0,"Faltante","Sobrante")))</f>
        <v>Faltante</v>
      </c>
      <c r="T308" s="13" t="s">
        <v>101</v>
      </c>
    </row>
    <row r="309" customFormat="false" ht="15" hidden="false" customHeight="false" outlineLevel="0" collapsed="false">
      <c r="A309" s="17" t="n">
        <v>45837</v>
      </c>
      <c r="B309" s="13" t="s">
        <v>28</v>
      </c>
      <c r="C309" s="13" t="s">
        <v>109</v>
      </c>
      <c r="D309" s="13" t="s">
        <v>108</v>
      </c>
      <c r="E309" s="15" t="n">
        <v>695570</v>
      </c>
      <c r="F309" s="15" t="n">
        <v>129610</v>
      </c>
      <c r="G309" s="15" t="n">
        <v>54420</v>
      </c>
      <c r="H309" s="15" t="n">
        <v>78040</v>
      </c>
      <c r="I309" s="15" t="n">
        <v>33910</v>
      </c>
      <c r="J309" s="14" t="n">
        <f aca="false">SUM(E309:I309)</f>
        <v>991550</v>
      </c>
      <c r="K309" s="18" t="n">
        <v>94</v>
      </c>
      <c r="L309" s="15" t="n">
        <v>0</v>
      </c>
      <c r="M309" s="13"/>
      <c r="N309" s="15" t="n">
        <v>422000</v>
      </c>
      <c r="O309" s="15" t="n">
        <v>20000</v>
      </c>
      <c r="P309" s="14" t="n">
        <f aca="false">IF(O309="","",O309+E309-L309-N309)</f>
        <v>293570</v>
      </c>
      <c r="Q309" s="15" t="n">
        <v>293570</v>
      </c>
      <c r="R309" s="14" t="n">
        <f aca="false">IF(OR(Q309="",P309=""),"",Q309-P309)</f>
        <v>0</v>
      </c>
      <c r="S309" s="19" t="str">
        <f aca="false">IF(R309="","",IF(ABS(R309)&lt;=Léeme!$B$12,"Cuadra",IF(R309&lt;0,"Faltante","Sobrante")))</f>
        <v>Cuadra</v>
      </c>
      <c r="T309" s="13" t="s">
        <v>101</v>
      </c>
    </row>
    <row r="310" customFormat="false" ht="15" hidden="false" customHeight="false" outlineLevel="0" collapsed="false">
      <c r="A310" s="17" t="n">
        <v>45839</v>
      </c>
      <c r="B310" s="13" t="s">
        <v>27</v>
      </c>
      <c r="C310" s="13" t="s">
        <v>110</v>
      </c>
      <c r="D310" s="13" t="s">
        <v>108</v>
      </c>
      <c r="E310" s="15" t="n">
        <v>367810</v>
      </c>
      <c r="F310" s="15" t="n">
        <v>63200</v>
      </c>
      <c r="G310" s="15" t="n">
        <v>25850</v>
      </c>
      <c r="H310" s="15" t="n">
        <v>41550</v>
      </c>
      <c r="I310" s="15" t="n">
        <v>16470</v>
      </c>
      <c r="J310" s="14" t="n">
        <f aca="false">SUM(E310:I310)</f>
        <v>514880</v>
      </c>
      <c r="K310" s="18" t="n">
        <v>50</v>
      </c>
      <c r="L310" s="15" t="n">
        <v>9370</v>
      </c>
      <c r="M310" s="13" t="s">
        <v>104</v>
      </c>
      <c r="N310" s="15" t="n">
        <v>0</v>
      </c>
      <c r="O310" s="15" t="n">
        <v>20000</v>
      </c>
      <c r="P310" s="14" t="n">
        <f aca="false">IF(O310="","",O310+E310-L310-N310)</f>
        <v>378440</v>
      </c>
      <c r="Q310" s="15" t="n">
        <v>378440</v>
      </c>
      <c r="R310" s="14" t="n">
        <f aca="false">IF(OR(Q310="",P310=""),"",Q310-P310)</f>
        <v>0</v>
      </c>
      <c r="S310" s="19" t="str">
        <f aca="false">IF(R310="","",IF(ABS(R310)&lt;=Léeme!$B$12,"Cuadra",IF(R310&lt;0,"Faltante","Sobrante")))</f>
        <v>Cuadra</v>
      </c>
      <c r="T310" s="13" t="s">
        <v>101</v>
      </c>
    </row>
    <row r="311" customFormat="false" ht="15" hidden="false" customHeight="false" outlineLevel="0" collapsed="false">
      <c r="A311" s="17" t="n">
        <v>45839</v>
      </c>
      <c r="B311" s="13" t="s">
        <v>28</v>
      </c>
      <c r="C311" s="13" t="s">
        <v>111</v>
      </c>
      <c r="D311" s="13" t="s">
        <v>108</v>
      </c>
      <c r="E311" s="15" t="n">
        <v>247530</v>
      </c>
      <c r="F311" s="15" t="n">
        <v>44690</v>
      </c>
      <c r="G311" s="15" t="n">
        <v>19030</v>
      </c>
      <c r="H311" s="15" t="n">
        <v>29330</v>
      </c>
      <c r="I311" s="15" t="n">
        <v>10930</v>
      </c>
      <c r="J311" s="14" t="n">
        <f aca="false">SUM(E311:I311)</f>
        <v>351510</v>
      </c>
      <c r="K311" s="18" t="n">
        <v>35</v>
      </c>
      <c r="L311" s="15" t="n">
        <v>23490</v>
      </c>
      <c r="M311" s="13" t="s">
        <v>103</v>
      </c>
      <c r="N311" s="15" t="n">
        <v>190000</v>
      </c>
      <c r="O311" s="15" t="n">
        <v>20000</v>
      </c>
      <c r="P311" s="14" t="n">
        <f aca="false">IF(O311="","",O311+E311-L311-N311)</f>
        <v>54040</v>
      </c>
      <c r="Q311" s="15" t="n">
        <v>54040</v>
      </c>
      <c r="R311" s="14" t="n">
        <f aca="false">IF(OR(Q311="",P311=""),"",Q311-P311)</f>
        <v>0</v>
      </c>
      <c r="S311" s="19" t="str">
        <f aca="false">IF(R311="","",IF(ABS(R311)&lt;=Léeme!$B$12,"Cuadra",IF(R311&lt;0,"Faltante","Sobrante")))</f>
        <v>Cuadra</v>
      </c>
      <c r="T311" s="13" t="s">
        <v>101</v>
      </c>
    </row>
    <row r="312" customFormat="false" ht="15" hidden="false" customHeight="false" outlineLevel="0" collapsed="false">
      <c r="A312" s="17" t="n">
        <v>45840</v>
      </c>
      <c r="B312" s="13" t="s">
        <v>27</v>
      </c>
      <c r="C312" s="13" t="s">
        <v>110</v>
      </c>
      <c r="D312" s="13" t="s">
        <v>108</v>
      </c>
      <c r="E312" s="15" t="n">
        <v>333500</v>
      </c>
      <c r="F312" s="15" t="n">
        <v>67300</v>
      </c>
      <c r="G312" s="15" t="n">
        <v>24520</v>
      </c>
      <c r="H312" s="15" t="n">
        <v>36860</v>
      </c>
      <c r="I312" s="15" t="n">
        <v>16990</v>
      </c>
      <c r="J312" s="14" t="n">
        <f aca="false">SUM(E312:I312)</f>
        <v>479170</v>
      </c>
      <c r="K312" s="18" t="n">
        <v>50</v>
      </c>
      <c r="L312" s="15" t="n">
        <v>0</v>
      </c>
      <c r="M312" s="13"/>
      <c r="N312" s="15" t="n">
        <v>0</v>
      </c>
      <c r="O312" s="15" t="n">
        <v>20000</v>
      </c>
      <c r="P312" s="14" t="n">
        <f aca="false">IF(O312="","",O312+E312-L312-N312)</f>
        <v>353500</v>
      </c>
      <c r="Q312" s="15" t="n">
        <v>354260</v>
      </c>
      <c r="R312" s="14" t="n">
        <f aca="false">IF(OR(Q312="",P312=""),"",Q312-P312)</f>
        <v>760</v>
      </c>
      <c r="S312" s="19" t="str">
        <f aca="false">IF(R312="","",IF(ABS(R312)&lt;=Léeme!$B$12,"Cuadra",IF(R312&lt;0,"Faltante","Sobrante")))</f>
        <v>Sobrante</v>
      </c>
      <c r="T312" s="13" t="s">
        <v>101</v>
      </c>
    </row>
    <row r="313" customFormat="false" ht="15" hidden="false" customHeight="false" outlineLevel="0" collapsed="false">
      <c r="A313" s="17" t="n">
        <v>45840</v>
      </c>
      <c r="B313" s="13" t="s">
        <v>28</v>
      </c>
      <c r="C313" s="13" t="s">
        <v>111</v>
      </c>
      <c r="D313" s="13" t="s">
        <v>108</v>
      </c>
      <c r="E313" s="15" t="n">
        <v>282180</v>
      </c>
      <c r="F313" s="15" t="n">
        <v>54370</v>
      </c>
      <c r="G313" s="15" t="n">
        <v>21450</v>
      </c>
      <c r="H313" s="15" t="n">
        <v>28670</v>
      </c>
      <c r="I313" s="15" t="n">
        <v>12510</v>
      </c>
      <c r="J313" s="14" t="n">
        <f aca="false">SUM(E313:I313)</f>
        <v>399180</v>
      </c>
      <c r="K313" s="18" t="n">
        <v>37</v>
      </c>
      <c r="L313" s="15" t="n">
        <v>0</v>
      </c>
      <c r="M313" s="13"/>
      <c r="N313" s="15" t="n">
        <v>0</v>
      </c>
      <c r="O313" s="15" t="n">
        <v>20000</v>
      </c>
      <c r="P313" s="14" t="n">
        <f aca="false">IF(O313="","",O313+E313-L313-N313)</f>
        <v>302180</v>
      </c>
      <c r="Q313" s="15" t="n">
        <v>302180</v>
      </c>
      <c r="R313" s="14" t="n">
        <f aca="false">IF(OR(Q313="",P313=""),"",Q313-P313)</f>
        <v>0</v>
      </c>
      <c r="S313" s="19" t="str">
        <f aca="false">IF(R313="","",IF(ABS(R313)&lt;=Léeme!$B$12,"Cuadra",IF(R313&lt;0,"Faltante","Sobrante")))</f>
        <v>Cuadra</v>
      </c>
      <c r="T313" s="13" t="s">
        <v>101</v>
      </c>
    </row>
    <row r="314" customFormat="false" ht="15" hidden="false" customHeight="false" outlineLevel="0" collapsed="false">
      <c r="A314" s="17" t="n">
        <v>45841</v>
      </c>
      <c r="B314" s="13" t="s">
        <v>27</v>
      </c>
      <c r="C314" s="13" t="s">
        <v>110</v>
      </c>
      <c r="D314" s="13" t="s">
        <v>108</v>
      </c>
      <c r="E314" s="15" t="n">
        <v>332140</v>
      </c>
      <c r="F314" s="15" t="n">
        <v>66480</v>
      </c>
      <c r="G314" s="15" t="n">
        <v>25850</v>
      </c>
      <c r="H314" s="15" t="n">
        <v>42230</v>
      </c>
      <c r="I314" s="15" t="n">
        <v>15160</v>
      </c>
      <c r="J314" s="14" t="n">
        <f aca="false">SUM(E314:I314)</f>
        <v>481860</v>
      </c>
      <c r="K314" s="18" t="n">
        <v>46</v>
      </c>
      <c r="L314" s="15" t="n">
        <v>0</v>
      </c>
      <c r="M314" s="13"/>
      <c r="N314" s="15" t="n">
        <v>0</v>
      </c>
      <c r="O314" s="15" t="n">
        <v>20000</v>
      </c>
      <c r="P314" s="14" t="n">
        <f aca="false">IF(O314="","",O314+E314-L314-N314)</f>
        <v>352140</v>
      </c>
      <c r="Q314" s="15" t="n">
        <v>352770</v>
      </c>
      <c r="R314" s="14" t="n">
        <f aca="false">IF(OR(Q314="",P314=""),"",Q314-P314)</f>
        <v>630</v>
      </c>
      <c r="S314" s="19" t="str">
        <f aca="false">IF(R314="","",IF(ABS(R314)&lt;=Léeme!$B$12,"Cuadra",IF(R314&lt;0,"Faltante","Sobrante")))</f>
        <v>Sobrante</v>
      </c>
      <c r="T314" s="13" t="s">
        <v>101</v>
      </c>
    </row>
    <row r="315" customFormat="false" ht="15" hidden="false" customHeight="false" outlineLevel="0" collapsed="false">
      <c r="A315" s="17" t="n">
        <v>45841</v>
      </c>
      <c r="B315" s="13" t="s">
        <v>28</v>
      </c>
      <c r="C315" s="13" t="s">
        <v>111</v>
      </c>
      <c r="D315" s="13" t="s">
        <v>108</v>
      </c>
      <c r="E315" s="15" t="n">
        <v>315380</v>
      </c>
      <c r="F315" s="15" t="n">
        <v>49790</v>
      </c>
      <c r="G315" s="15" t="n">
        <v>22230</v>
      </c>
      <c r="H315" s="15" t="n">
        <v>31270</v>
      </c>
      <c r="I315" s="15" t="n">
        <v>13950</v>
      </c>
      <c r="J315" s="14" t="n">
        <f aca="false">SUM(E315:I315)</f>
        <v>432620</v>
      </c>
      <c r="K315" s="18" t="n">
        <v>44</v>
      </c>
      <c r="L315" s="15" t="n">
        <v>0</v>
      </c>
      <c r="M315" s="13"/>
      <c r="N315" s="15" t="n">
        <v>245000</v>
      </c>
      <c r="O315" s="15" t="n">
        <v>20000</v>
      </c>
      <c r="P315" s="14" t="n">
        <f aca="false">IF(O315="","",O315+E315-L315-N315)</f>
        <v>90380</v>
      </c>
      <c r="Q315" s="15" t="n">
        <v>90380</v>
      </c>
      <c r="R315" s="14" t="n">
        <f aca="false">IF(OR(Q315="",P315=""),"",Q315-P315)</f>
        <v>0</v>
      </c>
      <c r="S315" s="19" t="str">
        <f aca="false">IF(R315="","",IF(ABS(R315)&lt;=Léeme!$B$12,"Cuadra",IF(R315&lt;0,"Faltante","Sobrante")))</f>
        <v>Cuadra</v>
      </c>
      <c r="T315" s="13" t="s">
        <v>101</v>
      </c>
    </row>
    <row r="316" customFormat="false" ht="15" hidden="false" customHeight="false" outlineLevel="0" collapsed="false">
      <c r="A316" s="17" t="n">
        <v>45842</v>
      </c>
      <c r="B316" s="13" t="s">
        <v>27</v>
      </c>
      <c r="C316" s="13" t="s">
        <v>110</v>
      </c>
      <c r="D316" s="13" t="s">
        <v>108</v>
      </c>
      <c r="E316" s="15" t="n">
        <v>349190</v>
      </c>
      <c r="F316" s="15" t="n">
        <v>57910</v>
      </c>
      <c r="G316" s="15" t="n">
        <v>26450</v>
      </c>
      <c r="H316" s="15" t="n">
        <v>35380</v>
      </c>
      <c r="I316" s="15" t="n">
        <v>17240</v>
      </c>
      <c r="J316" s="14" t="n">
        <f aca="false">SUM(E316:I316)</f>
        <v>486170</v>
      </c>
      <c r="K316" s="18" t="n">
        <v>49</v>
      </c>
      <c r="L316" s="15" t="n">
        <v>0</v>
      </c>
      <c r="M316" s="13"/>
      <c r="N316" s="15" t="n">
        <v>0</v>
      </c>
      <c r="O316" s="15" t="n">
        <v>20000</v>
      </c>
      <c r="P316" s="14" t="n">
        <f aca="false">IF(O316="","",O316+E316-L316-N316)</f>
        <v>369190</v>
      </c>
      <c r="Q316" s="15" t="n">
        <v>369190</v>
      </c>
      <c r="R316" s="14" t="n">
        <f aca="false">IF(OR(Q316="",P316=""),"",Q316-P316)</f>
        <v>0</v>
      </c>
      <c r="S316" s="19" t="str">
        <f aca="false">IF(R316="","",IF(ABS(R316)&lt;=Léeme!$B$12,"Cuadra",IF(R316&lt;0,"Faltante","Sobrante")))</f>
        <v>Cuadra</v>
      </c>
      <c r="T316" s="13" t="s">
        <v>101</v>
      </c>
    </row>
    <row r="317" customFormat="false" ht="15" hidden="false" customHeight="false" outlineLevel="0" collapsed="false">
      <c r="A317" s="17" t="n">
        <v>45842</v>
      </c>
      <c r="B317" s="13" t="s">
        <v>28</v>
      </c>
      <c r="C317" s="13" t="s">
        <v>111</v>
      </c>
      <c r="D317" s="13" t="s">
        <v>108</v>
      </c>
      <c r="E317" s="15" t="n">
        <v>264920</v>
      </c>
      <c r="F317" s="15" t="n">
        <v>47590</v>
      </c>
      <c r="G317" s="15" t="n">
        <v>18000</v>
      </c>
      <c r="H317" s="15" t="n">
        <v>28100</v>
      </c>
      <c r="I317" s="15" t="n">
        <v>11280</v>
      </c>
      <c r="J317" s="14" t="n">
        <f aca="false">SUM(E317:I317)</f>
        <v>369890</v>
      </c>
      <c r="K317" s="18" t="n">
        <v>39</v>
      </c>
      <c r="L317" s="15" t="n">
        <v>0</v>
      </c>
      <c r="M317" s="13"/>
      <c r="N317" s="15" t="n">
        <v>213000</v>
      </c>
      <c r="O317" s="15" t="n">
        <v>20000</v>
      </c>
      <c r="P317" s="14" t="n">
        <f aca="false">IF(O317="","",O317+E317-L317-N317)</f>
        <v>71920</v>
      </c>
      <c r="Q317" s="15" t="n">
        <v>71420</v>
      </c>
      <c r="R317" s="14" t="n">
        <f aca="false">IF(OR(Q317="",P317=""),"",Q317-P317)</f>
        <v>-500</v>
      </c>
      <c r="S317" s="19" t="str">
        <f aca="false">IF(R317="","",IF(ABS(R317)&lt;=Léeme!$B$12,"Cuadra",IF(R317&lt;0,"Faltante","Sobrante")))</f>
        <v>Cuadra</v>
      </c>
      <c r="T317" s="13" t="s">
        <v>101</v>
      </c>
    </row>
    <row r="318" customFormat="false" ht="15" hidden="false" customHeight="false" outlineLevel="0" collapsed="false">
      <c r="A318" s="17" t="n">
        <v>45843</v>
      </c>
      <c r="B318" s="13" t="s">
        <v>27</v>
      </c>
      <c r="C318" s="13" t="s">
        <v>107</v>
      </c>
      <c r="D318" s="13" t="s">
        <v>108</v>
      </c>
      <c r="E318" s="15" t="n">
        <v>544860</v>
      </c>
      <c r="F318" s="15" t="n">
        <v>87910</v>
      </c>
      <c r="G318" s="15" t="n">
        <v>37480</v>
      </c>
      <c r="H318" s="15" t="n">
        <v>55750</v>
      </c>
      <c r="I318" s="15" t="n">
        <v>21490</v>
      </c>
      <c r="J318" s="14" t="n">
        <f aca="false">SUM(E318:I318)</f>
        <v>747490</v>
      </c>
      <c r="K318" s="18" t="n">
        <v>69</v>
      </c>
      <c r="L318" s="15" t="n">
        <v>7570</v>
      </c>
      <c r="M318" s="13" t="s">
        <v>102</v>
      </c>
      <c r="N318" s="15" t="n">
        <v>0</v>
      </c>
      <c r="O318" s="15" t="n">
        <v>20000</v>
      </c>
      <c r="P318" s="14" t="n">
        <f aca="false">IF(O318="","",O318+E318-L318-N318)</f>
        <v>557290</v>
      </c>
      <c r="Q318" s="15" t="n">
        <v>557960</v>
      </c>
      <c r="R318" s="14" t="n">
        <f aca="false">IF(OR(Q318="",P318=""),"",Q318-P318)</f>
        <v>670</v>
      </c>
      <c r="S318" s="19" t="str">
        <f aca="false">IF(R318="","",IF(ABS(R318)&lt;=Léeme!$B$12,"Cuadra",IF(R318&lt;0,"Faltante","Sobrante")))</f>
        <v>Sobrante</v>
      </c>
      <c r="T318" s="13" t="s">
        <v>101</v>
      </c>
    </row>
    <row r="319" customFormat="false" ht="15" hidden="false" customHeight="false" outlineLevel="0" collapsed="false">
      <c r="A319" s="17" t="n">
        <v>45843</v>
      </c>
      <c r="B319" s="13" t="s">
        <v>28</v>
      </c>
      <c r="C319" s="13" t="s">
        <v>109</v>
      </c>
      <c r="D319" s="13" t="s">
        <v>108</v>
      </c>
      <c r="E319" s="15" t="n">
        <v>386130</v>
      </c>
      <c r="F319" s="15" t="n">
        <v>80540</v>
      </c>
      <c r="G319" s="15" t="n">
        <v>33390</v>
      </c>
      <c r="H319" s="15" t="n">
        <v>47390</v>
      </c>
      <c r="I319" s="15" t="n">
        <v>19240</v>
      </c>
      <c r="J319" s="14" t="n">
        <f aca="false">SUM(E319:I319)</f>
        <v>566690</v>
      </c>
      <c r="K319" s="18" t="n">
        <v>58</v>
      </c>
      <c r="L319" s="15" t="n">
        <v>0</v>
      </c>
      <c r="M319" s="13"/>
      <c r="N319" s="15" t="n">
        <v>311000</v>
      </c>
      <c r="O319" s="15" t="n">
        <v>20000</v>
      </c>
      <c r="P319" s="14" t="n">
        <f aca="false">IF(O319="","",O319+E319-L319-N319)</f>
        <v>95130</v>
      </c>
      <c r="Q319" s="15" t="n">
        <v>95130</v>
      </c>
      <c r="R319" s="14" t="n">
        <f aca="false">IF(OR(Q319="",P319=""),"",Q319-P319)</f>
        <v>0</v>
      </c>
      <c r="S319" s="19" t="str">
        <f aca="false">IF(R319="","",IF(ABS(R319)&lt;=Léeme!$B$12,"Cuadra",IF(R319&lt;0,"Faltante","Sobrante")))</f>
        <v>Cuadra</v>
      </c>
      <c r="T319" s="13" t="s">
        <v>101</v>
      </c>
    </row>
    <row r="320" customFormat="false" ht="15" hidden="false" customHeight="false" outlineLevel="0" collapsed="false">
      <c r="A320" s="17" t="n">
        <v>45844</v>
      </c>
      <c r="B320" s="13" t="s">
        <v>27</v>
      </c>
      <c r="C320" s="13" t="s">
        <v>107</v>
      </c>
      <c r="D320" s="13" t="s">
        <v>108</v>
      </c>
      <c r="E320" s="15" t="n">
        <v>898250</v>
      </c>
      <c r="F320" s="15" t="n">
        <v>137350</v>
      </c>
      <c r="G320" s="15" t="n">
        <v>64440</v>
      </c>
      <c r="H320" s="15" t="n">
        <v>86770</v>
      </c>
      <c r="I320" s="15" t="n">
        <v>41560</v>
      </c>
      <c r="J320" s="14" t="n">
        <f aca="false">SUM(E320:I320)</f>
        <v>1228370</v>
      </c>
      <c r="K320" s="18" t="n">
        <v>125</v>
      </c>
      <c r="L320" s="15" t="n">
        <v>9260</v>
      </c>
      <c r="M320" s="13" t="s">
        <v>103</v>
      </c>
      <c r="N320" s="15" t="n">
        <v>0</v>
      </c>
      <c r="O320" s="15" t="n">
        <v>20000</v>
      </c>
      <c r="P320" s="14" t="n">
        <f aca="false">IF(O320="","",O320+E320-L320-N320)</f>
        <v>908990</v>
      </c>
      <c r="Q320" s="15" t="n">
        <v>911000</v>
      </c>
      <c r="R320" s="14" t="n">
        <f aca="false">IF(OR(Q320="",P320=""),"",Q320-P320)</f>
        <v>2010</v>
      </c>
      <c r="S320" s="19" t="str">
        <f aca="false">IF(R320="","",IF(ABS(R320)&lt;=Léeme!$B$12,"Cuadra",IF(R320&lt;0,"Faltante","Sobrante")))</f>
        <v>Sobrante</v>
      </c>
      <c r="T320" s="13" t="s">
        <v>101</v>
      </c>
    </row>
    <row r="321" customFormat="false" ht="15" hidden="false" customHeight="false" outlineLevel="0" collapsed="false">
      <c r="A321" s="17" t="n">
        <v>45844</v>
      </c>
      <c r="B321" s="13" t="s">
        <v>28</v>
      </c>
      <c r="C321" s="13" t="s">
        <v>109</v>
      </c>
      <c r="D321" s="13" t="s">
        <v>108</v>
      </c>
      <c r="E321" s="15" t="n">
        <v>768770</v>
      </c>
      <c r="F321" s="15" t="n">
        <v>145850</v>
      </c>
      <c r="G321" s="15" t="n">
        <v>64790</v>
      </c>
      <c r="H321" s="15" t="n">
        <v>95080</v>
      </c>
      <c r="I321" s="15" t="n">
        <v>40130</v>
      </c>
      <c r="J321" s="14" t="n">
        <f aca="false">SUM(E321:I321)</f>
        <v>1114620</v>
      </c>
      <c r="K321" s="18" t="n">
        <v>113</v>
      </c>
      <c r="L321" s="15" t="n">
        <v>14710</v>
      </c>
      <c r="M321" s="13" t="s">
        <v>103</v>
      </c>
      <c r="N321" s="15" t="n">
        <v>0</v>
      </c>
      <c r="O321" s="15" t="n">
        <v>20000</v>
      </c>
      <c r="P321" s="14" t="n">
        <f aca="false">IF(O321="","",O321+E321-L321-N321)</f>
        <v>774060</v>
      </c>
      <c r="Q321" s="15" t="n">
        <v>774060</v>
      </c>
      <c r="R321" s="14" t="n">
        <f aca="false">IF(OR(Q321="",P321=""),"",Q321-P321)</f>
        <v>0</v>
      </c>
      <c r="S321" s="19" t="str">
        <f aca="false">IF(R321="","",IF(ABS(R321)&lt;=Léeme!$B$12,"Cuadra",IF(R321&lt;0,"Faltante","Sobrante")))</f>
        <v>Cuadra</v>
      </c>
      <c r="T321" s="13" t="s">
        <v>101</v>
      </c>
    </row>
    <row r="322" customFormat="false" ht="15" hidden="false" customHeight="false" outlineLevel="0" collapsed="false">
      <c r="A322" s="17" t="n">
        <v>45846</v>
      </c>
      <c r="B322" s="13" t="s">
        <v>27</v>
      </c>
      <c r="C322" s="13" t="s">
        <v>110</v>
      </c>
      <c r="D322" s="13" t="s">
        <v>108</v>
      </c>
      <c r="E322" s="15" t="n">
        <v>376720</v>
      </c>
      <c r="F322" s="15" t="n">
        <v>76730</v>
      </c>
      <c r="G322" s="15" t="n">
        <v>31860</v>
      </c>
      <c r="H322" s="15" t="n">
        <v>50850</v>
      </c>
      <c r="I322" s="15" t="n">
        <v>19740</v>
      </c>
      <c r="J322" s="14" t="n">
        <f aca="false">SUM(E322:I322)</f>
        <v>555900</v>
      </c>
      <c r="K322" s="18" t="n">
        <v>51</v>
      </c>
      <c r="L322" s="15" t="n">
        <v>0</v>
      </c>
      <c r="M322" s="13"/>
      <c r="N322" s="15" t="n">
        <v>0</v>
      </c>
      <c r="O322" s="15" t="n">
        <v>20000</v>
      </c>
      <c r="P322" s="14" t="n">
        <f aca="false">IF(O322="","",O322+E322-L322-N322)</f>
        <v>396720</v>
      </c>
      <c r="Q322" s="15" t="n">
        <v>396300</v>
      </c>
      <c r="R322" s="14" t="n">
        <f aca="false">IF(OR(Q322="",P322=""),"",Q322-P322)</f>
        <v>-420</v>
      </c>
      <c r="S322" s="19" t="str">
        <f aca="false">IF(R322="","",IF(ABS(R322)&lt;=Léeme!$B$12,"Cuadra",IF(R322&lt;0,"Faltante","Sobrante")))</f>
        <v>Cuadra</v>
      </c>
      <c r="T322" s="13" t="s">
        <v>101</v>
      </c>
    </row>
    <row r="323" customFormat="false" ht="15" hidden="false" customHeight="false" outlineLevel="0" collapsed="false">
      <c r="A323" s="17" t="n">
        <v>45846</v>
      </c>
      <c r="B323" s="13" t="s">
        <v>28</v>
      </c>
      <c r="C323" s="13" t="s">
        <v>111</v>
      </c>
      <c r="D323" s="13" t="s">
        <v>108</v>
      </c>
      <c r="E323" s="15" t="n">
        <v>291410</v>
      </c>
      <c r="F323" s="15" t="n">
        <v>50940</v>
      </c>
      <c r="G323" s="15" t="n">
        <v>25160</v>
      </c>
      <c r="H323" s="15" t="n">
        <v>36170</v>
      </c>
      <c r="I323" s="15" t="n">
        <v>15260</v>
      </c>
      <c r="J323" s="14" t="n">
        <f aca="false">SUM(E323:I323)</f>
        <v>418940</v>
      </c>
      <c r="K323" s="18" t="n">
        <v>38</v>
      </c>
      <c r="L323" s="15" t="n">
        <v>0</v>
      </c>
      <c r="M323" s="13"/>
      <c r="N323" s="15" t="n">
        <v>245000</v>
      </c>
      <c r="O323" s="15" t="n">
        <v>20000</v>
      </c>
      <c r="P323" s="14" t="n">
        <f aca="false">IF(O323="","",O323+E323-L323-N323)</f>
        <v>66410</v>
      </c>
      <c r="Q323" s="15" t="n">
        <v>66320</v>
      </c>
      <c r="R323" s="14" t="n">
        <f aca="false">IF(OR(Q323="",P323=""),"",Q323-P323)</f>
        <v>-90</v>
      </c>
      <c r="S323" s="19" t="str">
        <f aca="false">IF(R323="","",IF(ABS(R323)&lt;=Léeme!$B$12,"Cuadra",IF(R323&lt;0,"Faltante","Sobrante")))</f>
        <v>Cuadra</v>
      </c>
      <c r="T323" s="13" t="s">
        <v>101</v>
      </c>
    </row>
    <row r="324" customFormat="false" ht="15" hidden="false" customHeight="false" outlineLevel="0" collapsed="false">
      <c r="A324" s="17" t="n">
        <v>45847</v>
      </c>
      <c r="B324" s="13" t="s">
        <v>27</v>
      </c>
      <c r="C324" s="13" t="s">
        <v>110</v>
      </c>
      <c r="D324" s="13" t="s">
        <v>108</v>
      </c>
      <c r="E324" s="15" t="n">
        <v>340310</v>
      </c>
      <c r="F324" s="15" t="n">
        <v>62260</v>
      </c>
      <c r="G324" s="15" t="n">
        <v>26730</v>
      </c>
      <c r="H324" s="15" t="n">
        <v>43860</v>
      </c>
      <c r="I324" s="15" t="n">
        <v>19140</v>
      </c>
      <c r="J324" s="14" t="n">
        <f aca="false">SUM(E324:I324)</f>
        <v>492300</v>
      </c>
      <c r="K324" s="18" t="n">
        <v>46</v>
      </c>
      <c r="L324" s="15" t="n">
        <v>5570</v>
      </c>
      <c r="M324" s="13" t="s">
        <v>105</v>
      </c>
      <c r="N324" s="15" t="n">
        <v>0</v>
      </c>
      <c r="O324" s="15" t="n">
        <v>20000</v>
      </c>
      <c r="P324" s="14" t="n">
        <f aca="false">IF(O324="","",O324+E324-L324-N324)</f>
        <v>354740</v>
      </c>
      <c r="Q324" s="15" t="n">
        <v>355070</v>
      </c>
      <c r="R324" s="14" t="n">
        <f aca="false">IF(OR(Q324="",P324=""),"",Q324-P324)</f>
        <v>330</v>
      </c>
      <c r="S324" s="19" t="str">
        <f aca="false">IF(R324="","",IF(ABS(R324)&lt;=Léeme!$B$12,"Cuadra",IF(R324&lt;0,"Faltante","Sobrante")))</f>
        <v>Cuadra</v>
      </c>
      <c r="T324" s="13" t="s">
        <v>101</v>
      </c>
    </row>
    <row r="325" customFormat="false" ht="15" hidden="false" customHeight="false" outlineLevel="0" collapsed="false">
      <c r="A325" s="17" t="n">
        <v>45847</v>
      </c>
      <c r="B325" s="13" t="s">
        <v>28</v>
      </c>
      <c r="C325" s="13" t="s">
        <v>111</v>
      </c>
      <c r="D325" s="13" t="s">
        <v>108</v>
      </c>
      <c r="E325" s="15" t="n">
        <v>270970</v>
      </c>
      <c r="F325" s="15" t="n">
        <v>53310</v>
      </c>
      <c r="G325" s="15" t="n">
        <v>20720</v>
      </c>
      <c r="H325" s="15" t="n">
        <v>31410</v>
      </c>
      <c r="I325" s="15" t="n">
        <v>11560</v>
      </c>
      <c r="J325" s="14" t="n">
        <f aca="false">SUM(E325:I325)</f>
        <v>387970</v>
      </c>
      <c r="K325" s="18" t="n">
        <v>40</v>
      </c>
      <c r="L325" s="15" t="n">
        <v>0</v>
      </c>
      <c r="M325" s="13"/>
      <c r="N325" s="15" t="n">
        <v>165000</v>
      </c>
      <c r="O325" s="15" t="n">
        <v>20000</v>
      </c>
      <c r="P325" s="14" t="n">
        <f aca="false">IF(O325="","",O325+E325-L325-N325)</f>
        <v>125970</v>
      </c>
      <c r="Q325" s="15" t="n">
        <v>126480</v>
      </c>
      <c r="R325" s="14" t="n">
        <f aca="false">IF(OR(Q325="",P325=""),"",Q325-P325)</f>
        <v>510</v>
      </c>
      <c r="S325" s="19" t="str">
        <f aca="false">IF(R325="","",IF(ABS(R325)&lt;=Léeme!$B$12,"Cuadra",IF(R325&lt;0,"Faltante","Sobrante")))</f>
        <v>Sobrante</v>
      </c>
      <c r="T325" s="13" t="s">
        <v>101</v>
      </c>
    </row>
    <row r="326" customFormat="false" ht="15" hidden="false" customHeight="false" outlineLevel="0" collapsed="false">
      <c r="A326" s="17" t="n">
        <v>45848</v>
      </c>
      <c r="B326" s="13" t="s">
        <v>27</v>
      </c>
      <c r="C326" s="13" t="s">
        <v>110</v>
      </c>
      <c r="D326" s="13" t="s">
        <v>108</v>
      </c>
      <c r="E326" s="15" t="n">
        <v>350280</v>
      </c>
      <c r="F326" s="15" t="n">
        <v>65140</v>
      </c>
      <c r="G326" s="15" t="n">
        <v>30670</v>
      </c>
      <c r="H326" s="15" t="n">
        <v>40360</v>
      </c>
      <c r="I326" s="15" t="n">
        <v>18320</v>
      </c>
      <c r="J326" s="14" t="n">
        <f aca="false">SUM(E326:I326)</f>
        <v>504770</v>
      </c>
      <c r="K326" s="18" t="n">
        <v>50</v>
      </c>
      <c r="L326" s="15" t="n">
        <v>27350</v>
      </c>
      <c r="M326" s="13" t="s">
        <v>103</v>
      </c>
      <c r="N326" s="15" t="n">
        <v>269000</v>
      </c>
      <c r="O326" s="15" t="n">
        <v>20000</v>
      </c>
      <c r="P326" s="14" t="n">
        <f aca="false">IF(O326="","",O326+E326-L326-N326)</f>
        <v>73930</v>
      </c>
      <c r="Q326" s="15" t="n">
        <v>74430</v>
      </c>
      <c r="R326" s="14" t="n">
        <f aca="false">IF(OR(Q326="",P326=""),"",Q326-P326)</f>
        <v>500</v>
      </c>
      <c r="S326" s="19" t="str">
        <f aca="false">IF(R326="","",IF(ABS(R326)&lt;=Léeme!$B$12,"Cuadra",IF(R326&lt;0,"Faltante","Sobrante")))</f>
        <v>Cuadra</v>
      </c>
      <c r="T326" s="13" t="s">
        <v>101</v>
      </c>
    </row>
    <row r="327" customFormat="false" ht="15" hidden="false" customHeight="false" outlineLevel="0" collapsed="false">
      <c r="A327" s="17" t="n">
        <v>45848</v>
      </c>
      <c r="B327" s="13" t="s">
        <v>28</v>
      </c>
      <c r="C327" s="13" t="s">
        <v>111</v>
      </c>
      <c r="D327" s="13" t="s">
        <v>108</v>
      </c>
      <c r="E327" s="15" t="n">
        <v>271150</v>
      </c>
      <c r="F327" s="15" t="n">
        <v>51920</v>
      </c>
      <c r="G327" s="15" t="n">
        <v>19580</v>
      </c>
      <c r="H327" s="15" t="n">
        <v>31980</v>
      </c>
      <c r="I327" s="15" t="n">
        <v>13850</v>
      </c>
      <c r="J327" s="14" t="n">
        <f aca="false">SUM(E327:I327)</f>
        <v>388480</v>
      </c>
      <c r="K327" s="18" t="n">
        <v>36</v>
      </c>
      <c r="L327" s="15" t="n">
        <v>0</v>
      </c>
      <c r="M327" s="13"/>
      <c r="N327" s="15" t="n">
        <v>0</v>
      </c>
      <c r="O327" s="15" t="n">
        <v>20000</v>
      </c>
      <c r="P327" s="14" t="n">
        <f aca="false">IF(O327="","",O327+E327-L327-N327)</f>
        <v>291150</v>
      </c>
      <c r="Q327" s="15" t="n">
        <v>291150</v>
      </c>
      <c r="R327" s="14" t="n">
        <f aca="false">IF(OR(Q327="",P327=""),"",Q327-P327)</f>
        <v>0</v>
      </c>
      <c r="S327" s="19" t="str">
        <f aca="false">IF(R327="","",IF(ABS(R327)&lt;=Léeme!$B$12,"Cuadra",IF(R327&lt;0,"Faltante","Sobrante")))</f>
        <v>Cuadra</v>
      </c>
      <c r="T327" s="13" t="s">
        <v>101</v>
      </c>
    </row>
    <row r="328" customFormat="false" ht="15" hidden="false" customHeight="false" outlineLevel="0" collapsed="false">
      <c r="A328" s="17" t="n">
        <v>45849</v>
      </c>
      <c r="B328" s="13" t="s">
        <v>27</v>
      </c>
      <c r="C328" s="13" t="s">
        <v>110</v>
      </c>
      <c r="D328" s="13" t="s">
        <v>108</v>
      </c>
      <c r="E328" s="15" t="n">
        <v>390530</v>
      </c>
      <c r="F328" s="15" t="n">
        <v>66280</v>
      </c>
      <c r="G328" s="15" t="n">
        <v>27620</v>
      </c>
      <c r="H328" s="15" t="n">
        <v>46670</v>
      </c>
      <c r="I328" s="15" t="n">
        <v>18310</v>
      </c>
      <c r="J328" s="14" t="n">
        <f aca="false">SUM(E328:I328)</f>
        <v>549410</v>
      </c>
      <c r="K328" s="18" t="n">
        <v>54</v>
      </c>
      <c r="L328" s="15" t="n">
        <v>20330</v>
      </c>
      <c r="M328" s="13" t="s">
        <v>103</v>
      </c>
      <c r="N328" s="15" t="n">
        <v>0</v>
      </c>
      <c r="O328" s="15" t="n">
        <v>20000</v>
      </c>
      <c r="P328" s="14" t="n">
        <f aca="false">IF(O328="","",O328+E328-L328-N328)</f>
        <v>390200</v>
      </c>
      <c r="Q328" s="15" t="n">
        <v>390200</v>
      </c>
      <c r="R328" s="14" t="n">
        <f aca="false">IF(OR(Q328="",P328=""),"",Q328-P328)</f>
        <v>0</v>
      </c>
      <c r="S328" s="19" t="str">
        <f aca="false">IF(R328="","",IF(ABS(R328)&lt;=Léeme!$B$12,"Cuadra",IF(R328&lt;0,"Faltante","Sobrante")))</f>
        <v>Cuadra</v>
      </c>
      <c r="T328" s="13" t="s">
        <v>101</v>
      </c>
    </row>
    <row r="329" customFormat="false" ht="15" hidden="false" customHeight="false" outlineLevel="0" collapsed="false">
      <c r="A329" s="17" t="n">
        <v>45849</v>
      </c>
      <c r="B329" s="13" t="s">
        <v>28</v>
      </c>
      <c r="C329" s="13" t="s">
        <v>111</v>
      </c>
      <c r="D329" s="13" t="s">
        <v>108</v>
      </c>
      <c r="E329" s="15" t="n">
        <v>302460</v>
      </c>
      <c r="F329" s="15" t="n">
        <v>58710</v>
      </c>
      <c r="G329" s="15" t="n">
        <v>23860</v>
      </c>
      <c r="H329" s="15" t="n">
        <v>35960</v>
      </c>
      <c r="I329" s="15" t="n">
        <v>14460</v>
      </c>
      <c r="J329" s="14" t="n">
        <f aca="false">SUM(E329:I329)</f>
        <v>435450</v>
      </c>
      <c r="K329" s="18" t="n">
        <v>41</v>
      </c>
      <c r="L329" s="15" t="n">
        <v>10330</v>
      </c>
      <c r="M329" s="13" t="s">
        <v>103</v>
      </c>
      <c r="N329" s="15" t="n">
        <v>0</v>
      </c>
      <c r="O329" s="15" t="n">
        <v>20000</v>
      </c>
      <c r="P329" s="14" t="n">
        <f aca="false">IF(O329="","",O329+E329-L329-N329)</f>
        <v>312130</v>
      </c>
      <c r="Q329" s="15" t="n">
        <v>315090</v>
      </c>
      <c r="R329" s="14" t="n">
        <f aca="false">IF(OR(Q329="",P329=""),"",Q329-P329)</f>
        <v>2960</v>
      </c>
      <c r="S329" s="19" t="str">
        <f aca="false">IF(R329="","",IF(ABS(R329)&lt;=Léeme!$B$12,"Cuadra",IF(R329&lt;0,"Faltante","Sobrante")))</f>
        <v>Sobrante</v>
      </c>
      <c r="T329" s="13" t="s">
        <v>101</v>
      </c>
    </row>
    <row r="330" customFormat="false" ht="15" hidden="false" customHeight="false" outlineLevel="0" collapsed="false">
      <c r="A330" s="17" t="n">
        <v>45850</v>
      </c>
      <c r="B330" s="13" t="s">
        <v>27</v>
      </c>
      <c r="C330" s="13" t="s">
        <v>107</v>
      </c>
      <c r="D330" s="13" t="s">
        <v>108</v>
      </c>
      <c r="E330" s="15" t="n">
        <v>612600</v>
      </c>
      <c r="F330" s="15" t="n">
        <v>118230</v>
      </c>
      <c r="G330" s="15" t="n">
        <v>49390</v>
      </c>
      <c r="H330" s="15" t="n">
        <v>81630</v>
      </c>
      <c r="I330" s="15" t="n">
        <v>27960</v>
      </c>
      <c r="J330" s="14" t="n">
        <f aca="false">SUM(E330:I330)</f>
        <v>889810</v>
      </c>
      <c r="K330" s="18" t="n">
        <v>85</v>
      </c>
      <c r="L330" s="15" t="n">
        <v>0</v>
      </c>
      <c r="M330" s="13"/>
      <c r="N330" s="15" t="n">
        <v>332000</v>
      </c>
      <c r="O330" s="15" t="n">
        <v>20000</v>
      </c>
      <c r="P330" s="14" t="n">
        <f aca="false">IF(O330="","",O330+E330-L330-N330)</f>
        <v>300600</v>
      </c>
      <c r="Q330" s="15" t="n">
        <v>297500</v>
      </c>
      <c r="R330" s="14" t="n">
        <f aca="false">IF(OR(Q330="",P330=""),"",Q330-P330)</f>
        <v>-3100</v>
      </c>
      <c r="S330" s="19" t="str">
        <f aca="false">IF(R330="","",IF(ABS(R330)&lt;=Léeme!$B$12,"Cuadra",IF(R330&lt;0,"Faltante","Sobrante")))</f>
        <v>Faltante</v>
      </c>
      <c r="T330" s="13" t="s">
        <v>101</v>
      </c>
    </row>
    <row r="331" customFormat="false" ht="15" hidden="false" customHeight="false" outlineLevel="0" collapsed="false">
      <c r="A331" s="17" t="n">
        <v>45850</v>
      </c>
      <c r="B331" s="13" t="s">
        <v>28</v>
      </c>
      <c r="C331" s="13" t="s">
        <v>109</v>
      </c>
      <c r="D331" s="13" t="s">
        <v>108</v>
      </c>
      <c r="E331" s="15" t="n">
        <v>445870</v>
      </c>
      <c r="F331" s="15" t="n">
        <v>82070</v>
      </c>
      <c r="G331" s="15" t="n">
        <v>34210</v>
      </c>
      <c r="H331" s="15" t="n">
        <v>52550</v>
      </c>
      <c r="I331" s="15" t="n">
        <v>22660</v>
      </c>
      <c r="J331" s="14" t="n">
        <f aca="false">SUM(E331:I331)</f>
        <v>637360</v>
      </c>
      <c r="K331" s="18" t="n">
        <v>59</v>
      </c>
      <c r="L331" s="15" t="n">
        <v>4810</v>
      </c>
      <c r="M331" s="13" t="s">
        <v>105</v>
      </c>
      <c r="N331" s="15" t="n">
        <v>250000</v>
      </c>
      <c r="O331" s="15" t="n">
        <v>20000</v>
      </c>
      <c r="P331" s="14" t="n">
        <f aca="false">IF(O331="","",O331+E331-L331-N331)</f>
        <v>211060</v>
      </c>
      <c r="Q331" s="15" t="n">
        <v>211060</v>
      </c>
      <c r="R331" s="14" t="n">
        <f aca="false">IF(OR(Q331="",P331=""),"",Q331-P331)</f>
        <v>0</v>
      </c>
      <c r="S331" s="19" t="str">
        <f aca="false">IF(R331="","",IF(ABS(R331)&lt;=Léeme!$B$12,"Cuadra",IF(R331&lt;0,"Faltante","Sobrante")))</f>
        <v>Cuadra</v>
      </c>
      <c r="T331" s="13" t="s">
        <v>101</v>
      </c>
    </row>
    <row r="332" customFormat="false" ht="15" hidden="false" customHeight="false" outlineLevel="0" collapsed="false">
      <c r="A332" s="17" t="n">
        <v>45851</v>
      </c>
      <c r="B332" s="13" t="s">
        <v>27</v>
      </c>
      <c r="C332" s="13" t="s">
        <v>107</v>
      </c>
      <c r="D332" s="13" t="s">
        <v>108</v>
      </c>
      <c r="E332" s="15" t="n">
        <v>979750</v>
      </c>
      <c r="F332" s="15" t="n">
        <v>187420</v>
      </c>
      <c r="G332" s="15" t="n">
        <v>74300</v>
      </c>
      <c r="H332" s="15" t="n">
        <v>103330</v>
      </c>
      <c r="I332" s="15" t="n">
        <v>44390</v>
      </c>
      <c r="J332" s="14" t="n">
        <f aca="false">SUM(E332:I332)</f>
        <v>1389190</v>
      </c>
      <c r="K332" s="18" t="n">
        <v>131</v>
      </c>
      <c r="L332" s="15" t="n">
        <v>0</v>
      </c>
      <c r="M332" s="13"/>
      <c r="N332" s="15" t="n">
        <v>780000</v>
      </c>
      <c r="O332" s="15" t="n">
        <v>20000</v>
      </c>
      <c r="P332" s="14" t="n">
        <f aca="false">IF(O332="","",O332+E332-L332-N332)</f>
        <v>219750</v>
      </c>
      <c r="Q332" s="15" t="n">
        <v>215350</v>
      </c>
      <c r="R332" s="14" t="n">
        <f aca="false">IF(OR(Q332="",P332=""),"",Q332-P332)</f>
        <v>-4400</v>
      </c>
      <c r="S332" s="19" t="str">
        <f aca="false">IF(R332="","",IF(ABS(R332)&lt;=Léeme!$B$12,"Cuadra",IF(R332&lt;0,"Faltante","Sobrante")))</f>
        <v>Faltante</v>
      </c>
      <c r="T332" s="13" t="s">
        <v>101</v>
      </c>
    </row>
    <row r="333" customFormat="false" ht="15" hidden="false" customHeight="false" outlineLevel="0" collapsed="false">
      <c r="A333" s="17" t="n">
        <v>45851</v>
      </c>
      <c r="B333" s="13" t="s">
        <v>28</v>
      </c>
      <c r="C333" s="13" t="s">
        <v>109</v>
      </c>
      <c r="D333" s="13" t="s">
        <v>108</v>
      </c>
      <c r="E333" s="15" t="n">
        <v>747850</v>
      </c>
      <c r="F333" s="15" t="n">
        <v>139660</v>
      </c>
      <c r="G333" s="15" t="n">
        <v>59880</v>
      </c>
      <c r="H333" s="15" t="n">
        <v>99010</v>
      </c>
      <c r="I333" s="15" t="n">
        <v>38180</v>
      </c>
      <c r="J333" s="14" t="n">
        <f aca="false">SUM(E333:I333)</f>
        <v>1084580</v>
      </c>
      <c r="K333" s="18" t="n">
        <v>114</v>
      </c>
      <c r="L333" s="15" t="n">
        <v>0</v>
      </c>
      <c r="M333" s="13"/>
      <c r="N333" s="15" t="n">
        <v>407000</v>
      </c>
      <c r="O333" s="15" t="n">
        <v>20000</v>
      </c>
      <c r="P333" s="14" t="n">
        <f aca="false">IF(O333="","",O333+E333-L333-N333)</f>
        <v>360850</v>
      </c>
      <c r="Q333" s="15" t="n">
        <v>360850</v>
      </c>
      <c r="R333" s="14" t="n">
        <f aca="false">IF(OR(Q333="",P333=""),"",Q333-P333)</f>
        <v>0</v>
      </c>
      <c r="S333" s="19" t="str">
        <f aca="false">IF(R333="","",IF(ABS(R333)&lt;=Léeme!$B$12,"Cuadra",IF(R333&lt;0,"Faltante","Sobrante")))</f>
        <v>Cuadra</v>
      </c>
      <c r="T333" s="13" t="s">
        <v>101</v>
      </c>
    </row>
    <row r="334" customFormat="false" ht="15" hidden="false" customHeight="false" outlineLevel="0" collapsed="false">
      <c r="A334" s="17" t="n">
        <v>45853</v>
      </c>
      <c r="B334" s="13" t="s">
        <v>27</v>
      </c>
      <c r="C334" s="13" t="s">
        <v>110</v>
      </c>
      <c r="D334" s="13" t="s">
        <v>108</v>
      </c>
      <c r="E334" s="15" t="n">
        <v>367680</v>
      </c>
      <c r="F334" s="15" t="n">
        <v>57770</v>
      </c>
      <c r="G334" s="15" t="n">
        <v>27050</v>
      </c>
      <c r="H334" s="15" t="n">
        <v>43350</v>
      </c>
      <c r="I334" s="15" t="n">
        <v>15450</v>
      </c>
      <c r="J334" s="14" t="n">
        <f aca="false">SUM(E334:I334)</f>
        <v>511300</v>
      </c>
      <c r="K334" s="18" t="n">
        <v>49</v>
      </c>
      <c r="L334" s="15" t="n">
        <v>3670</v>
      </c>
      <c r="M334" s="13" t="s">
        <v>104</v>
      </c>
      <c r="N334" s="15" t="n">
        <v>0</v>
      </c>
      <c r="O334" s="15" t="n">
        <v>20000</v>
      </c>
      <c r="P334" s="14" t="n">
        <f aca="false">IF(O334="","",O334+E334-L334-N334)</f>
        <v>384010</v>
      </c>
      <c r="Q334" s="15" t="n">
        <v>384010</v>
      </c>
      <c r="R334" s="14" t="n">
        <f aca="false">IF(OR(Q334="",P334=""),"",Q334-P334)</f>
        <v>0</v>
      </c>
      <c r="S334" s="19" t="str">
        <f aca="false">IF(R334="","",IF(ABS(R334)&lt;=Léeme!$B$12,"Cuadra",IF(R334&lt;0,"Faltante","Sobrante")))</f>
        <v>Cuadra</v>
      </c>
      <c r="T334" s="13" t="s">
        <v>101</v>
      </c>
    </row>
    <row r="335" customFormat="false" ht="15" hidden="false" customHeight="false" outlineLevel="0" collapsed="false">
      <c r="A335" s="17" t="n">
        <v>45853</v>
      </c>
      <c r="B335" s="13" t="s">
        <v>28</v>
      </c>
      <c r="C335" s="13" t="s">
        <v>111</v>
      </c>
      <c r="D335" s="13" t="s">
        <v>108</v>
      </c>
      <c r="E335" s="15" t="n">
        <v>305140</v>
      </c>
      <c r="F335" s="15" t="n">
        <v>50530</v>
      </c>
      <c r="G335" s="15" t="n">
        <v>24550</v>
      </c>
      <c r="H335" s="15" t="n">
        <v>35740</v>
      </c>
      <c r="I335" s="15" t="n">
        <v>16020</v>
      </c>
      <c r="J335" s="14" t="n">
        <f aca="false">SUM(E335:I335)</f>
        <v>431980</v>
      </c>
      <c r="K335" s="18" t="n">
        <v>42</v>
      </c>
      <c r="L335" s="15" t="n">
        <v>0</v>
      </c>
      <c r="M335" s="13"/>
      <c r="N335" s="15" t="n">
        <v>0</v>
      </c>
      <c r="O335" s="15" t="n">
        <v>20000</v>
      </c>
      <c r="P335" s="14" t="n">
        <f aca="false">IF(O335="","",O335+E335-L335-N335)</f>
        <v>325140</v>
      </c>
      <c r="Q335" s="15" t="n">
        <v>325140</v>
      </c>
      <c r="R335" s="14" t="n">
        <f aca="false">IF(OR(Q335="",P335=""),"",Q335-P335)</f>
        <v>0</v>
      </c>
      <c r="S335" s="19" t="str">
        <f aca="false">IF(R335="","",IF(ABS(R335)&lt;=Léeme!$B$12,"Cuadra",IF(R335&lt;0,"Faltante","Sobrante")))</f>
        <v>Cuadra</v>
      </c>
      <c r="T335" s="13" t="s">
        <v>101</v>
      </c>
    </row>
    <row r="336" customFormat="false" ht="15" hidden="false" customHeight="false" outlineLevel="0" collapsed="false">
      <c r="A336" s="17" t="n">
        <v>45854</v>
      </c>
      <c r="B336" s="13" t="s">
        <v>27</v>
      </c>
      <c r="C336" s="13" t="s">
        <v>110</v>
      </c>
      <c r="D336" s="13" t="s">
        <v>108</v>
      </c>
      <c r="E336" s="15" t="n">
        <v>380800</v>
      </c>
      <c r="F336" s="15" t="n">
        <v>65000</v>
      </c>
      <c r="G336" s="15" t="n">
        <v>28250</v>
      </c>
      <c r="H336" s="15" t="n">
        <v>41310</v>
      </c>
      <c r="I336" s="15" t="n">
        <v>18630</v>
      </c>
      <c r="J336" s="14" t="n">
        <f aca="false">SUM(E336:I336)</f>
        <v>533990</v>
      </c>
      <c r="K336" s="18" t="n">
        <v>54</v>
      </c>
      <c r="L336" s="15" t="n">
        <v>0</v>
      </c>
      <c r="M336" s="13"/>
      <c r="N336" s="15" t="n">
        <v>203000</v>
      </c>
      <c r="O336" s="15" t="n">
        <v>20000</v>
      </c>
      <c r="P336" s="14" t="n">
        <f aca="false">IF(O336="","",O336+E336-L336-N336)</f>
        <v>197800</v>
      </c>
      <c r="Q336" s="15" t="n">
        <v>194810</v>
      </c>
      <c r="R336" s="14" t="n">
        <f aca="false">IF(OR(Q336="",P336=""),"",Q336-P336)</f>
        <v>-2990</v>
      </c>
      <c r="S336" s="19" t="str">
        <f aca="false">IF(R336="","",IF(ABS(R336)&lt;=Léeme!$B$12,"Cuadra",IF(R336&lt;0,"Faltante","Sobrante")))</f>
        <v>Faltante</v>
      </c>
      <c r="T336" s="13" t="s">
        <v>101</v>
      </c>
    </row>
    <row r="337" customFormat="false" ht="15" hidden="false" customHeight="false" outlineLevel="0" collapsed="false">
      <c r="A337" s="17" t="n">
        <v>45854</v>
      </c>
      <c r="B337" s="13" t="s">
        <v>28</v>
      </c>
      <c r="C337" s="13" t="s">
        <v>111</v>
      </c>
      <c r="D337" s="13" t="s">
        <v>108</v>
      </c>
      <c r="E337" s="15" t="n">
        <v>296600</v>
      </c>
      <c r="F337" s="15" t="n">
        <v>53300</v>
      </c>
      <c r="G337" s="15" t="n">
        <v>20790</v>
      </c>
      <c r="H337" s="15" t="n">
        <v>35680</v>
      </c>
      <c r="I337" s="15" t="n">
        <v>12770</v>
      </c>
      <c r="J337" s="14" t="n">
        <f aca="false">SUM(E337:I337)</f>
        <v>419140</v>
      </c>
      <c r="K337" s="18" t="n">
        <v>40</v>
      </c>
      <c r="L337" s="15" t="n">
        <v>0</v>
      </c>
      <c r="M337" s="13"/>
      <c r="N337" s="15" t="n">
        <v>0</v>
      </c>
      <c r="O337" s="15" t="n">
        <v>20000</v>
      </c>
      <c r="P337" s="14" t="n">
        <f aca="false">IF(O337="","",O337+E337-L337-N337)</f>
        <v>316600</v>
      </c>
      <c r="Q337" s="15" t="n">
        <v>316070</v>
      </c>
      <c r="R337" s="14" t="n">
        <f aca="false">IF(OR(Q337="",P337=""),"",Q337-P337)</f>
        <v>-530</v>
      </c>
      <c r="S337" s="19" t="str">
        <f aca="false">IF(R337="","",IF(ABS(R337)&lt;=Léeme!$B$12,"Cuadra",IF(R337&lt;0,"Faltante","Sobrante")))</f>
        <v>Faltante</v>
      </c>
      <c r="T337" s="13" t="s">
        <v>101</v>
      </c>
    </row>
    <row r="338" customFormat="false" ht="15" hidden="false" customHeight="false" outlineLevel="0" collapsed="false">
      <c r="A338" s="17" t="n">
        <v>45855</v>
      </c>
      <c r="B338" s="13" t="s">
        <v>27</v>
      </c>
      <c r="C338" s="13" t="s">
        <v>110</v>
      </c>
      <c r="D338" s="13" t="s">
        <v>108</v>
      </c>
      <c r="E338" s="15" t="n">
        <v>335830</v>
      </c>
      <c r="F338" s="15" t="n">
        <v>60570</v>
      </c>
      <c r="G338" s="15" t="n">
        <v>25520</v>
      </c>
      <c r="H338" s="15" t="n">
        <v>35480</v>
      </c>
      <c r="I338" s="15" t="n">
        <v>16480</v>
      </c>
      <c r="J338" s="14" t="n">
        <f aca="false">SUM(E338:I338)</f>
        <v>473880</v>
      </c>
      <c r="K338" s="18" t="n">
        <v>47</v>
      </c>
      <c r="L338" s="15" t="n">
        <v>0</v>
      </c>
      <c r="M338" s="13"/>
      <c r="N338" s="15" t="n">
        <v>0</v>
      </c>
      <c r="O338" s="15" t="n">
        <v>20000</v>
      </c>
      <c r="P338" s="14" t="n">
        <f aca="false">IF(O338="","",O338+E338-L338-N338)</f>
        <v>355830</v>
      </c>
      <c r="Q338" s="15" t="n">
        <v>355830</v>
      </c>
      <c r="R338" s="14" t="n">
        <f aca="false">IF(OR(Q338="",P338=""),"",Q338-P338)</f>
        <v>0</v>
      </c>
      <c r="S338" s="19" t="str">
        <f aca="false">IF(R338="","",IF(ABS(R338)&lt;=Léeme!$B$12,"Cuadra",IF(R338&lt;0,"Faltante","Sobrante")))</f>
        <v>Cuadra</v>
      </c>
      <c r="T338" s="13" t="s">
        <v>101</v>
      </c>
    </row>
    <row r="339" customFormat="false" ht="15" hidden="false" customHeight="false" outlineLevel="0" collapsed="false">
      <c r="A339" s="17" t="n">
        <v>45855</v>
      </c>
      <c r="B339" s="13" t="s">
        <v>28</v>
      </c>
      <c r="C339" s="13" t="s">
        <v>111</v>
      </c>
      <c r="D339" s="13" t="s">
        <v>108</v>
      </c>
      <c r="E339" s="15" t="n">
        <v>278620</v>
      </c>
      <c r="F339" s="15" t="n">
        <v>46570</v>
      </c>
      <c r="G339" s="15" t="n">
        <v>20650</v>
      </c>
      <c r="H339" s="15" t="n">
        <v>33600</v>
      </c>
      <c r="I339" s="15" t="n">
        <v>14680</v>
      </c>
      <c r="J339" s="14" t="n">
        <f aca="false">SUM(E339:I339)</f>
        <v>394120</v>
      </c>
      <c r="K339" s="18" t="n">
        <v>36</v>
      </c>
      <c r="L339" s="15" t="n">
        <v>6620</v>
      </c>
      <c r="M339" s="13" t="s">
        <v>102</v>
      </c>
      <c r="N339" s="15" t="n">
        <v>0</v>
      </c>
      <c r="O339" s="15" t="n">
        <v>20000</v>
      </c>
      <c r="P339" s="14" t="n">
        <f aca="false">IF(O339="","",O339+E339-L339-N339)</f>
        <v>292000</v>
      </c>
      <c r="Q339" s="15" t="n">
        <v>292000</v>
      </c>
      <c r="R339" s="14" t="n">
        <f aca="false">IF(OR(Q339="",P339=""),"",Q339-P339)</f>
        <v>0</v>
      </c>
      <c r="S339" s="19" t="str">
        <f aca="false">IF(R339="","",IF(ABS(R339)&lt;=Léeme!$B$12,"Cuadra",IF(R339&lt;0,"Faltante","Sobrante")))</f>
        <v>Cuadra</v>
      </c>
      <c r="T339" s="13" t="s">
        <v>101</v>
      </c>
    </row>
    <row r="340" customFormat="false" ht="15" hidden="false" customHeight="false" outlineLevel="0" collapsed="false">
      <c r="A340" s="17" t="n">
        <v>45856</v>
      </c>
      <c r="B340" s="13" t="s">
        <v>27</v>
      </c>
      <c r="C340" s="13" t="s">
        <v>110</v>
      </c>
      <c r="D340" s="13" t="s">
        <v>108</v>
      </c>
      <c r="E340" s="15" t="n">
        <v>335810</v>
      </c>
      <c r="F340" s="15" t="n">
        <v>60050</v>
      </c>
      <c r="G340" s="15" t="n">
        <v>27530</v>
      </c>
      <c r="H340" s="15" t="n">
        <v>40550</v>
      </c>
      <c r="I340" s="15" t="n">
        <v>15760</v>
      </c>
      <c r="J340" s="14" t="n">
        <f aca="false">SUM(E340:I340)</f>
        <v>479700</v>
      </c>
      <c r="K340" s="18" t="n">
        <v>45</v>
      </c>
      <c r="L340" s="15" t="n">
        <v>0</v>
      </c>
      <c r="M340" s="13"/>
      <c r="N340" s="15" t="n">
        <v>276000</v>
      </c>
      <c r="O340" s="15" t="n">
        <v>20000</v>
      </c>
      <c r="P340" s="14" t="n">
        <f aca="false">IF(O340="","",O340+E340-L340-N340)</f>
        <v>79810</v>
      </c>
      <c r="Q340" s="15" t="n">
        <v>79810</v>
      </c>
      <c r="R340" s="14" t="n">
        <f aca="false">IF(OR(Q340="",P340=""),"",Q340-P340)</f>
        <v>0</v>
      </c>
      <c r="S340" s="19" t="str">
        <f aca="false">IF(R340="","",IF(ABS(R340)&lt;=Léeme!$B$12,"Cuadra",IF(R340&lt;0,"Faltante","Sobrante")))</f>
        <v>Cuadra</v>
      </c>
      <c r="T340" s="13" t="s">
        <v>101</v>
      </c>
    </row>
    <row r="341" customFormat="false" ht="15" hidden="false" customHeight="false" outlineLevel="0" collapsed="false">
      <c r="A341" s="17" t="n">
        <v>45856</v>
      </c>
      <c r="B341" s="13" t="s">
        <v>28</v>
      </c>
      <c r="C341" s="13" t="s">
        <v>111</v>
      </c>
      <c r="D341" s="13" t="s">
        <v>108</v>
      </c>
      <c r="E341" s="15" t="n">
        <v>250510</v>
      </c>
      <c r="F341" s="15" t="n">
        <v>46650</v>
      </c>
      <c r="G341" s="15" t="n">
        <v>18570</v>
      </c>
      <c r="H341" s="15" t="n">
        <v>29880</v>
      </c>
      <c r="I341" s="15" t="n">
        <v>11210</v>
      </c>
      <c r="J341" s="14" t="n">
        <f aca="false">SUM(E341:I341)</f>
        <v>356820</v>
      </c>
      <c r="K341" s="18" t="n">
        <v>38</v>
      </c>
      <c r="L341" s="15" t="n">
        <v>7730</v>
      </c>
      <c r="M341" s="13" t="s">
        <v>102</v>
      </c>
      <c r="N341" s="15" t="n">
        <v>143000</v>
      </c>
      <c r="O341" s="15" t="n">
        <v>20000</v>
      </c>
      <c r="P341" s="14" t="n">
        <f aca="false">IF(O341="","",O341+E341-L341-N341)</f>
        <v>119780</v>
      </c>
      <c r="Q341" s="15" t="n">
        <v>119780</v>
      </c>
      <c r="R341" s="14" t="n">
        <f aca="false">IF(OR(Q341="",P341=""),"",Q341-P341)</f>
        <v>0</v>
      </c>
      <c r="S341" s="19" t="str">
        <f aca="false">IF(R341="","",IF(ABS(R341)&lt;=Léeme!$B$12,"Cuadra",IF(R341&lt;0,"Faltante","Sobrante")))</f>
        <v>Cuadra</v>
      </c>
      <c r="T341" s="13" t="s">
        <v>101</v>
      </c>
    </row>
    <row r="342" customFormat="false" ht="15" hidden="false" customHeight="false" outlineLevel="0" collapsed="false">
      <c r="A342" s="17" t="n">
        <v>45857</v>
      </c>
      <c r="B342" s="13" t="s">
        <v>27</v>
      </c>
      <c r="C342" s="13" t="s">
        <v>107</v>
      </c>
      <c r="D342" s="13" t="s">
        <v>108</v>
      </c>
      <c r="E342" s="15" t="n">
        <v>502560</v>
      </c>
      <c r="F342" s="15" t="n">
        <v>100670</v>
      </c>
      <c r="G342" s="15" t="n">
        <v>43480</v>
      </c>
      <c r="H342" s="15" t="n">
        <v>66910</v>
      </c>
      <c r="I342" s="15" t="n">
        <v>28110</v>
      </c>
      <c r="J342" s="14" t="n">
        <f aca="false">SUM(E342:I342)</f>
        <v>741730</v>
      </c>
      <c r="K342" s="18" t="n">
        <v>68</v>
      </c>
      <c r="L342" s="15" t="n">
        <v>0</v>
      </c>
      <c r="M342" s="13"/>
      <c r="N342" s="15" t="n">
        <v>0</v>
      </c>
      <c r="O342" s="15" t="n">
        <v>20000</v>
      </c>
      <c r="P342" s="14" t="n">
        <f aca="false">IF(O342="","",O342+E342-L342-N342)</f>
        <v>522560</v>
      </c>
      <c r="Q342" s="15" t="n">
        <v>516960</v>
      </c>
      <c r="R342" s="14" t="n">
        <f aca="false">IF(OR(Q342="",P342=""),"",Q342-P342)</f>
        <v>-5600</v>
      </c>
      <c r="S342" s="19" t="str">
        <f aca="false">IF(R342="","",IF(ABS(R342)&lt;=Léeme!$B$12,"Cuadra",IF(R342&lt;0,"Faltante","Sobrante")))</f>
        <v>Faltante</v>
      </c>
      <c r="T342" s="13" t="s">
        <v>101</v>
      </c>
    </row>
    <row r="343" customFormat="false" ht="15" hidden="false" customHeight="false" outlineLevel="0" collapsed="false">
      <c r="A343" s="17" t="n">
        <v>45857</v>
      </c>
      <c r="B343" s="13" t="s">
        <v>28</v>
      </c>
      <c r="C343" s="13" t="s">
        <v>109</v>
      </c>
      <c r="D343" s="13" t="s">
        <v>108</v>
      </c>
      <c r="E343" s="15" t="n">
        <v>392950</v>
      </c>
      <c r="F343" s="15" t="n">
        <v>68060</v>
      </c>
      <c r="G343" s="15" t="n">
        <v>33050</v>
      </c>
      <c r="H343" s="15" t="n">
        <v>44390</v>
      </c>
      <c r="I343" s="15" t="n">
        <v>18020</v>
      </c>
      <c r="J343" s="14" t="n">
        <f aca="false">SUM(E343:I343)</f>
        <v>556470</v>
      </c>
      <c r="K343" s="18" t="n">
        <v>52</v>
      </c>
      <c r="L343" s="15" t="n">
        <v>0</v>
      </c>
      <c r="M343" s="13"/>
      <c r="N343" s="15" t="n">
        <v>0</v>
      </c>
      <c r="O343" s="15" t="n">
        <v>20000</v>
      </c>
      <c r="P343" s="14" t="n">
        <f aca="false">IF(O343="","",O343+E343-L343-N343)</f>
        <v>412950</v>
      </c>
      <c r="Q343" s="15" t="n">
        <v>413610</v>
      </c>
      <c r="R343" s="14" t="n">
        <f aca="false">IF(OR(Q343="",P343=""),"",Q343-P343)</f>
        <v>660</v>
      </c>
      <c r="S343" s="19" t="str">
        <f aca="false">IF(R343="","",IF(ABS(R343)&lt;=Léeme!$B$12,"Cuadra",IF(R343&lt;0,"Faltante","Sobrante")))</f>
        <v>Sobrante</v>
      </c>
      <c r="T343" s="13" t="s">
        <v>101</v>
      </c>
    </row>
    <row r="344" customFormat="false" ht="15" hidden="false" customHeight="false" outlineLevel="0" collapsed="false">
      <c r="A344" s="17" t="n">
        <v>45858</v>
      </c>
      <c r="B344" s="13" t="s">
        <v>27</v>
      </c>
      <c r="C344" s="13" t="s">
        <v>107</v>
      </c>
      <c r="D344" s="13" t="s">
        <v>108</v>
      </c>
      <c r="E344" s="15" t="n">
        <v>971490</v>
      </c>
      <c r="F344" s="15" t="n">
        <v>183440</v>
      </c>
      <c r="G344" s="15" t="n">
        <v>74980</v>
      </c>
      <c r="H344" s="15" t="n">
        <v>124810</v>
      </c>
      <c r="I344" s="15" t="n">
        <v>43420</v>
      </c>
      <c r="J344" s="14" t="n">
        <f aca="false">SUM(E344:I344)</f>
        <v>1398140</v>
      </c>
      <c r="K344" s="18" t="n">
        <v>138</v>
      </c>
      <c r="L344" s="15" t="n">
        <v>0</v>
      </c>
      <c r="M344" s="13"/>
      <c r="N344" s="15" t="n">
        <v>793000</v>
      </c>
      <c r="O344" s="15" t="n">
        <v>20000</v>
      </c>
      <c r="P344" s="14" t="n">
        <f aca="false">IF(O344="","",O344+E344-L344-N344)</f>
        <v>198490</v>
      </c>
      <c r="Q344" s="15" t="n">
        <v>193890</v>
      </c>
      <c r="R344" s="14" t="n">
        <f aca="false">IF(OR(Q344="",P344=""),"",Q344-P344)</f>
        <v>-4600</v>
      </c>
      <c r="S344" s="19" t="str">
        <f aca="false">IF(R344="","",IF(ABS(R344)&lt;=Léeme!$B$12,"Cuadra",IF(R344&lt;0,"Faltante","Sobrante")))</f>
        <v>Faltante</v>
      </c>
      <c r="T344" s="13" t="s">
        <v>101</v>
      </c>
    </row>
    <row r="345" customFormat="false" ht="15" hidden="false" customHeight="false" outlineLevel="0" collapsed="false">
      <c r="A345" s="17" t="n">
        <v>45858</v>
      </c>
      <c r="B345" s="13" t="s">
        <v>28</v>
      </c>
      <c r="C345" s="13" t="s">
        <v>109</v>
      </c>
      <c r="D345" s="13" t="s">
        <v>108</v>
      </c>
      <c r="E345" s="15" t="n">
        <v>673780</v>
      </c>
      <c r="F345" s="15" t="n">
        <v>109630</v>
      </c>
      <c r="G345" s="15" t="n">
        <v>47600</v>
      </c>
      <c r="H345" s="15" t="n">
        <v>84490</v>
      </c>
      <c r="I345" s="15" t="n">
        <v>31110</v>
      </c>
      <c r="J345" s="14" t="n">
        <f aca="false">SUM(E345:I345)</f>
        <v>946610</v>
      </c>
      <c r="K345" s="18" t="n">
        <v>88</v>
      </c>
      <c r="L345" s="15" t="n">
        <v>0</v>
      </c>
      <c r="M345" s="13"/>
      <c r="N345" s="15" t="n">
        <v>0</v>
      </c>
      <c r="O345" s="15" t="n">
        <v>20000</v>
      </c>
      <c r="P345" s="14" t="n">
        <f aca="false">IF(O345="","",O345+E345-L345-N345)</f>
        <v>693780</v>
      </c>
      <c r="Q345" s="15" t="n">
        <v>693780</v>
      </c>
      <c r="R345" s="14" t="n">
        <f aca="false">IF(OR(Q345="",P345=""),"",Q345-P345)</f>
        <v>0</v>
      </c>
      <c r="S345" s="19" t="str">
        <f aca="false">IF(R345="","",IF(ABS(R345)&lt;=Léeme!$B$12,"Cuadra",IF(R345&lt;0,"Faltante","Sobrante")))</f>
        <v>Cuadra</v>
      </c>
      <c r="T345" s="13" t="s">
        <v>101</v>
      </c>
    </row>
    <row r="346" customFormat="false" ht="15" hidden="false" customHeight="false" outlineLevel="0" collapsed="false">
      <c r="A346" s="17" t="n">
        <v>45860</v>
      </c>
      <c r="B346" s="13" t="s">
        <v>27</v>
      </c>
      <c r="C346" s="13" t="s">
        <v>110</v>
      </c>
      <c r="D346" s="13" t="s">
        <v>108</v>
      </c>
      <c r="E346" s="15" t="n">
        <v>335540</v>
      </c>
      <c r="F346" s="15" t="n">
        <v>56930</v>
      </c>
      <c r="G346" s="15" t="n">
        <v>25220</v>
      </c>
      <c r="H346" s="15" t="n">
        <v>40350</v>
      </c>
      <c r="I346" s="15" t="n">
        <v>17750</v>
      </c>
      <c r="J346" s="14" t="n">
        <f aca="false">SUM(E346:I346)</f>
        <v>475790</v>
      </c>
      <c r="K346" s="18" t="n">
        <v>45</v>
      </c>
      <c r="L346" s="15" t="n">
        <v>0</v>
      </c>
      <c r="M346" s="13"/>
      <c r="N346" s="15" t="n">
        <v>0</v>
      </c>
      <c r="O346" s="15" t="n">
        <v>20000</v>
      </c>
      <c r="P346" s="14" t="n">
        <f aca="false">IF(O346="","",O346+E346-L346-N346)</f>
        <v>355540</v>
      </c>
      <c r="Q346" s="15" t="n">
        <v>355540</v>
      </c>
      <c r="R346" s="14" t="n">
        <f aca="false">IF(OR(Q346="",P346=""),"",Q346-P346)</f>
        <v>0</v>
      </c>
      <c r="S346" s="19" t="str">
        <f aca="false">IF(R346="","",IF(ABS(R346)&lt;=Léeme!$B$12,"Cuadra",IF(R346&lt;0,"Faltante","Sobrante")))</f>
        <v>Cuadra</v>
      </c>
      <c r="T346" s="13" t="s">
        <v>101</v>
      </c>
    </row>
    <row r="347" customFormat="false" ht="15" hidden="false" customHeight="false" outlineLevel="0" collapsed="false">
      <c r="A347" s="17" t="n">
        <v>45860</v>
      </c>
      <c r="B347" s="13" t="s">
        <v>28</v>
      </c>
      <c r="C347" s="13" t="s">
        <v>111</v>
      </c>
      <c r="D347" s="13" t="s">
        <v>108</v>
      </c>
      <c r="E347" s="15" t="n">
        <v>257700</v>
      </c>
      <c r="F347" s="15" t="n">
        <v>47150</v>
      </c>
      <c r="G347" s="15" t="n">
        <v>20070</v>
      </c>
      <c r="H347" s="15" t="n">
        <v>31140</v>
      </c>
      <c r="I347" s="15" t="n">
        <v>14100</v>
      </c>
      <c r="J347" s="14" t="n">
        <f aca="false">SUM(E347:I347)</f>
        <v>370160</v>
      </c>
      <c r="K347" s="18" t="n">
        <v>38</v>
      </c>
      <c r="L347" s="15" t="n">
        <v>0</v>
      </c>
      <c r="M347" s="13"/>
      <c r="N347" s="15" t="n">
        <v>0</v>
      </c>
      <c r="O347" s="15" t="n">
        <v>20000</v>
      </c>
      <c r="P347" s="14" t="n">
        <f aca="false">IF(O347="","",O347+E347-L347-N347)</f>
        <v>277700</v>
      </c>
      <c r="Q347" s="15" t="n">
        <v>277700</v>
      </c>
      <c r="R347" s="14" t="n">
        <f aca="false">IF(OR(Q347="",P347=""),"",Q347-P347)</f>
        <v>0</v>
      </c>
      <c r="S347" s="19" t="str">
        <f aca="false">IF(R347="","",IF(ABS(R347)&lt;=Léeme!$B$12,"Cuadra",IF(R347&lt;0,"Faltante","Sobrante")))</f>
        <v>Cuadra</v>
      </c>
      <c r="T347" s="13" t="s">
        <v>101</v>
      </c>
    </row>
    <row r="348" customFormat="false" ht="15" hidden="false" customHeight="false" outlineLevel="0" collapsed="false">
      <c r="A348" s="17" t="n">
        <v>45861</v>
      </c>
      <c r="B348" s="13" t="s">
        <v>27</v>
      </c>
      <c r="C348" s="13" t="s">
        <v>110</v>
      </c>
      <c r="D348" s="13" t="s">
        <v>108</v>
      </c>
      <c r="E348" s="15" t="n">
        <v>391490</v>
      </c>
      <c r="F348" s="15" t="n">
        <v>72460</v>
      </c>
      <c r="G348" s="15" t="n">
        <v>34590</v>
      </c>
      <c r="H348" s="15" t="n">
        <v>52400</v>
      </c>
      <c r="I348" s="15" t="n">
        <v>19350</v>
      </c>
      <c r="J348" s="14" t="n">
        <f aca="false">SUM(E348:I348)</f>
        <v>570290</v>
      </c>
      <c r="K348" s="18" t="n">
        <v>55</v>
      </c>
      <c r="L348" s="15" t="n">
        <v>0</v>
      </c>
      <c r="M348" s="13"/>
      <c r="N348" s="15" t="n">
        <v>0</v>
      </c>
      <c r="O348" s="15" t="n">
        <v>20000</v>
      </c>
      <c r="P348" s="14" t="n">
        <f aca="false">IF(O348="","",O348+E348-L348-N348)</f>
        <v>411490</v>
      </c>
      <c r="Q348" s="15" t="n">
        <v>412210</v>
      </c>
      <c r="R348" s="14" t="n">
        <f aca="false">IF(OR(Q348="",P348=""),"",Q348-P348)</f>
        <v>720</v>
      </c>
      <c r="S348" s="19" t="str">
        <f aca="false">IF(R348="","",IF(ABS(R348)&lt;=Léeme!$B$12,"Cuadra",IF(R348&lt;0,"Faltante","Sobrante")))</f>
        <v>Sobrante</v>
      </c>
      <c r="T348" s="13" t="s">
        <v>101</v>
      </c>
    </row>
    <row r="349" customFormat="false" ht="15" hidden="false" customHeight="false" outlineLevel="0" collapsed="false">
      <c r="A349" s="17" t="n">
        <v>45861</v>
      </c>
      <c r="B349" s="13" t="s">
        <v>28</v>
      </c>
      <c r="C349" s="13" t="s">
        <v>111</v>
      </c>
      <c r="D349" s="13" t="s">
        <v>108</v>
      </c>
      <c r="E349" s="15" t="n">
        <v>271030</v>
      </c>
      <c r="F349" s="15" t="n">
        <v>48670</v>
      </c>
      <c r="G349" s="15" t="n">
        <v>22600</v>
      </c>
      <c r="H349" s="15" t="n">
        <v>33360</v>
      </c>
      <c r="I349" s="15" t="n">
        <v>12340</v>
      </c>
      <c r="J349" s="14" t="n">
        <f aca="false">SUM(E349:I349)</f>
        <v>388000</v>
      </c>
      <c r="K349" s="18" t="n">
        <v>40</v>
      </c>
      <c r="L349" s="15" t="n">
        <v>0</v>
      </c>
      <c r="M349" s="13"/>
      <c r="N349" s="15" t="n">
        <v>0</v>
      </c>
      <c r="O349" s="15" t="n">
        <v>20000</v>
      </c>
      <c r="P349" s="14" t="n">
        <f aca="false">IF(O349="","",O349+E349-L349-N349)</f>
        <v>291030</v>
      </c>
      <c r="Q349" s="15" t="n">
        <v>291030</v>
      </c>
      <c r="R349" s="14" t="n">
        <f aca="false">IF(OR(Q349="",P349=""),"",Q349-P349)</f>
        <v>0</v>
      </c>
      <c r="S349" s="19" t="str">
        <f aca="false">IF(R349="","",IF(ABS(R349)&lt;=Léeme!$B$12,"Cuadra",IF(R349&lt;0,"Faltante","Sobrante")))</f>
        <v>Cuadra</v>
      </c>
      <c r="T349" s="13" t="s">
        <v>101</v>
      </c>
    </row>
    <row r="350" customFormat="false" ht="15" hidden="false" customHeight="false" outlineLevel="0" collapsed="false">
      <c r="A350" s="17" t="n">
        <v>45862</v>
      </c>
      <c r="B350" s="13" t="s">
        <v>27</v>
      </c>
      <c r="C350" s="13" t="s">
        <v>110</v>
      </c>
      <c r="D350" s="13" t="s">
        <v>108</v>
      </c>
      <c r="E350" s="15" t="n">
        <v>307000</v>
      </c>
      <c r="F350" s="15" t="n">
        <v>66450</v>
      </c>
      <c r="G350" s="15" t="n">
        <v>26380</v>
      </c>
      <c r="H350" s="15" t="n">
        <v>41160</v>
      </c>
      <c r="I350" s="15" t="n">
        <v>17770</v>
      </c>
      <c r="J350" s="14" t="n">
        <f aca="false">SUM(E350:I350)</f>
        <v>458760</v>
      </c>
      <c r="K350" s="18" t="n">
        <v>45</v>
      </c>
      <c r="L350" s="15" t="n">
        <v>0</v>
      </c>
      <c r="M350" s="13"/>
      <c r="N350" s="15" t="n">
        <v>0</v>
      </c>
      <c r="O350" s="15" t="n">
        <v>20000</v>
      </c>
      <c r="P350" s="14" t="n">
        <f aca="false">IF(O350="","",O350+E350-L350-N350)</f>
        <v>327000</v>
      </c>
      <c r="Q350" s="15" t="n">
        <v>327000</v>
      </c>
      <c r="R350" s="14" t="n">
        <f aca="false">IF(OR(Q350="",P350=""),"",Q350-P350)</f>
        <v>0</v>
      </c>
      <c r="S350" s="19" t="str">
        <f aca="false">IF(R350="","",IF(ABS(R350)&lt;=Léeme!$B$12,"Cuadra",IF(R350&lt;0,"Faltante","Sobrante")))</f>
        <v>Cuadra</v>
      </c>
      <c r="T350" s="13" t="s">
        <v>101</v>
      </c>
    </row>
    <row r="351" customFormat="false" ht="15" hidden="false" customHeight="false" outlineLevel="0" collapsed="false">
      <c r="A351" s="17" t="n">
        <v>45862</v>
      </c>
      <c r="B351" s="13" t="s">
        <v>28</v>
      </c>
      <c r="C351" s="13" t="s">
        <v>111</v>
      </c>
      <c r="D351" s="13" t="s">
        <v>108</v>
      </c>
      <c r="E351" s="15" t="n">
        <v>295560</v>
      </c>
      <c r="F351" s="15" t="n">
        <v>62640</v>
      </c>
      <c r="G351" s="15" t="n">
        <v>22900</v>
      </c>
      <c r="H351" s="15" t="n">
        <v>34930</v>
      </c>
      <c r="I351" s="15" t="n">
        <v>14900</v>
      </c>
      <c r="J351" s="14" t="n">
        <f aca="false">SUM(E351:I351)</f>
        <v>430930</v>
      </c>
      <c r="K351" s="18" t="n">
        <v>44</v>
      </c>
      <c r="L351" s="15" t="n">
        <v>22130</v>
      </c>
      <c r="M351" s="13" t="s">
        <v>103</v>
      </c>
      <c r="N351" s="15" t="n">
        <v>0</v>
      </c>
      <c r="O351" s="15" t="n">
        <v>20000</v>
      </c>
      <c r="P351" s="14" t="n">
        <f aca="false">IF(O351="","",O351+E351-L351-N351)</f>
        <v>293430</v>
      </c>
      <c r="Q351" s="15" t="n">
        <v>293430</v>
      </c>
      <c r="R351" s="14" t="n">
        <f aca="false">IF(OR(Q351="",P351=""),"",Q351-P351)</f>
        <v>0</v>
      </c>
      <c r="S351" s="19" t="str">
        <f aca="false">IF(R351="","",IF(ABS(R351)&lt;=Léeme!$B$12,"Cuadra",IF(R351&lt;0,"Faltante","Sobrante")))</f>
        <v>Cuadra</v>
      </c>
      <c r="T351" s="13" t="s">
        <v>101</v>
      </c>
    </row>
    <row r="352" customFormat="false" ht="15" hidden="false" customHeight="false" outlineLevel="0" collapsed="false">
      <c r="A352" s="17" t="n">
        <v>45863</v>
      </c>
      <c r="B352" s="13" t="s">
        <v>27</v>
      </c>
      <c r="C352" s="13" t="s">
        <v>110</v>
      </c>
      <c r="D352" s="13" t="s">
        <v>108</v>
      </c>
      <c r="E352" s="15" t="n">
        <v>371860</v>
      </c>
      <c r="F352" s="15" t="n">
        <v>76600</v>
      </c>
      <c r="G352" s="15" t="n">
        <v>28180</v>
      </c>
      <c r="H352" s="15" t="n">
        <v>46760</v>
      </c>
      <c r="I352" s="15" t="n">
        <v>18380</v>
      </c>
      <c r="J352" s="14" t="n">
        <f aca="false">SUM(E352:I352)</f>
        <v>541780</v>
      </c>
      <c r="K352" s="18" t="n">
        <v>49</v>
      </c>
      <c r="L352" s="15" t="n">
        <v>0</v>
      </c>
      <c r="M352" s="13"/>
      <c r="N352" s="15" t="n">
        <v>270000</v>
      </c>
      <c r="O352" s="15" t="n">
        <v>20000</v>
      </c>
      <c r="P352" s="14" t="n">
        <f aca="false">IF(O352="","",O352+E352-L352-N352)</f>
        <v>121860</v>
      </c>
      <c r="Q352" s="15" t="n">
        <v>122300</v>
      </c>
      <c r="R352" s="14" t="n">
        <f aca="false">IF(OR(Q352="",P352=""),"",Q352-P352)</f>
        <v>440</v>
      </c>
      <c r="S352" s="19" t="str">
        <f aca="false">IF(R352="","",IF(ABS(R352)&lt;=Léeme!$B$12,"Cuadra",IF(R352&lt;0,"Faltante","Sobrante")))</f>
        <v>Cuadra</v>
      </c>
      <c r="T352" s="13" t="s">
        <v>101</v>
      </c>
    </row>
    <row r="353" customFormat="false" ht="15" hidden="false" customHeight="false" outlineLevel="0" collapsed="false">
      <c r="A353" s="17" t="n">
        <v>45863</v>
      </c>
      <c r="B353" s="13" t="s">
        <v>28</v>
      </c>
      <c r="C353" s="13" t="s">
        <v>111</v>
      </c>
      <c r="D353" s="13" t="s">
        <v>108</v>
      </c>
      <c r="E353" s="15" t="n">
        <v>302100</v>
      </c>
      <c r="F353" s="15" t="n">
        <v>51380</v>
      </c>
      <c r="G353" s="15" t="n">
        <v>24480</v>
      </c>
      <c r="H353" s="15" t="n">
        <v>32900</v>
      </c>
      <c r="I353" s="15" t="n">
        <v>13230</v>
      </c>
      <c r="J353" s="14" t="n">
        <f aca="false">SUM(E353:I353)</f>
        <v>424090</v>
      </c>
      <c r="K353" s="18" t="n">
        <v>44</v>
      </c>
      <c r="L353" s="15" t="n">
        <v>15790</v>
      </c>
      <c r="M353" s="13" t="s">
        <v>102</v>
      </c>
      <c r="N353" s="15" t="n">
        <v>0</v>
      </c>
      <c r="O353" s="15" t="n">
        <v>20000</v>
      </c>
      <c r="P353" s="14" t="n">
        <f aca="false">IF(O353="","",O353+E353-L353-N353)</f>
        <v>306310</v>
      </c>
      <c r="Q353" s="15" t="n">
        <v>306310</v>
      </c>
      <c r="R353" s="14" t="n">
        <f aca="false">IF(OR(Q353="",P353=""),"",Q353-P353)</f>
        <v>0</v>
      </c>
      <c r="S353" s="19" t="str">
        <f aca="false">IF(R353="","",IF(ABS(R353)&lt;=Léeme!$B$12,"Cuadra",IF(R353&lt;0,"Faltante","Sobrante")))</f>
        <v>Cuadra</v>
      </c>
      <c r="T353" s="13" t="s">
        <v>101</v>
      </c>
    </row>
    <row r="354" customFormat="false" ht="15" hidden="false" customHeight="false" outlineLevel="0" collapsed="false">
      <c r="A354" s="17" t="n">
        <v>45864</v>
      </c>
      <c r="B354" s="13" t="s">
        <v>27</v>
      </c>
      <c r="C354" s="13" t="s">
        <v>107</v>
      </c>
      <c r="D354" s="13" t="s">
        <v>108</v>
      </c>
      <c r="E354" s="15" t="n">
        <v>511580</v>
      </c>
      <c r="F354" s="15" t="n">
        <v>101830</v>
      </c>
      <c r="G354" s="15" t="n">
        <v>40760</v>
      </c>
      <c r="H354" s="15" t="n">
        <v>65270</v>
      </c>
      <c r="I354" s="15" t="n">
        <v>24890</v>
      </c>
      <c r="J354" s="14" t="n">
        <f aca="false">SUM(E354:I354)</f>
        <v>744330</v>
      </c>
      <c r="K354" s="18" t="n">
        <v>73</v>
      </c>
      <c r="L354" s="15" t="n">
        <v>0</v>
      </c>
      <c r="M354" s="13"/>
      <c r="N354" s="15" t="n">
        <v>0</v>
      </c>
      <c r="O354" s="15" t="n">
        <v>20000</v>
      </c>
      <c r="P354" s="14" t="n">
        <f aca="false">IF(O354="","",O354+E354-L354-N354)</f>
        <v>531580</v>
      </c>
      <c r="Q354" s="15" t="n">
        <v>531580</v>
      </c>
      <c r="R354" s="14" t="n">
        <f aca="false">IF(OR(Q354="",P354=""),"",Q354-P354)</f>
        <v>0</v>
      </c>
      <c r="S354" s="19" t="str">
        <f aca="false">IF(R354="","",IF(ABS(R354)&lt;=Léeme!$B$12,"Cuadra",IF(R354&lt;0,"Faltante","Sobrante")))</f>
        <v>Cuadra</v>
      </c>
      <c r="T354" s="13" t="s">
        <v>101</v>
      </c>
    </row>
    <row r="355" customFormat="false" ht="15" hidden="false" customHeight="false" outlineLevel="0" collapsed="false">
      <c r="A355" s="17" t="n">
        <v>45864</v>
      </c>
      <c r="B355" s="13" t="s">
        <v>28</v>
      </c>
      <c r="C355" s="13" t="s">
        <v>109</v>
      </c>
      <c r="D355" s="13" t="s">
        <v>108</v>
      </c>
      <c r="E355" s="15" t="n">
        <v>425500</v>
      </c>
      <c r="F355" s="15" t="n">
        <v>92470</v>
      </c>
      <c r="G355" s="15" t="n">
        <v>35820</v>
      </c>
      <c r="H355" s="15" t="n">
        <v>55770</v>
      </c>
      <c r="I355" s="15" t="n">
        <v>21430</v>
      </c>
      <c r="J355" s="14" t="n">
        <f aca="false">SUM(E355:I355)</f>
        <v>630990</v>
      </c>
      <c r="K355" s="18" t="n">
        <v>57</v>
      </c>
      <c r="L355" s="15" t="n">
        <v>0</v>
      </c>
      <c r="M355" s="13"/>
      <c r="N355" s="15" t="n">
        <v>0</v>
      </c>
      <c r="O355" s="15" t="n">
        <v>20000</v>
      </c>
      <c r="P355" s="14" t="n">
        <f aca="false">IF(O355="","",O355+E355-L355-N355)</f>
        <v>445500</v>
      </c>
      <c r="Q355" s="15" t="n">
        <v>445500</v>
      </c>
      <c r="R355" s="14" t="n">
        <f aca="false">IF(OR(Q355="",P355=""),"",Q355-P355)</f>
        <v>0</v>
      </c>
      <c r="S355" s="19" t="str">
        <f aca="false">IF(R355="","",IF(ABS(R355)&lt;=Léeme!$B$12,"Cuadra",IF(R355&lt;0,"Faltante","Sobrante")))</f>
        <v>Cuadra</v>
      </c>
      <c r="T355" s="13" t="s">
        <v>101</v>
      </c>
    </row>
    <row r="356" customFormat="false" ht="15" hidden="false" customHeight="false" outlineLevel="0" collapsed="false">
      <c r="A356" s="17" t="n">
        <v>45865</v>
      </c>
      <c r="B356" s="13" t="s">
        <v>27</v>
      </c>
      <c r="C356" s="13" t="s">
        <v>107</v>
      </c>
      <c r="D356" s="13" t="s">
        <v>108</v>
      </c>
      <c r="E356" s="15" t="n">
        <v>1014410</v>
      </c>
      <c r="F356" s="15" t="n">
        <v>170700</v>
      </c>
      <c r="G356" s="15" t="n">
        <v>77610</v>
      </c>
      <c r="H356" s="15" t="n">
        <v>132420</v>
      </c>
      <c r="I356" s="15" t="n">
        <v>50410</v>
      </c>
      <c r="J356" s="14" t="n">
        <f aca="false">SUM(E356:I356)</f>
        <v>1445550</v>
      </c>
      <c r="K356" s="18" t="n">
        <v>138</v>
      </c>
      <c r="L356" s="15" t="n">
        <v>14650</v>
      </c>
      <c r="M356" s="13" t="s">
        <v>102</v>
      </c>
      <c r="N356" s="15" t="n">
        <v>676000</v>
      </c>
      <c r="O356" s="15" t="n">
        <v>20000</v>
      </c>
      <c r="P356" s="14" t="n">
        <f aca="false">IF(O356="","",O356+E356-L356-N356)</f>
        <v>343760</v>
      </c>
      <c r="Q356" s="15" t="n">
        <v>338460</v>
      </c>
      <c r="R356" s="14" t="n">
        <f aca="false">IF(OR(Q356="",P356=""),"",Q356-P356)</f>
        <v>-5300</v>
      </c>
      <c r="S356" s="19" t="str">
        <f aca="false">IF(R356="","",IF(ABS(R356)&lt;=Léeme!$B$12,"Cuadra",IF(R356&lt;0,"Faltante","Sobrante")))</f>
        <v>Faltante</v>
      </c>
      <c r="T356" s="13" t="s">
        <v>101</v>
      </c>
    </row>
    <row r="357" customFormat="false" ht="15" hidden="false" customHeight="false" outlineLevel="0" collapsed="false">
      <c r="A357" s="17" t="n">
        <v>45865</v>
      </c>
      <c r="B357" s="13" t="s">
        <v>28</v>
      </c>
      <c r="C357" s="13" t="s">
        <v>109</v>
      </c>
      <c r="D357" s="13" t="s">
        <v>108</v>
      </c>
      <c r="E357" s="15" t="n">
        <v>764750</v>
      </c>
      <c r="F357" s="15" t="n">
        <v>148870</v>
      </c>
      <c r="G357" s="15" t="n">
        <v>65240</v>
      </c>
      <c r="H357" s="15" t="n">
        <v>104510</v>
      </c>
      <c r="I357" s="15" t="n">
        <v>44610</v>
      </c>
      <c r="J357" s="14" t="n">
        <f aca="false">SUM(E357:I357)</f>
        <v>1127980</v>
      </c>
      <c r="K357" s="18" t="n">
        <v>109</v>
      </c>
      <c r="L357" s="15" t="n">
        <v>0</v>
      </c>
      <c r="M357" s="13"/>
      <c r="N357" s="15" t="n">
        <v>0</v>
      </c>
      <c r="O357" s="15" t="n">
        <v>20000</v>
      </c>
      <c r="P357" s="14" t="n">
        <f aca="false">IF(O357="","",O357+E357-L357-N357)</f>
        <v>784750</v>
      </c>
      <c r="Q357" s="15" t="n">
        <v>784750</v>
      </c>
      <c r="R357" s="14" t="n">
        <f aca="false">IF(OR(Q357="",P357=""),"",Q357-P357)</f>
        <v>0</v>
      </c>
      <c r="S357" s="19" t="str">
        <f aca="false">IF(R357="","",IF(ABS(R357)&lt;=Léeme!$B$12,"Cuadra",IF(R357&lt;0,"Faltante","Sobrante")))</f>
        <v>Cuadra</v>
      </c>
      <c r="T357" s="13" t="s">
        <v>101</v>
      </c>
    </row>
    <row r="358" customFormat="false" ht="15" hidden="false" customHeight="false" outlineLevel="0" collapsed="false">
      <c r="A358" s="17" t="n">
        <v>45867</v>
      </c>
      <c r="B358" s="13" t="s">
        <v>27</v>
      </c>
      <c r="C358" s="13" t="s">
        <v>110</v>
      </c>
      <c r="D358" s="13" t="s">
        <v>108</v>
      </c>
      <c r="E358" s="15" t="n">
        <v>333970</v>
      </c>
      <c r="F358" s="15" t="n">
        <v>61630</v>
      </c>
      <c r="G358" s="15" t="n">
        <v>30010</v>
      </c>
      <c r="H358" s="15" t="n">
        <v>48350</v>
      </c>
      <c r="I358" s="15" t="n">
        <v>18450</v>
      </c>
      <c r="J358" s="14" t="n">
        <f aca="false">SUM(E358:I358)</f>
        <v>492410</v>
      </c>
      <c r="K358" s="18" t="n">
        <v>51</v>
      </c>
      <c r="L358" s="15" t="n">
        <v>0</v>
      </c>
      <c r="M358" s="13"/>
      <c r="N358" s="15" t="n">
        <v>234000</v>
      </c>
      <c r="O358" s="15" t="n">
        <v>20000</v>
      </c>
      <c r="P358" s="14" t="n">
        <f aca="false">IF(O358="","",O358+E358-L358-N358)</f>
        <v>119970</v>
      </c>
      <c r="Q358" s="15" t="n">
        <v>119970</v>
      </c>
      <c r="R358" s="14" t="n">
        <f aca="false">IF(OR(Q358="",P358=""),"",Q358-P358)</f>
        <v>0</v>
      </c>
      <c r="S358" s="19" t="str">
        <f aca="false">IF(R358="","",IF(ABS(R358)&lt;=Léeme!$B$12,"Cuadra",IF(R358&lt;0,"Faltante","Sobrante")))</f>
        <v>Cuadra</v>
      </c>
      <c r="T358" s="13" t="s">
        <v>101</v>
      </c>
    </row>
    <row r="359" customFormat="false" ht="15" hidden="false" customHeight="false" outlineLevel="0" collapsed="false">
      <c r="A359" s="17" t="n">
        <v>45867</v>
      </c>
      <c r="B359" s="13" t="s">
        <v>28</v>
      </c>
      <c r="C359" s="13" t="s">
        <v>111</v>
      </c>
      <c r="D359" s="13" t="s">
        <v>108</v>
      </c>
      <c r="E359" s="15" t="n">
        <v>279980</v>
      </c>
      <c r="F359" s="15" t="n">
        <v>50110</v>
      </c>
      <c r="G359" s="15" t="n">
        <v>21550</v>
      </c>
      <c r="H359" s="15" t="n">
        <v>34680</v>
      </c>
      <c r="I359" s="15" t="n">
        <v>16010</v>
      </c>
      <c r="J359" s="14" t="n">
        <f aca="false">SUM(E359:I359)</f>
        <v>402330</v>
      </c>
      <c r="K359" s="18" t="n">
        <v>41</v>
      </c>
      <c r="L359" s="15" t="n">
        <v>8580</v>
      </c>
      <c r="M359" s="13" t="s">
        <v>102</v>
      </c>
      <c r="N359" s="15" t="n">
        <v>0</v>
      </c>
      <c r="O359" s="15" t="n">
        <v>20000</v>
      </c>
      <c r="P359" s="14" t="n">
        <f aca="false">IF(O359="","",O359+E359-L359-N359)</f>
        <v>291400</v>
      </c>
      <c r="Q359" s="15" t="n">
        <v>291410</v>
      </c>
      <c r="R359" s="14" t="n">
        <f aca="false">IF(OR(Q359="",P359=""),"",Q359-P359)</f>
        <v>10</v>
      </c>
      <c r="S359" s="19" t="str">
        <f aca="false">IF(R359="","",IF(ABS(R359)&lt;=Léeme!$B$12,"Cuadra",IF(R359&lt;0,"Faltante","Sobrante")))</f>
        <v>Cuadra</v>
      </c>
      <c r="T359" s="13" t="s">
        <v>101</v>
      </c>
    </row>
    <row r="360" customFormat="false" ht="15" hidden="false" customHeight="false" outlineLevel="0" collapsed="false">
      <c r="A360" s="17" t="n">
        <v>45868</v>
      </c>
      <c r="B360" s="13" t="s">
        <v>27</v>
      </c>
      <c r="C360" s="13" t="s">
        <v>110</v>
      </c>
      <c r="D360" s="13" t="s">
        <v>108</v>
      </c>
      <c r="E360" s="15" t="n">
        <v>397140</v>
      </c>
      <c r="F360" s="15" t="n">
        <v>70550</v>
      </c>
      <c r="G360" s="15" t="n">
        <v>30370</v>
      </c>
      <c r="H360" s="15" t="n">
        <v>52490</v>
      </c>
      <c r="I360" s="15" t="n">
        <v>21310</v>
      </c>
      <c r="J360" s="14" t="n">
        <f aca="false">SUM(E360:I360)</f>
        <v>571860</v>
      </c>
      <c r="K360" s="18" t="n">
        <v>58</v>
      </c>
      <c r="L360" s="15" t="n">
        <v>21340</v>
      </c>
      <c r="M360" s="13" t="s">
        <v>103</v>
      </c>
      <c r="N360" s="15" t="n">
        <v>0</v>
      </c>
      <c r="O360" s="15" t="n">
        <v>20000</v>
      </c>
      <c r="P360" s="14" t="n">
        <f aca="false">IF(O360="","",O360+E360-L360-N360)</f>
        <v>395800</v>
      </c>
      <c r="Q360" s="15" t="n">
        <v>396450</v>
      </c>
      <c r="R360" s="14" t="n">
        <f aca="false">IF(OR(Q360="",P360=""),"",Q360-P360)</f>
        <v>650</v>
      </c>
      <c r="S360" s="19" t="str">
        <f aca="false">IF(R360="","",IF(ABS(R360)&lt;=Léeme!$B$12,"Cuadra",IF(R360&lt;0,"Faltante","Sobrante")))</f>
        <v>Sobrante</v>
      </c>
      <c r="T360" s="13" t="s">
        <v>101</v>
      </c>
    </row>
    <row r="361" customFormat="false" ht="15" hidden="false" customHeight="false" outlineLevel="0" collapsed="false">
      <c r="A361" s="17" t="n">
        <v>45868</v>
      </c>
      <c r="B361" s="13" t="s">
        <v>28</v>
      </c>
      <c r="C361" s="13" t="s">
        <v>111</v>
      </c>
      <c r="D361" s="13" t="s">
        <v>108</v>
      </c>
      <c r="E361" s="15" t="n">
        <v>279180</v>
      </c>
      <c r="F361" s="15" t="n">
        <v>52820</v>
      </c>
      <c r="G361" s="15" t="n">
        <v>20210</v>
      </c>
      <c r="H361" s="15" t="n">
        <v>34440</v>
      </c>
      <c r="I361" s="15" t="n">
        <v>14830</v>
      </c>
      <c r="J361" s="14" t="n">
        <f aca="false">SUM(E361:I361)</f>
        <v>401480</v>
      </c>
      <c r="K361" s="18" t="n">
        <v>38</v>
      </c>
      <c r="L361" s="15" t="n">
        <v>0</v>
      </c>
      <c r="M361" s="13"/>
      <c r="N361" s="15" t="n">
        <v>0</v>
      </c>
      <c r="O361" s="15" t="n">
        <v>20000</v>
      </c>
      <c r="P361" s="14" t="n">
        <f aca="false">IF(O361="","",O361+E361-L361-N361)</f>
        <v>299180</v>
      </c>
      <c r="Q361" s="15" t="n">
        <v>299180</v>
      </c>
      <c r="R361" s="14" t="n">
        <f aca="false">IF(OR(Q361="",P361=""),"",Q361-P361)</f>
        <v>0</v>
      </c>
      <c r="S361" s="19" t="str">
        <f aca="false">IF(R361="","",IF(ABS(R361)&lt;=Léeme!$B$12,"Cuadra",IF(R361&lt;0,"Faltante","Sobrante")))</f>
        <v>Cuadra</v>
      </c>
      <c r="T361" s="13" t="s">
        <v>101</v>
      </c>
    </row>
    <row r="362" customFormat="false" ht="15" hidden="false" customHeight="false" outlineLevel="0" collapsed="false">
      <c r="A362" s="17" t="n">
        <v>45869</v>
      </c>
      <c r="B362" s="13" t="s">
        <v>27</v>
      </c>
      <c r="C362" s="13" t="s">
        <v>110</v>
      </c>
      <c r="D362" s="13" t="s">
        <v>108</v>
      </c>
      <c r="E362" s="15" t="n">
        <v>347230</v>
      </c>
      <c r="F362" s="15" t="n">
        <v>69150</v>
      </c>
      <c r="G362" s="15" t="n">
        <v>26830</v>
      </c>
      <c r="H362" s="15" t="n">
        <v>45430</v>
      </c>
      <c r="I362" s="15" t="n">
        <v>18940</v>
      </c>
      <c r="J362" s="14" t="n">
        <f aca="false">SUM(E362:I362)</f>
        <v>507580</v>
      </c>
      <c r="K362" s="18" t="n">
        <v>52</v>
      </c>
      <c r="L362" s="15" t="n">
        <v>0</v>
      </c>
      <c r="M362" s="13"/>
      <c r="N362" s="15" t="n">
        <v>0</v>
      </c>
      <c r="O362" s="15" t="n">
        <v>20000</v>
      </c>
      <c r="P362" s="14" t="n">
        <f aca="false">IF(O362="","",O362+E362-L362-N362)</f>
        <v>367230</v>
      </c>
      <c r="Q362" s="15" t="n">
        <v>367330</v>
      </c>
      <c r="R362" s="14" t="n">
        <f aca="false">IF(OR(Q362="",P362=""),"",Q362-P362)</f>
        <v>100</v>
      </c>
      <c r="S362" s="19" t="str">
        <f aca="false">IF(R362="","",IF(ABS(R362)&lt;=Léeme!$B$12,"Cuadra",IF(R362&lt;0,"Faltante","Sobrante")))</f>
        <v>Cuadra</v>
      </c>
      <c r="T362" s="13" t="s">
        <v>101</v>
      </c>
    </row>
    <row r="363" customFormat="false" ht="15" hidden="false" customHeight="false" outlineLevel="0" collapsed="false">
      <c r="A363" s="17" t="n">
        <v>45869</v>
      </c>
      <c r="B363" s="13" t="s">
        <v>28</v>
      </c>
      <c r="C363" s="13" t="s">
        <v>111</v>
      </c>
      <c r="D363" s="13" t="s">
        <v>108</v>
      </c>
      <c r="E363" s="15" t="n">
        <v>294260</v>
      </c>
      <c r="F363" s="15" t="n">
        <v>63370</v>
      </c>
      <c r="G363" s="15" t="n">
        <v>25730</v>
      </c>
      <c r="H363" s="15" t="n">
        <v>37750</v>
      </c>
      <c r="I363" s="15" t="n">
        <v>16990</v>
      </c>
      <c r="J363" s="14" t="n">
        <f aca="false">SUM(E363:I363)</f>
        <v>438100</v>
      </c>
      <c r="K363" s="18" t="n">
        <v>42</v>
      </c>
      <c r="L363" s="15" t="n">
        <v>0</v>
      </c>
      <c r="M363" s="13"/>
      <c r="N363" s="15" t="n">
        <v>207000</v>
      </c>
      <c r="O363" s="15" t="n">
        <v>20000</v>
      </c>
      <c r="P363" s="14" t="n">
        <f aca="false">IF(O363="","",O363+E363-L363-N363)</f>
        <v>107260</v>
      </c>
      <c r="Q363" s="15" t="n">
        <v>104270</v>
      </c>
      <c r="R363" s="14" t="n">
        <f aca="false">IF(OR(Q363="",P363=""),"",Q363-P363)</f>
        <v>-2990</v>
      </c>
      <c r="S363" s="19" t="str">
        <f aca="false">IF(R363="","",IF(ABS(R363)&lt;=Léeme!$B$12,"Cuadra",IF(R363&lt;0,"Faltante","Sobrante")))</f>
        <v>Faltante</v>
      </c>
      <c r="T363" s="13" t="s">
        <v>101</v>
      </c>
    </row>
    <row r="364" customFormat="false" ht="15" hidden="false" customHeight="false" outlineLevel="0" collapsed="false">
      <c r="A364" s="17" t="n">
        <v>45870</v>
      </c>
      <c r="B364" s="13" t="s">
        <v>27</v>
      </c>
      <c r="C364" s="13" t="s">
        <v>110</v>
      </c>
      <c r="D364" s="13" t="s">
        <v>108</v>
      </c>
      <c r="E364" s="15" t="n">
        <v>371620</v>
      </c>
      <c r="F364" s="15" t="n">
        <v>81760</v>
      </c>
      <c r="G364" s="15" t="n">
        <v>34220</v>
      </c>
      <c r="H364" s="15" t="n">
        <v>44510</v>
      </c>
      <c r="I364" s="15" t="n">
        <v>21500</v>
      </c>
      <c r="J364" s="14" t="n">
        <f aca="false">SUM(E364:I364)</f>
        <v>553610</v>
      </c>
      <c r="K364" s="18" t="n">
        <v>51</v>
      </c>
      <c r="L364" s="15" t="n">
        <v>0</v>
      </c>
      <c r="M364" s="13"/>
      <c r="N364" s="15" t="n">
        <v>286000</v>
      </c>
      <c r="O364" s="15" t="n">
        <v>20000</v>
      </c>
      <c r="P364" s="14" t="n">
        <f aca="false">IF(O364="","",O364+E364-L364-N364)</f>
        <v>105620</v>
      </c>
      <c r="Q364" s="15" t="n">
        <v>105620</v>
      </c>
      <c r="R364" s="14" t="n">
        <f aca="false">IF(OR(Q364="",P364=""),"",Q364-P364)</f>
        <v>0</v>
      </c>
      <c r="S364" s="19" t="str">
        <f aca="false">IF(R364="","",IF(ABS(R364)&lt;=Léeme!$B$12,"Cuadra",IF(R364&lt;0,"Faltante","Sobrante")))</f>
        <v>Cuadra</v>
      </c>
      <c r="T364" s="13" t="s">
        <v>101</v>
      </c>
    </row>
    <row r="365" customFormat="false" ht="15" hidden="false" customHeight="false" outlineLevel="0" collapsed="false">
      <c r="A365" s="17" t="n">
        <v>45870</v>
      </c>
      <c r="B365" s="13" t="s">
        <v>28</v>
      </c>
      <c r="C365" s="13" t="s">
        <v>111</v>
      </c>
      <c r="D365" s="13" t="s">
        <v>108</v>
      </c>
      <c r="E365" s="15" t="n">
        <v>250580</v>
      </c>
      <c r="F365" s="15" t="n">
        <v>56880</v>
      </c>
      <c r="G365" s="15" t="n">
        <v>22570</v>
      </c>
      <c r="H365" s="15" t="n">
        <v>34610</v>
      </c>
      <c r="I365" s="15" t="n">
        <v>15170</v>
      </c>
      <c r="J365" s="14" t="n">
        <f aca="false">SUM(E365:I365)</f>
        <v>379810</v>
      </c>
      <c r="K365" s="18" t="n">
        <v>37</v>
      </c>
      <c r="L365" s="15" t="n">
        <v>11760</v>
      </c>
      <c r="M365" s="13" t="s">
        <v>102</v>
      </c>
      <c r="N365" s="15" t="n">
        <v>0</v>
      </c>
      <c r="O365" s="15" t="n">
        <v>20000</v>
      </c>
      <c r="P365" s="14" t="n">
        <f aca="false">IF(O365="","",O365+E365-L365-N365)</f>
        <v>258820</v>
      </c>
      <c r="Q365" s="15" t="n">
        <v>258820</v>
      </c>
      <c r="R365" s="14" t="n">
        <f aca="false">IF(OR(Q365="",P365=""),"",Q365-P365)</f>
        <v>0</v>
      </c>
      <c r="S365" s="19" t="str">
        <f aca="false">IF(R365="","",IF(ABS(R365)&lt;=Léeme!$B$12,"Cuadra",IF(R365&lt;0,"Faltante","Sobrante")))</f>
        <v>Cuadra</v>
      </c>
      <c r="T365" s="13" t="s">
        <v>101</v>
      </c>
    </row>
    <row r="366" customFormat="false" ht="15" hidden="false" customHeight="false" outlineLevel="0" collapsed="false">
      <c r="A366" s="17" t="n">
        <v>45871</v>
      </c>
      <c r="B366" s="13" t="s">
        <v>27</v>
      </c>
      <c r="C366" s="13" t="s">
        <v>107</v>
      </c>
      <c r="D366" s="13" t="s">
        <v>108</v>
      </c>
      <c r="E366" s="15" t="n">
        <v>543060</v>
      </c>
      <c r="F366" s="15" t="n">
        <v>89950</v>
      </c>
      <c r="G366" s="15" t="n">
        <v>39940</v>
      </c>
      <c r="H366" s="15" t="n">
        <v>55620</v>
      </c>
      <c r="I366" s="15" t="n">
        <v>23000</v>
      </c>
      <c r="J366" s="14" t="n">
        <f aca="false">SUM(E366:I366)</f>
        <v>751570</v>
      </c>
      <c r="K366" s="18" t="n">
        <v>76</v>
      </c>
      <c r="L366" s="15" t="n">
        <v>25970</v>
      </c>
      <c r="M366" s="13" t="s">
        <v>103</v>
      </c>
      <c r="N366" s="15" t="n">
        <v>452000</v>
      </c>
      <c r="O366" s="15" t="n">
        <v>20000</v>
      </c>
      <c r="P366" s="14" t="n">
        <f aca="false">IF(O366="","",O366+E366-L366-N366)</f>
        <v>85090</v>
      </c>
      <c r="Q366" s="15" t="n">
        <v>75390</v>
      </c>
      <c r="R366" s="14" t="n">
        <f aca="false">IF(OR(Q366="",P366=""),"",Q366-P366)</f>
        <v>-9700</v>
      </c>
      <c r="S366" s="19" t="str">
        <f aca="false">IF(R366="","",IF(ABS(R366)&lt;=Léeme!$B$12,"Cuadra",IF(R366&lt;0,"Faltante","Sobrante")))</f>
        <v>Faltante</v>
      </c>
      <c r="T366" s="13" t="s">
        <v>101</v>
      </c>
    </row>
    <row r="367" customFormat="false" ht="15" hidden="false" customHeight="false" outlineLevel="0" collapsed="false">
      <c r="A367" s="17" t="n">
        <v>45871</v>
      </c>
      <c r="B367" s="13" t="s">
        <v>28</v>
      </c>
      <c r="C367" s="13" t="s">
        <v>109</v>
      </c>
      <c r="D367" s="13" t="s">
        <v>108</v>
      </c>
      <c r="E367" s="15" t="n">
        <v>451500</v>
      </c>
      <c r="F367" s="15" t="n">
        <v>87320</v>
      </c>
      <c r="G367" s="15" t="n">
        <v>33170</v>
      </c>
      <c r="H367" s="15" t="n">
        <v>51110</v>
      </c>
      <c r="I367" s="15" t="n">
        <v>21120</v>
      </c>
      <c r="J367" s="14" t="n">
        <f aca="false">SUM(E367:I367)</f>
        <v>644220</v>
      </c>
      <c r="K367" s="18" t="n">
        <v>62</v>
      </c>
      <c r="L367" s="15" t="n">
        <v>2600</v>
      </c>
      <c r="M367" s="13" t="s">
        <v>105</v>
      </c>
      <c r="N367" s="15" t="n">
        <v>0</v>
      </c>
      <c r="O367" s="15" t="n">
        <v>20000</v>
      </c>
      <c r="P367" s="14" t="n">
        <f aca="false">IF(O367="","",O367+E367-L367-N367)</f>
        <v>468900</v>
      </c>
      <c r="Q367" s="15" t="n">
        <v>469040</v>
      </c>
      <c r="R367" s="14" t="n">
        <f aca="false">IF(OR(Q367="",P367=""),"",Q367-P367)</f>
        <v>140</v>
      </c>
      <c r="S367" s="19" t="str">
        <f aca="false">IF(R367="","",IF(ABS(R367)&lt;=Léeme!$B$12,"Cuadra",IF(R367&lt;0,"Faltante","Sobrante")))</f>
        <v>Cuadra</v>
      </c>
      <c r="T367" s="13" t="s">
        <v>101</v>
      </c>
    </row>
    <row r="368" customFormat="false" ht="15" hidden="false" customHeight="false" outlineLevel="0" collapsed="false">
      <c r="A368" s="17" t="n">
        <v>45872</v>
      </c>
      <c r="B368" s="13" t="s">
        <v>27</v>
      </c>
      <c r="C368" s="13" t="s">
        <v>107</v>
      </c>
      <c r="D368" s="13" t="s">
        <v>108</v>
      </c>
      <c r="E368" s="15" t="n">
        <v>923860</v>
      </c>
      <c r="F368" s="15" t="n">
        <v>201120</v>
      </c>
      <c r="G368" s="15" t="n">
        <v>77840</v>
      </c>
      <c r="H368" s="15" t="n">
        <v>129450</v>
      </c>
      <c r="I368" s="15" t="n">
        <v>46790</v>
      </c>
      <c r="J368" s="14" t="n">
        <f aca="false">SUM(E368:I368)</f>
        <v>1379060</v>
      </c>
      <c r="K368" s="18" t="n">
        <v>138</v>
      </c>
      <c r="L368" s="15" t="n">
        <v>3290</v>
      </c>
      <c r="M368" s="13" t="s">
        <v>105</v>
      </c>
      <c r="N368" s="15" t="n">
        <v>0</v>
      </c>
      <c r="O368" s="15" t="n">
        <v>20000</v>
      </c>
      <c r="P368" s="14" t="n">
        <f aca="false">IF(O368="","",O368+E368-L368-N368)</f>
        <v>940570</v>
      </c>
      <c r="Q368" s="15" t="n">
        <v>940570</v>
      </c>
      <c r="R368" s="14" t="n">
        <f aca="false">IF(OR(Q368="",P368=""),"",Q368-P368)</f>
        <v>0</v>
      </c>
      <c r="S368" s="19" t="str">
        <f aca="false">IF(R368="","",IF(ABS(R368)&lt;=Léeme!$B$12,"Cuadra",IF(R368&lt;0,"Faltante","Sobrante")))</f>
        <v>Cuadra</v>
      </c>
      <c r="T368" s="13" t="s">
        <v>101</v>
      </c>
    </row>
    <row r="369" customFormat="false" ht="15" hidden="false" customHeight="false" outlineLevel="0" collapsed="false">
      <c r="A369" s="17" t="n">
        <v>45874</v>
      </c>
      <c r="B369" s="13" t="s">
        <v>27</v>
      </c>
      <c r="C369" s="13" t="s">
        <v>110</v>
      </c>
      <c r="D369" s="13" t="s">
        <v>108</v>
      </c>
      <c r="E369" s="15" t="n">
        <v>342050</v>
      </c>
      <c r="F369" s="15" t="n">
        <v>60870</v>
      </c>
      <c r="G369" s="15" t="n">
        <v>29180</v>
      </c>
      <c r="H369" s="15" t="n">
        <v>44260</v>
      </c>
      <c r="I369" s="15" t="n">
        <v>18740</v>
      </c>
      <c r="J369" s="14" t="n">
        <f aca="false">SUM(E369:I369)</f>
        <v>495100</v>
      </c>
      <c r="K369" s="18" t="n">
        <v>46</v>
      </c>
      <c r="L369" s="15" t="n">
        <v>0</v>
      </c>
      <c r="M369" s="13"/>
      <c r="N369" s="15" t="n">
        <v>305000</v>
      </c>
      <c r="O369" s="15" t="n">
        <v>20000</v>
      </c>
      <c r="P369" s="14" t="n">
        <f aca="false">IF(O369="","",O369+E369-L369-N369)</f>
        <v>57050</v>
      </c>
      <c r="Q369" s="15" t="n">
        <v>57050</v>
      </c>
      <c r="R369" s="14" t="n">
        <f aca="false">IF(OR(Q369="",P369=""),"",Q369-P369)</f>
        <v>0</v>
      </c>
      <c r="S369" s="19" t="str">
        <f aca="false">IF(R369="","",IF(ABS(R369)&lt;=Léeme!$B$12,"Cuadra",IF(R369&lt;0,"Faltante","Sobrante")))</f>
        <v>Cuadra</v>
      </c>
      <c r="T369" s="13" t="s">
        <v>101</v>
      </c>
    </row>
    <row r="370" customFormat="false" ht="15" hidden="false" customHeight="false" outlineLevel="0" collapsed="false">
      <c r="A370" s="17" t="n">
        <v>45874</v>
      </c>
      <c r="B370" s="13" t="s">
        <v>28</v>
      </c>
      <c r="C370" s="13" t="s">
        <v>111</v>
      </c>
      <c r="D370" s="13" t="s">
        <v>108</v>
      </c>
      <c r="E370" s="15" t="n">
        <v>264010</v>
      </c>
      <c r="F370" s="15" t="n">
        <v>46680</v>
      </c>
      <c r="G370" s="15" t="n">
        <v>21350</v>
      </c>
      <c r="H370" s="15" t="n">
        <v>32470</v>
      </c>
      <c r="I370" s="15" t="n">
        <v>12090</v>
      </c>
      <c r="J370" s="14" t="n">
        <f aca="false">SUM(E370:I370)</f>
        <v>376600</v>
      </c>
      <c r="K370" s="18" t="n">
        <v>35</v>
      </c>
      <c r="L370" s="15" t="n">
        <v>0</v>
      </c>
      <c r="M370" s="13"/>
      <c r="N370" s="15" t="n">
        <v>222000</v>
      </c>
      <c r="O370" s="15" t="n">
        <v>20000</v>
      </c>
      <c r="P370" s="14" t="n">
        <f aca="false">IF(O370="","",O370+E370-L370-N370)</f>
        <v>62010</v>
      </c>
      <c r="Q370" s="15" t="n">
        <v>62010</v>
      </c>
      <c r="R370" s="14" t="n">
        <f aca="false">IF(OR(Q370="",P370=""),"",Q370-P370)</f>
        <v>0</v>
      </c>
      <c r="S370" s="19" t="str">
        <f aca="false">IF(R370="","",IF(ABS(R370)&lt;=Léeme!$B$12,"Cuadra",IF(R370&lt;0,"Faltante","Sobrante")))</f>
        <v>Cuadra</v>
      </c>
      <c r="T370" s="13" t="s">
        <v>101</v>
      </c>
    </row>
    <row r="371" customFormat="false" ht="15" hidden="false" customHeight="false" outlineLevel="0" collapsed="false">
      <c r="A371" s="17" t="n">
        <v>45875</v>
      </c>
      <c r="B371" s="13" t="s">
        <v>27</v>
      </c>
      <c r="C371" s="13" t="s">
        <v>110</v>
      </c>
      <c r="D371" s="13" t="s">
        <v>108</v>
      </c>
      <c r="E371" s="15" t="n">
        <v>389200</v>
      </c>
      <c r="F371" s="15" t="n">
        <v>67910</v>
      </c>
      <c r="G371" s="15" t="n">
        <v>28680</v>
      </c>
      <c r="H371" s="15" t="n">
        <v>43760</v>
      </c>
      <c r="I371" s="15" t="n">
        <v>18170</v>
      </c>
      <c r="J371" s="14" t="n">
        <f aca="false">SUM(E371:I371)</f>
        <v>547720</v>
      </c>
      <c r="K371" s="18" t="n">
        <v>50</v>
      </c>
      <c r="L371" s="15" t="n">
        <v>0</v>
      </c>
      <c r="M371" s="13"/>
      <c r="N371" s="15" t="n">
        <v>227000</v>
      </c>
      <c r="O371" s="15" t="n">
        <v>20000</v>
      </c>
      <c r="P371" s="14" t="n">
        <f aca="false">IF(O371="","",O371+E371-L371-N371)</f>
        <v>182200</v>
      </c>
      <c r="Q371" s="15" t="n">
        <v>184110</v>
      </c>
      <c r="R371" s="14" t="n">
        <f aca="false">IF(OR(Q371="",P371=""),"",Q371-P371)</f>
        <v>1910</v>
      </c>
      <c r="S371" s="19" t="str">
        <f aca="false">IF(R371="","",IF(ABS(R371)&lt;=Léeme!$B$12,"Cuadra",IF(R371&lt;0,"Faltante","Sobrante")))</f>
        <v>Sobrante</v>
      </c>
      <c r="T371" s="13" t="s">
        <v>101</v>
      </c>
    </row>
    <row r="372" customFormat="false" ht="15" hidden="false" customHeight="false" outlineLevel="0" collapsed="false">
      <c r="A372" s="17" t="n">
        <v>45875</v>
      </c>
      <c r="B372" s="13" t="s">
        <v>28</v>
      </c>
      <c r="C372" s="13" t="s">
        <v>111</v>
      </c>
      <c r="D372" s="13" t="s">
        <v>108</v>
      </c>
      <c r="E372" s="15" t="n">
        <v>251040</v>
      </c>
      <c r="F372" s="15" t="n">
        <v>42640</v>
      </c>
      <c r="G372" s="15" t="n">
        <v>20420</v>
      </c>
      <c r="H372" s="15" t="n">
        <v>30630</v>
      </c>
      <c r="I372" s="15" t="n">
        <v>11880</v>
      </c>
      <c r="J372" s="14" t="n">
        <f aca="false">SUM(E372:I372)</f>
        <v>356610</v>
      </c>
      <c r="K372" s="18" t="n">
        <v>33</v>
      </c>
      <c r="L372" s="15" t="n">
        <v>16960</v>
      </c>
      <c r="M372" s="13" t="s">
        <v>103</v>
      </c>
      <c r="N372" s="15" t="n">
        <v>0</v>
      </c>
      <c r="O372" s="15" t="n">
        <v>20000</v>
      </c>
      <c r="P372" s="14" t="n">
        <f aca="false">IF(O372="","",O372+E372-L372-N372)</f>
        <v>254080</v>
      </c>
      <c r="Q372" s="15" t="n">
        <v>254080</v>
      </c>
      <c r="R372" s="14" t="n">
        <f aca="false">IF(OR(Q372="",P372=""),"",Q372-P372)</f>
        <v>0</v>
      </c>
      <c r="S372" s="19" t="str">
        <f aca="false">IF(R372="","",IF(ABS(R372)&lt;=Léeme!$B$12,"Cuadra",IF(R372&lt;0,"Faltante","Sobrante")))</f>
        <v>Cuadra</v>
      </c>
      <c r="T372" s="13" t="s">
        <v>101</v>
      </c>
    </row>
    <row r="373" customFormat="false" ht="15" hidden="false" customHeight="false" outlineLevel="0" collapsed="false">
      <c r="A373" s="17" t="n">
        <v>45876</v>
      </c>
      <c r="B373" s="13" t="s">
        <v>27</v>
      </c>
      <c r="C373" s="13" t="s">
        <v>110</v>
      </c>
      <c r="D373" s="13" t="s">
        <v>108</v>
      </c>
      <c r="E373" s="15" t="n">
        <v>390080</v>
      </c>
      <c r="F373" s="15" t="n">
        <v>64960</v>
      </c>
      <c r="G373" s="15" t="n">
        <v>28860</v>
      </c>
      <c r="H373" s="15" t="n">
        <v>43360</v>
      </c>
      <c r="I373" s="15" t="n">
        <v>19070</v>
      </c>
      <c r="J373" s="14" t="n">
        <f aca="false">SUM(E373:I373)</f>
        <v>546330</v>
      </c>
      <c r="K373" s="18" t="n">
        <v>49</v>
      </c>
      <c r="L373" s="15" t="n">
        <v>9310</v>
      </c>
      <c r="M373" s="13" t="s">
        <v>102</v>
      </c>
      <c r="N373" s="15" t="n">
        <v>0</v>
      </c>
      <c r="O373" s="15" t="n">
        <v>20000</v>
      </c>
      <c r="P373" s="14" t="n">
        <f aca="false">IF(O373="","",O373+E373-L373-N373)</f>
        <v>400770</v>
      </c>
      <c r="Q373" s="15" t="n">
        <v>400770</v>
      </c>
      <c r="R373" s="14" t="n">
        <f aca="false">IF(OR(Q373="",P373=""),"",Q373-P373)</f>
        <v>0</v>
      </c>
      <c r="S373" s="19" t="str">
        <f aca="false">IF(R373="","",IF(ABS(R373)&lt;=Léeme!$B$12,"Cuadra",IF(R373&lt;0,"Faltante","Sobrante")))</f>
        <v>Cuadra</v>
      </c>
      <c r="T373" s="13" t="s">
        <v>101</v>
      </c>
    </row>
    <row r="374" customFormat="false" ht="15" hidden="false" customHeight="false" outlineLevel="0" collapsed="false">
      <c r="A374" s="17" t="n">
        <v>45876</v>
      </c>
      <c r="B374" s="13" t="s">
        <v>28</v>
      </c>
      <c r="C374" s="13" t="s">
        <v>111</v>
      </c>
      <c r="D374" s="13" t="s">
        <v>108</v>
      </c>
      <c r="E374" s="15" t="n">
        <v>253740</v>
      </c>
      <c r="F374" s="15" t="n">
        <v>47190</v>
      </c>
      <c r="G374" s="15" t="n">
        <v>19550</v>
      </c>
      <c r="H374" s="15" t="n">
        <v>32620</v>
      </c>
      <c r="I374" s="15" t="n">
        <v>13740</v>
      </c>
      <c r="J374" s="14" t="n">
        <f aca="false">SUM(E374:I374)</f>
        <v>366840</v>
      </c>
      <c r="K374" s="18" t="n">
        <v>34</v>
      </c>
      <c r="L374" s="15" t="n">
        <v>0</v>
      </c>
      <c r="M374" s="13"/>
      <c r="N374" s="15" t="n">
        <v>157000</v>
      </c>
      <c r="O374" s="15" t="n">
        <v>20000</v>
      </c>
      <c r="P374" s="14" t="n">
        <f aca="false">IF(O374="","",O374+E374-L374-N374)</f>
        <v>116740</v>
      </c>
      <c r="Q374" s="15" t="n">
        <v>116740</v>
      </c>
      <c r="R374" s="14" t="n">
        <f aca="false">IF(OR(Q374="",P374=""),"",Q374-P374)</f>
        <v>0</v>
      </c>
      <c r="S374" s="19" t="str">
        <f aca="false">IF(R374="","",IF(ABS(R374)&lt;=Léeme!$B$12,"Cuadra",IF(R374&lt;0,"Faltante","Sobrante")))</f>
        <v>Cuadra</v>
      </c>
      <c r="T374" s="13" t="s">
        <v>101</v>
      </c>
    </row>
    <row r="375" customFormat="false" ht="15" hidden="false" customHeight="false" outlineLevel="0" collapsed="false">
      <c r="A375" s="17" t="n">
        <v>45877</v>
      </c>
      <c r="B375" s="13" t="s">
        <v>27</v>
      </c>
      <c r="C375" s="13" t="s">
        <v>110</v>
      </c>
      <c r="D375" s="13" t="s">
        <v>108</v>
      </c>
      <c r="E375" s="15" t="n">
        <v>366440</v>
      </c>
      <c r="F375" s="15" t="n">
        <v>63380</v>
      </c>
      <c r="G375" s="15" t="n">
        <v>29740</v>
      </c>
      <c r="H375" s="15" t="n">
        <v>45830</v>
      </c>
      <c r="I375" s="15" t="n">
        <v>17980</v>
      </c>
      <c r="J375" s="14" t="n">
        <f aca="false">SUM(E375:I375)</f>
        <v>523370</v>
      </c>
      <c r="K375" s="18" t="n">
        <v>51</v>
      </c>
      <c r="L375" s="15" t="n">
        <v>4250</v>
      </c>
      <c r="M375" s="13" t="s">
        <v>105</v>
      </c>
      <c r="N375" s="15" t="n">
        <v>0</v>
      </c>
      <c r="O375" s="15" t="n">
        <v>20000</v>
      </c>
      <c r="P375" s="14" t="n">
        <f aca="false">IF(O375="","",O375+E375-L375-N375)</f>
        <v>382190</v>
      </c>
      <c r="Q375" s="15" t="n">
        <v>382190</v>
      </c>
      <c r="R375" s="14" t="n">
        <f aca="false">IF(OR(Q375="",P375=""),"",Q375-P375)</f>
        <v>0</v>
      </c>
      <c r="S375" s="19" t="str">
        <f aca="false">IF(R375="","",IF(ABS(R375)&lt;=Léeme!$B$12,"Cuadra",IF(R375&lt;0,"Faltante","Sobrante")))</f>
        <v>Cuadra</v>
      </c>
      <c r="T375" s="13" t="s">
        <v>101</v>
      </c>
    </row>
    <row r="376" customFormat="false" ht="15" hidden="false" customHeight="false" outlineLevel="0" collapsed="false">
      <c r="A376" s="17" t="n">
        <v>45877</v>
      </c>
      <c r="B376" s="13" t="s">
        <v>28</v>
      </c>
      <c r="C376" s="13" t="s">
        <v>111</v>
      </c>
      <c r="D376" s="13" t="s">
        <v>108</v>
      </c>
      <c r="E376" s="15" t="n">
        <v>283170</v>
      </c>
      <c r="F376" s="15" t="n">
        <v>49740</v>
      </c>
      <c r="G376" s="15" t="n">
        <v>22520</v>
      </c>
      <c r="H376" s="15" t="n">
        <v>30430</v>
      </c>
      <c r="I376" s="15" t="n">
        <v>13040</v>
      </c>
      <c r="J376" s="14" t="n">
        <f aca="false">SUM(E376:I376)</f>
        <v>398900</v>
      </c>
      <c r="K376" s="18" t="n">
        <v>39</v>
      </c>
      <c r="L376" s="15" t="n">
        <v>0</v>
      </c>
      <c r="M376" s="13"/>
      <c r="N376" s="15" t="n">
        <v>0</v>
      </c>
      <c r="O376" s="15" t="n">
        <v>20000</v>
      </c>
      <c r="P376" s="14" t="n">
        <f aca="false">IF(O376="","",O376+E376-L376-N376)</f>
        <v>303170</v>
      </c>
      <c r="Q376" s="15" t="n">
        <v>303170</v>
      </c>
      <c r="R376" s="14" t="n">
        <f aca="false">IF(OR(Q376="",P376=""),"",Q376-P376)</f>
        <v>0</v>
      </c>
      <c r="S376" s="19" t="str">
        <f aca="false">IF(R376="","",IF(ABS(R376)&lt;=Léeme!$B$12,"Cuadra",IF(R376&lt;0,"Faltante","Sobrante")))</f>
        <v>Cuadra</v>
      </c>
      <c r="T376" s="13" t="s">
        <v>101</v>
      </c>
    </row>
    <row r="377" customFormat="false" ht="15" hidden="false" customHeight="false" outlineLevel="0" collapsed="false">
      <c r="A377" s="17" t="n">
        <v>45878</v>
      </c>
      <c r="B377" s="13" t="s">
        <v>27</v>
      </c>
      <c r="C377" s="13" t="s">
        <v>107</v>
      </c>
      <c r="D377" s="13" t="s">
        <v>108</v>
      </c>
      <c r="E377" s="15" t="n">
        <v>562270</v>
      </c>
      <c r="F377" s="15" t="n">
        <v>118070</v>
      </c>
      <c r="G377" s="15" t="n">
        <v>46760</v>
      </c>
      <c r="H377" s="15" t="n">
        <v>69610</v>
      </c>
      <c r="I377" s="15" t="n">
        <v>29090</v>
      </c>
      <c r="J377" s="14" t="n">
        <f aca="false">SUM(E377:I377)</f>
        <v>825800</v>
      </c>
      <c r="K377" s="18" t="n">
        <v>75</v>
      </c>
      <c r="L377" s="15" t="n">
        <v>3170</v>
      </c>
      <c r="M377" s="13" t="s">
        <v>105</v>
      </c>
      <c r="N377" s="15" t="n">
        <v>424000</v>
      </c>
      <c r="O377" s="15" t="n">
        <v>20000</v>
      </c>
      <c r="P377" s="14" t="n">
        <f aca="false">IF(O377="","",O377+E377-L377-N377)</f>
        <v>155100</v>
      </c>
      <c r="Q377" s="15" t="n">
        <v>155100</v>
      </c>
      <c r="R377" s="14" t="n">
        <f aca="false">IF(OR(Q377="",P377=""),"",Q377-P377)</f>
        <v>0</v>
      </c>
      <c r="S377" s="19" t="str">
        <f aca="false">IF(R377="","",IF(ABS(R377)&lt;=Léeme!$B$12,"Cuadra",IF(R377&lt;0,"Faltante","Sobrante")))</f>
        <v>Cuadra</v>
      </c>
      <c r="T377" s="13" t="s">
        <v>101</v>
      </c>
    </row>
    <row r="378" customFormat="false" ht="15" hidden="false" customHeight="false" outlineLevel="0" collapsed="false">
      <c r="A378" s="17" t="n">
        <v>45878</v>
      </c>
      <c r="B378" s="13" t="s">
        <v>28</v>
      </c>
      <c r="C378" s="13" t="s">
        <v>109</v>
      </c>
      <c r="D378" s="13" t="s">
        <v>108</v>
      </c>
      <c r="E378" s="15" t="n">
        <v>412390</v>
      </c>
      <c r="F378" s="15" t="n">
        <v>83370</v>
      </c>
      <c r="G378" s="15" t="n">
        <v>36350</v>
      </c>
      <c r="H378" s="15" t="n">
        <v>54570</v>
      </c>
      <c r="I378" s="15" t="n">
        <v>23600</v>
      </c>
      <c r="J378" s="14" t="n">
        <f aca="false">SUM(E378:I378)</f>
        <v>610280</v>
      </c>
      <c r="K378" s="18" t="n">
        <v>62</v>
      </c>
      <c r="L378" s="15" t="n">
        <v>0</v>
      </c>
      <c r="M378" s="13"/>
      <c r="N378" s="15" t="n">
        <v>0</v>
      </c>
      <c r="O378" s="15" t="n">
        <v>20000</v>
      </c>
      <c r="P378" s="14" t="n">
        <f aca="false">IF(O378="","",O378+E378-L378-N378)</f>
        <v>432390</v>
      </c>
      <c r="Q378" s="15" t="n">
        <v>432390</v>
      </c>
      <c r="R378" s="14" t="n">
        <f aca="false">IF(OR(Q378="",P378=""),"",Q378-P378)</f>
        <v>0</v>
      </c>
      <c r="S378" s="19" t="str">
        <f aca="false">IF(R378="","",IF(ABS(R378)&lt;=Léeme!$B$12,"Cuadra",IF(R378&lt;0,"Faltante","Sobrante")))</f>
        <v>Cuadra</v>
      </c>
      <c r="T378" s="13" t="s">
        <v>101</v>
      </c>
    </row>
    <row r="379" customFormat="false" ht="15" hidden="false" customHeight="false" outlineLevel="0" collapsed="false">
      <c r="A379" s="17" t="n">
        <v>45879</v>
      </c>
      <c r="B379" s="13" t="s">
        <v>27</v>
      </c>
      <c r="C379" s="13" t="s">
        <v>107</v>
      </c>
      <c r="D379" s="13" t="s">
        <v>108</v>
      </c>
      <c r="E379" s="15" t="n">
        <v>982760</v>
      </c>
      <c r="F379" s="15" t="n">
        <v>206720</v>
      </c>
      <c r="G379" s="15" t="n">
        <v>72780</v>
      </c>
      <c r="H379" s="15" t="n">
        <v>127980</v>
      </c>
      <c r="I379" s="15" t="n">
        <v>46660</v>
      </c>
      <c r="J379" s="14" t="n">
        <f aca="false">SUM(E379:I379)</f>
        <v>1436900</v>
      </c>
      <c r="K379" s="18" t="n">
        <v>130</v>
      </c>
      <c r="L379" s="15" t="n">
        <v>0</v>
      </c>
      <c r="M379" s="13"/>
      <c r="N379" s="15" t="n">
        <v>0</v>
      </c>
      <c r="O379" s="15" t="n">
        <v>20000</v>
      </c>
      <c r="P379" s="14" t="n">
        <f aca="false">IF(O379="","",O379+E379-L379-N379)</f>
        <v>1002760</v>
      </c>
      <c r="Q379" s="15" t="n">
        <v>992760</v>
      </c>
      <c r="R379" s="14" t="n">
        <f aca="false">IF(OR(Q379="",P379=""),"",Q379-P379)</f>
        <v>-10000</v>
      </c>
      <c r="S379" s="19" t="str">
        <f aca="false">IF(R379="","",IF(ABS(R379)&lt;=Léeme!$B$12,"Cuadra",IF(R379&lt;0,"Faltante","Sobrante")))</f>
        <v>Faltante</v>
      </c>
      <c r="T379" s="13" t="s">
        <v>101</v>
      </c>
    </row>
    <row r="380" customFormat="false" ht="15" hidden="false" customHeight="false" outlineLevel="0" collapsed="false">
      <c r="A380" s="17" t="n">
        <v>45881</v>
      </c>
      <c r="B380" s="13" t="s">
        <v>27</v>
      </c>
      <c r="C380" s="13" t="s">
        <v>110</v>
      </c>
      <c r="D380" s="13" t="s">
        <v>108</v>
      </c>
      <c r="E380" s="15" t="n">
        <v>345810</v>
      </c>
      <c r="F380" s="15" t="n">
        <v>57230</v>
      </c>
      <c r="G380" s="15" t="n">
        <v>26280</v>
      </c>
      <c r="H380" s="15" t="n">
        <v>38240</v>
      </c>
      <c r="I380" s="15" t="n">
        <v>16520</v>
      </c>
      <c r="J380" s="14" t="n">
        <f aca="false">SUM(E380:I380)</f>
        <v>484080</v>
      </c>
      <c r="K380" s="18" t="n">
        <v>48</v>
      </c>
      <c r="L380" s="15" t="n">
        <v>0</v>
      </c>
      <c r="M380" s="13"/>
      <c r="N380" s="15" t="n">
        <v>215000</v>
      </c>
      <c r="O380" s="15" t="n">
        <v>20000</v>
      </c>
      <c r="P380" s="14" t="n">
        <f aca="false">IF(O380="","",O380+E380-L380-N380)</f>
        <v>150810</v>
      </c>
      <c r="Q380" s="15" t="n">
        <v>150810</v>
      </c>
      <c r="R380" s="14" t="n">
        <f aca="false">IF(OR(Q380="",P380=""),"",Q380-P380)</f>
        <v>0</v>
      </c>
      <c r="S380" s="19" t="str">
        <f aca="false">IF(R380="","",IF(ABS(R380)&lt;=Léeme!$B$12,"Cuadra",IF(R380&lt;0,"Faltante","Sobrante")))</f>
        <v>Cuadra</v>
      </c>
      <c r="T380" s="13" t="s">
        <v>101</v>
      </c>
    </row>
    <row r="381" customFormat="false" ht="15" hidden="false" customHeight="false" outlineLevel="0" collapsed="false">
      <c r="A381" s="17" t="n">
        <v>45881</v>
      </c>
      <c r="B381" s="13" t="s">
        <v>28</v>
      </c>
      <c r="C381" s="13" t="s">
        <v>111</v>
      </c>
      <c r="D381" s="13" t="s">
        <v>108</v>
      </c>
      <c r="E381" s="15" t="n">
        <v>247550</v>
      </c>
      <c r="F381" s="15" t="n">
        <v>49460</v>
      </c>
      <c r="G381" s="15" t="n">
        <v>20240</v>
      </c>
      <c r="H381" s="15" t="n">
        <v>32160</v>
      </c>
      <c r="I381" s="15" t="n">
        <v>12140</v>
      </c>
      <c r="J381" s="14" t="n">
        <f aca="false">SUM(E381:I381)</f>
        <v>361550</v>
      </c>
      <c r="K381" s="18" t="n">
        <v>37</v>
      </c>
      <c r="L381" s="15" t="n">
        <v>0</v>
      </c>
      <c r="M381" s="13"/>
      <c r="N381" s="15" t="n">
        <v>0</v>
      </c>
      <c r="O381" s="15" t="n">
        <v>20000</v>
      </c>
      <c r="P381" s="14" t="n">
        <f aca="false">IF(O381="","",O381+E381-L381-N381)</f>
        <v>267550</v>
      </c>
      <c r="Q381" s="15" t="n">
        <v>267550</v>
      </c>
      <c r="R381" s="14" t="n">
        <f aca="false">IF(OR(Q381="",P381=""),"",Q381-P381)</f>
        <v>0</v>
      </c>
      <c r="S381" s="19" t="str">
        <f aca="false">IF(R381="","",IF(ABS(R381)&lt;=Léeme!$B$12,"Cuadra",IF(R381&lt;0,"Faltante","Sobrante")))</f>
        <v>Cuadra</v>
      </c>
      <c r="T381" s="13" t="s">
        <v>101</v>
      </c>
    </row>
    <row r="382" customFormat="false" ht="15" hidden="false" customHeight="false" outlineLevel="0" collapsed="false">
      <c r="A382" s="17" t="n">
        <v>45882</v>
      </c>
      <c r="B382" s="13" t="s">
        <v>27</v>
      </c>
      <c r="C382" s="13" t="s">
        <v>110</v>
      </c>
      <c r="D382" s="13" t="s">
        <v>108</v>
      </c>
      <c r="E382" s="15" t="n">
        <v>390120</v>
      </c>
      <c r="F382" s="15" t="n">
        <v>70230</v>
      </c>
      <c r="G382" s="15" t="n">
        <v>28930</v>
      </c>
      <c r="H382" s="15" t="n">
        <v>46690</v>
      </c>
      <c r="I382" s="15" t="n">
        <v>19720</v>
      </c>
      <c r="J382" s="14" t="n">
        <f aca="false">SUM(E382:I382)</f>
        <v>555690</v>
      </c>
      <c r="K382" s="18" t="n">
        <v>52</v>
      </c>
      <c r="L382" s="15" t="n">
        <v>19510</v>
      </c>
      <c r="M382" s="13" t="s">
        <v>103</v>
      </c>
      <c r="N382" s="15" t="n">
        <v>0</v>
      </c>
      <c r="O382" s="15" t="n">
        <v>20000</v>
      </c>
      <c r="P382" s="14" t="n">
        <f aca="false">IF(O382="","",O382+E382-L382-N382)</f>
        <v>390610</v>
      </c>
      <c r="Q382" s="15" t="n">
        <v>390610</v>
      </c>
      <c r="R382" s="14" t="n">
        <f aca="false">IF(OR(Q382="",P382=""),"",Q382-P382)</f>
        <v>0</v>
      </c>
      <c r="S382" s="19" t="str">
        <f aca="false">IF(R382="","",IF(ABS(R382)&lt;=Léeme!$B$12,"Cuadra",IF(R382&lt;0,"Faltante","Sobrante")))</f>
        <v>Cuadra</v>
      </c>
      <c r="T382" s="13" t="s">
        <v>101</v>
      </c>
    </row>
    <row r="383" customFormat="false" ht="15" hidden="false" customHeight="false" outlineLevel="0" collapsed="false">
      <c r="A383" s="17" t="n">
        <v>45882</v>
      </c>
      <c r="B383" s="13" t="s">
        <v>28</v>
      </c>
      <c r="C383" s="13" t="s">
        <v>111</v>
      </c>
      <c r="D383" s="13" t="s">
        <v>108</v>
      </c>
      <c r="E383" s="15" t="n">
        <v>268100</v>
      </c>
      <c r="F383" s="15" t="n">
        <v>56730</v>
      </c>
      <c r="G383" s="15" t="n">
        <v>20470</v>
      </c>
      <c r="H383" s="15" t="n">
        <v>33660</v>
      </c>
      <c r="I383" s="15" t="n">
        <v>15750</v>
      </c>
      <c r="J383" s="14" t="n">
        <f aca="false">SUM(E383:I383)</f>
        <v>394710</v>
      </c>
      <c r="K383" s="18" t="n">
        <v>38</v>
      </c>
      <c r="L383" s="15" t="n">
        <v>4940</v>
      </c>
      <c r="M383" s="13" t="s">
        <v>105</v>
      </c>
      <c r="N383" s="15" t="n">
        <v>0</v>
      </c>
      <c r="O383" s="15" t="n">
        <v>20000</v>
      </c>
      <c r="P383" s="14" t="n">
        <f aca="false">IF(O383="","",O383+E383-L383-N383)</f>
        <v>283160</v>
      </c>
      <c r="Q383" s="15" t="n">
        <v>283160</v>
      </c>
      <c r="R383" s="14" t="n">
        <f aca="false">IF(OR(Q383="",P383=""),"",Q383-P383)</f>
        <v>0</v>
      </c>
      <c r="S383" s="19" t="str">
        <f aca="false">IF(R383="","",IF(ABS(R383)&lt;=Léeme!$B$12,"Cuadra",IF(R383&lt;0,"Faltante","Sobrante")))</f>
        <v>Cuadra</v>
      </c>
      <c r="T383" s="13" t="s">
        <v>101</v>
      </c>
    </row>
    <row r="384" customFormat="false" ht="15" hidden="false" customHeight="false" outlineLevel="0" collapsed="false">
      <c r="A384" s="17" t="n">
        <v>45883</v>
      </c>
      <c r="B384" s="13" t="s">
        <v>27</v>
      </c>
      <c r="C384" s="13" t="s">
        <v>110</v>
      </c>
      <c r="D384" s="13" t="s">
        <v>108</v>
      </c>
      <c r="E384" s="15" t="n">
        <v>381240</v>
      </c>
      <c r="F384" s="15" t="n">
        <v>71730</v>
      </c>
      <c r="G384" s="15" t="n">
        <v>29280</v>
      </c>
      <c r="H384" s="15" t="n">
        <v>47880</v>
      </c>
      <c r="I384" s="15" t="n">
        <v>17740</v>
      </c>
      <c r="J384" s="14" t="n">
        <f aca="false">SUM(E384:I384)</f>
        <v>547870</v>
      </c>
      <c r="K384" s="18" t="n">
        <v>56</v>
      </c>
      <c r="L384" s="15" t="n">
        <v>0</v>
      </c>
      <c r="M384" s="13"/>
      <c r="N384" s="15" t="n">
        <v>0</v>
      </c>
      <c r="O384" s="15" t="n">
        <v>20000</v>
      </c>
      <c r="P384" s="14" t="n">
        <f aca="false">IF(O384="","",O384+E384-L384-N384)</f>
        <v>401240</v>
      </c>
      <c r="Q384" s="15" t="n">
        <v>401240</v>
      </c>
      <c r="R384" s="14" t="n">
        <f aca="false">IF(OR(Q384="",P384=""),"",Q384-P384)</f>
        <v>0</v>
      </c>
      <c r="S384" s="19" t="str">
        <f aca="false">IF(R384="","",IF(ABS(R384)&lt;=Léeme!$B$12,"Cuadra",IF(R384&lt;0,"Faltante","Sobrante")))</f>
        <v>Cuadra</v>
      </c>
      <c r="T384" s="13" t="s">
        <v>101</v>
      </c>
    </row>
    <row r="385" customFormat="false" ht="15" hidden="false" customHeight="false" outlineLevel="0" collapsed="false">
      <c r="A385" s="17" t="n">
        <v>45883</v>
      </c>
      <c r="B385" s="13" t="s">
        <v>28</v>
      </c>
      <c r="C385" s="13" t="s">
        <v>111</v>
      </c>
      <c r="D385" s="13" t="s">
        <v>108</v>
      </c>
      <c r="E385" s="15" t="n">
        <v>290330</v>
      </c>
      <c r="F385" s="15" t="n">
        <v>54300</v>
      </c>
      <c r="G385" s="15" t="n">
        <v>22810</v>
      </c>
      <c r="H385" s="15" t="n">
        <v>39190</v>
      </c>
      <c r="I385" s="15" t="n">
        <v>14050</v>
      </c>
      <c r="J385" s="14" t="n">
        <f aca="false">SUM(E385:I385)</f>
        <v>420680</v>
      </c>
      <c r="K385" s="18" t="n">
        <v>40</v>
      </c>
      <c r="L385" s="15" t="n">
        <v>17890</v>
      </c>
      <c r="M385" s="13" t="s">
        <v>103</v>
      </c>
      <c r="N385" s="15" t="n">
        <v>0</v>
      </c>
      <c r="O385" s="15" t="n">
        <v>20000</v>
      </c>
      <c r="P385" s="14" t="n">
        <f aca="false">IF(O385="","",O385+E385-L385-N385)</f>
        <v>292440</v>
      </c>
      <c r="Q385" s="15" t="n">
        <v>292440</v>
      </c>
      <c r="R385" s="14" t="n">
        <f aca="false">IF(OR(Q385="",P385=""),"",Q385-P385)</f>
        <v>0</v>
      </c>
      <c r="S385" s="19" t="str">
        <f aca="false">IF(R385="","",IF(ABS(R385)&lt;=Léeme!$B$12,"Cuadra",IF(R385&lt;0,"Faltante","Sobrante")))</f>
        <v>Cuadra</v>
      </c>
      <c r="T385" s="13" t="s">
        <v>101</v>
      </c>
    </row>
    <row r="386" customFormat="false" ht="15" hidden="false" customHeight="false" outlineLevel="0" collapsed="false">
      <c r="A386" s="17" t="n">
        <v>45884</v>
      </c>
      <c r="B386" s="13" t="s">
        <v>27</v>
      </c>
      <c r="C386" s="13" t="s">
        <v>110</v>
      </c>
      <c r="D386" s="13" t="s">
        <v>108</v>
      </c>
      <c r="E386" s="15" t="n">
        <v>342710</v>
      </c>
      <c r="F386" s="15" t="n">
        <v>55470</v>
      </c>
      <c r="G386" s="15" t="n">
        <v>23600</v>
      </c>
      <c r="H386" s="15" t="n">
        <v>42680</v>
      </c>
      <c r="I386" s="15" t="n">
        <v>18170</v>
      </c>
      <c r="J386" s="14" t="n">
        <f aca="false">SUM(E386:I386)</f>
        <v>482630</v>
      </c>
      <c r="K386" s="18" t="n">
        <v>49</v>
      </c>
      <c r="L386" s="15" t="n">
        <v>12150</v>
      </c>
      <c r="M386" s="13" t="s">
        <v>103</v>
      </c>
      <c r="N386" s="15" t="n">
        <v>0</v>
      </c>
      <c r="O386" s="15" t="n">
        <v>20000</v>
      </c>
      <c r="P386" s="14" t="n">
        <f aca="false">IF(O386="","",O386+E386-L386-N386)</f>
        <v>350560</v>
      </c>
      <c r="Q386" s="15" t="n">
        <v>350560</v>
      </c>
      <c r="R386" s="14" t="n">
        <f aca="false">IF(OR(Q386="",P386=""),"",Q386-P386)</f>
        <v>0</v>
      </c>
      <c r="S386" s="19" t="str">
        <f aca="false">IF(R386="","",IF(ABS(R386)&lt;=Léeme!$B$12,"Cuadra",IF(R386&lt;0,"Faltante","Sobrante")))</f>
        <v>Cuadra</v>
      </c>
      <c r="T386" s="13" t="s">
        <v>101</v>
      </c>
    </row>
    <row r="387" customFormat="false" ht="15" hidden="false" customHeight="false" outlineLevel="0" collapsed="false">
      <c r="A387" s="17" t="n">
        <v>45884</v>
      </c>
      <c r="B387" s="13" t="s">
        <v>28</v>
      </c>
      <c r="C387" s="13" t="s">
        <v>111</v>
      </c>
      <c r="D387" s="13" t="s">
        <v>108</v>
      </c>
      <c r="E387" s="15" t="n">
        <v>240290</v>
      </c>
      <c r="F387" s="15" t="n">
        <v>44730</v>
      </c>
      <c r="G387" s="15" t="n">
        <v>19090</v>
      </c>
      <c r="H387" s="15" t="n">
        <v>31190</v>
      </c>
      <c r="I387" s="15" t="n">
        <v>13230</v>
      </c>
      <c r="J387" s="14" t="n">
        <f aca="false">SUM(E387:I387)</f>
        <v>348530</v>
      </c>
      <c r="K387" s="18" t="n">
        <v>33</v>
      </c>
      <c r="L387" s="15" t="n">
        <v>0</v>
      </c>
      <c r="M387" s="13"/>
      <c r="N387" s="15" t="n">
        <v>142000</v>
      </c>
      <c r="O387" s="15" t="n">
        <v>20000</v>
      </c>
      <c r="P387" s="14" t="n">
        <f aca="false">IF(O387="","",O387+E387-L387-N387)</f>
        <v>118290</v>
      </c>
      <c r="Q387" s="15" t="n">
        <v>117680</v>
      </c>
      <c r="R387" s="14" t="n">
        <f aca="false">IF(OR(Q387="",P387=""),"",Q387-P387)</f>
        <v>-610</v>
      </c>
      <c r="S387" s="19" t="str">
        <f aca="false">IF(R387="","",IF(ABS(R387)&lt;=Léeme!$B$12,"Cuadra",IF(R387&lt;0,"Faltante","Sobrante")))</f>
        <v>Faltante</v>
      </c>
      <c r="T387" s="13" t="s">
        <v>101</v>
      </c>
    </row>
    <row r="388" customFormat="false" ht="15" hidden="false" customHeight="false" outlineLevel="0" collapsed="false">
      <c r="A388" s="17" t="n">
        <v>45885</v>
      </c>
      <c r="B388" s="13" t="s">
        <v>27</v>
      </c>
      <c r="C388" s="13" t="s">
        <v>107</v>
      </c>
      <c r="D388" s="13" t="s">
        <v>108</v>
      </c>
      <c r="E388" s="15" t="n">
        <v>546160</v>
      </c>
      <c r="F388" s="15" t="n">
        <v>116020</v>
      </c>
      <c r="G388" s="15" t="n">
        <v>48410</v>
      </c>
      <c r="H388" s="15" t="n">
        <v>73960</v>
      </c>
      <c r="I388" s="15" t="n">
        <v>32660</v>
      </c>
      <c r="J388" s="14" t="n">
        <f aca="false">SUM(E388:I388)</f>
        <v>817210</v>
      </c>
      <c r="K388" s="18" t="n">
        <v>81</v>
      </c>
      <c r="L388" s="15" t="n">
        <v>2460</v>
      </c>
      <c r="M388" s="13" t="s">
        <v>105</v>
      </c>
      <c r="N388" s="15" t="n">
        <v>0</v>
      </c>
      <c r="O388" s="15" t="n">
        <v>20000</v>
      </c>
      <c r="P388" s="14" t="n">
        <f aca="false">IF(O388="","",O388+E388-L388-N388)</f>
        <v>563700</v>
      </c>
      <c r="Q388" s="15" t="n">
        <v>554900</v>
      </c>
      <c r="R388" s="14" t="n">
        <f aca="false">IF(OR(Q388="",P388=""),"",Q388-P388)</f>
        <v>-8800</v>
      </c>
      <c r="S388" s="19" t="str">
        <f aca="false">IF(R388="","",IF(ABS(R388)&lt;=Léeme!$B$12,"Cuadra",IF(R388&lt;0,"Faltante","Sobrante")))</f>
        <v>Faltante</v>
      </c>
      <c r="T388" s="13" t="s">
        <v>101</v>
      </c>
    </row>
    <row r="389" customFormat="false" ht="15" hidden="false" customHeight="false" outlineLevel="0" collapsed="false">
      <c r="A389" s="17" t="n">
        <v>45885</v>
      </c>
      <c r="B389" s="13" t="s">
        <v>28</v>
      </c>
      <c r="C389" s="13" t="s">
        <v>109</v>
      </c>
      <c r="D389" s="13" t="s">
        <v>108</v>
      </c>
      <c r="E389" s="15" t="n">
        <v>372890</v>
      </c>
      <c r="F389" s="15" t="n">
        <v>72010</v>
      </c>
      <c r="G389" s="15" t="n">
        <v>30200</v>
      </c>
      <c r="H389" s="15" t="n">
        <v>48440</v>
      </c>
      <c r="I389" s="15" t="n">
        <v>18910</v>
      </c>
      <c r="J389" s="14" t="n">
        <f aca="false">SUM(E389:I389)</f>
        <v>542450</v>
      </c>
      <c r="K389" s="18" t="n">
        <v>55</v>
      </c>
      <c r="L389" s="15" t="n">
        <v>0</v>
      </c>
      <c r="M389" s="13"/>
      <c r="N389" s="15" t="n">
        <v>282000</v>
      </c>
      <c r="O389" s="15" t="n">
        <v>20000</v>
      </c>
      <c r="P389" s="14" t="n">
        <f aca="false">IF(O389="","",O389+E389-L389-N389)</f>
        <v>110890</v>
      </c>
      <c r="Q389" s="15" t="n">
        <v>110890</v>
      </c>
      <c r="R389" s="14" t="n">
        <f aca="false">IF(OR(Q389="",P389=""),"",Q389-P389)</f>
        <v>0</v>
      </c>
      <c r="S389" s="19" t="str">
        <f aca="false">IF(R389="","",IF(ABS(R389)&lt;=Léeme!$B$12,"Cuadra",IF(R389&lt;0,"Faltante","Sobrante")))</f>
        <v>Cuadra</v>
      </c>
      <c r="T389" s="13" t="s">
        <v>101</v>
      </c>
    </row>
    <row r="390" customFormat="false" ht="15" hidden="false" customHeight="false" outlineLevel="0" collapsed="false">
      <c r="A390" s="17" t="n">
        <v>45886</v>
      </c>
      <c r="B390" s="13" t="s">
        <v>27</v>
      </c>
      <c r="C390" s="13" t="s">
        <v>107</v>
      </c>
      <c r="D390" s="13" t="s">
        <v>108</v>
      </c>
      <c r="E390" s="15" t="n">
        <v>946440</v>
      </c>
      <c r="F390" s="15" t="n">
        <v>193180</v>
      </c>
      <c r="G390" s="15" t="n">
        <v>78270</v>
      </c>
      <c r="H390" s="15" t="n">
        <v>122280</v>
      </c>
      <c r="I390" s="15" t="n">
        <v>54090</v>
      </c>
      <c r="J390" s="14" t="n">
        <f aca="false">SUM(E390:I390)</f>
        <v>1394260</v>
      </c>
      <c r="K390" s="18" t="n">
        <v>127</v>
      </c>
      <c r="L390" s="15" t="n">
        <v>0</v>
      </c>
      <c r="M390" s="13"/>
      <c r="N390" s="15" t="n">
        <v>589000</v>
      </c>
      <c r="O390" s="15" t="n">
        <v>20000</v>
      </c>
      <c r="P390" s="14" t="n">
        <f aca="false">IF(O390="","",O390+E390-L390-N390)</f>
        <v>377440</v>
      </c>
      <c r="Q390" s="15" t="n">
        <v>368140</v>
      </c>
      <c r="R390" s="14" t="n">
        <f aca="false">IF(OR(Q390="",P390=""),"",Q390-P390)</f>
        <v>-9300</v>
      </c>
      <c r="S390" s="19" t="str">
        <f aca="false">IF(R390="","",IF(ABS(R390)&lt;=Léeme!$B$12,"Cuadra",IF(R390&lt;0,"Faltante","Sobrante")))</f>
        <v>Faltante</v>
      </c>
      <c r="T390" s="13" t="s">
        <v>101</v>
      </c>
    </row>
    <row r="391" customFormat="false" ht="15" hidden="false" customHeight="false" outlineLevel="0" collapsed="false">
      <c r="A391" s="17" t="n">
        <v>45888</v>
      </c>
      <c r="B391" s="13" t="s">
        <v>27</v>
      </c>
      <c r="C391" s="13" t="s">
        <v>110</v>
      </c>
      <c r="D391" s="13" t="s">
        <v>108</v>
      </c>
      <c r="E391" s="15" t="n">
        <v>392240</v>
      </c>
      <c r="F391" s="15" t="n">
        <v>65860</v>
      </c>
      <c r="G391" s="15" t="n">
        <v>30000</v>
      </c>
      <c r="H391" s="15" t="n">
        <v>46620</v>
      </c>
      <c r="I391" s="15" t="n">
        <v>21130</v>
      </c>
      <c r="J391" s="14" t="n">
        <f aca="false">SUM(E391:I391)</f>
        <v>555850</v>
      </c>
      <c r="K391" s="18" t="n">
        <v>51</v>
      </c>
      <c r="L391" s="15" t="n">
        <v>6610</v>
      </c>
      <c r="M391" s="13" t="s">
        <v>104</v>
      </c>
      <c r="N391" s="15" t="n">
        <v>0</v>
      </c>
      <c r="O391" s="15" t="n">
        <v>20000</v>
      </c>
      <c r="P391" s="14" t="n">
        <f aca="false">IF(O391="","",O391+E391-L391-N391)</f>
        <v>405630</v>
      </c>
      <c r="Q391" s="15" t="n">
        <v>407260</v>
      </c>
      <c r="R391" s="14" t="n">
        <f aca="false">IF(OR(Q391="",P391=""),"",Q391-P391)</f>
        <v>1630</v>
      </c>
      <c r="S391" s="19" t="str">
        <f aca="false">IF(R391="","",IF(ABS(R391)&lt;=Léeme!$B$12,"Cuadra",IF(R391&lt;0,"Faltante","Sobrante")))</f>
        <v>Sobrante</v>
      </c>
      <c r="T391" s="13" t="s">
        <v>101</v>
      </c>
    </row>
    <row r="392" customFormat="false" ht="15" hidden="false" customHeight="false" outlineLevel="0" collapsed="false">
      <c r="A392" s="17" t="n">
        <v>45888</v>
      </c>
      <c r="B392" s="13" t="s">
        <v>28</v>
      </c>
      <c r="C392" s="13" t="s">
        <v>111</v>
      </c>
      <c r="D392" s="13" t="s">
        <v>108</v>
      </c>
      <c r="E392" s="15" t="n">
        <v>261220</v>
      </c>
      <c r="F392" s="15" t="n">
        <v>52160</v>
      </c>
      <c r="G392" s="15" t="n">
        <v>21070</v>
      </c>
      <c r="H392" s="15" t="n">
        <v>29360</v>
      </c>
      <c r="I392" s="15" t="n">
        <v>12930</v>
      </c>
      <c r="J392" s="14" t="n">
        <f aca="false">SUM(E392:I392)</f>
        <v>376740</v>
      </c>
      <c r="K392" s="18" t="n">
        <v>35</v>
      </c>
      <c r="L392" s="15" t="n">
        <v>25580</v>
      </c>
      <c r="M392" s="13" t="s">
        <v>103</v>
      </c>
      <c r="N392" s="15" t="n">
        <v>192000</v>
      </c>
      <c r="O392" s="15" t="n">
        <v>20000</v>
      </c>
      <c r="P392" s="14" t="n">
        <f aca="false">IF(O392="","",O392+E392-L392-N392)</f>
        <v>63640</v>
      </c>
      <c r="Q392" s="15" t="n">
        <v>63640</v>
      </c>
      <c r="R392" s="14" t="n">
        <f aca="false">IF(OR(Q392="",P392=""),"",Q392-P392)</f>
        <v>0</v>
      </c>
      <c r="S392" s="19" t="str">
        <f aca="false">IF(R392="","",IF(ABS(R392)&lt;=Léeme!$B$12,"Cuadra",IF(R392&lt;0,"Faltante","Sobrante")))</f>
        <v>Cuadra</v>
      </c>
      <c r="T392" s="13" t="s">
        <v>101</v>
      </c>
    </row>
    <row r="393" customFormat="false" ht="15" hidden="false" customHeight="false" outlineLevel="0" collapsed="false">
      <c r="A393" s="17" t="n">
        <v>45889</v>
      </c>
      <c r="B393" s="13" t="s">
        <v>27</v>
      </c>
      <c r="C393" s="13" t="s">
        <v>110</v>
      </c>
      <c r="D393" s="13" t="s">
        <v>108</v>
      </c>
      <c r="E393" s="15" t="n">
        <v>332020</v>
      </c>
      <c r="F393" s="15" t="n">
        <v>65660</v>
      </c>
      <c r="G393" s="15" t="n">
        <v>26680</v>
      </c>
      <c r="H393" s="15" t="n">
        <v>41270</v>
      </c>
      <c r="I393" s="15" t="n">
        <v>16980</v>
      </c>
      <c r="J393" s="14" t="n">
        <f aca="false">SUM(E393:I393)</f>
        <v>482610</v>
      </c>
      <c r="K393" s="18" t="n">
        <v>43</v>
      </c>
      <c r="L393" s="15" t="n">
        <v>0</v>
      </c>
      <c r="M393" s="13"/>
      <c r="N393" s="15" t="n">
        <v>0</v>
      </c>
      <c r="O393" s="15" t="n">
        <v>20000</v>
      </c>
      <c r="P393" s="14" t="n">
        <f aca="false">IF(O393="","",O393+E393-L393-N393)</f>
        <v>352020</v>
      </c>
      <c r="Q393" s="15" t="n">
        <v>352020</v>
      </c>
      <c r="R393" s="14" t="n">
        <f aca="false">IF(OR(Q393="",P393=""),"",Q393-P393)</f>
        <v>0</v>
      </c>
      <c r="S393" s="19" t="str">
        <f aca="false">IF(R393="","",IF(ABS(R393)&lt;=Léeme!$B$12,"Cuadra",IF(R393&lt;0,"Faltante","Sobrante")))</f>
        <v>Cuadra</v>
      </c>
      <c r="T393" s="13" t="s">
        <v>101</v>
      </c>
    </row>
    <row r="394" customFormat="false" ht="15" hidden="false" customHeight="false" outlineLevel="0" collapsed="false">
      <c r="A394" s="17" t="n">
        <v>45889</v>
      </c>
      <c r="B394" s="13" t="s">
        <v>28</v>
      </c>
      <c r="C394" s="13" t="s">
        <v>111</v>
      </c>
      <c r="D394" s="13" t="s">
        <v>108</v>
      </c>
      <c r="E394" s="15" t="n">
        <v>251190</v>
      </c>
      <c r="F394" s="15" t="n">
        <v>44660</v>
      </c>
      <c r="G394" s="15" t="n">
        <v>17810</v>
      </c>
      <c r="H394" s="15" t="n">
        <v>33640</v>
      </c>
      <c r="I394" s="15" t="n">
        <v>11990</v>
      </c>
      <c r="J394" s="14" t="n">
        <f aca="false">SUM(E394:I394)</f>
        <v>359290</v>
      </c>
      <c r="K394" s="18" t="n">
        <v>32</v>
      </c>
      <c r="L394" s="15" t="n">
        <v>0</v>
      </c>
      <c r="M394" s="13"/>
      <c r="N394" s="15" t="n">
        <v>177000</v>
      </c>
      <c r="O394" s="15" t="n">
        <v>20000</v>
      </c>
      <c r="P394" s="14" t="n">
        <f aca="false">IF(O394="","",O394+E394-L394-N394)</f>
        <v>94190</v>
      </c>
      <c r="Q394" s="15" t="n">
        <v>94190</v>
      </c>
      <c r="R394" s="14" t="n">
        <f aca="false">IF(OR(Q394="",P394=""),"",Q394-P394)</f>
        <v>0</v>
      </c>
      <c r="S394" s="19" t="str">
        <f aca="false">IF(R394="","",IF(ABS(R394)&lt;=Léeme!$B$12,"Cuadra",IF(R394&lt;0,"Faltante","Sobrante")))</f>
        <v>Cuadra</v>
      </c>
      <c r="T394" s="13" t="s">
        <v>101</v>
      </c>
    </row>
    <row r="395" customFormat="false" ht="15" hidden="false" customHeight="false" outlineLevel="0" collapsed="false">
      <c r="A395" s="17" t="n">
        <v>45890</v>
      </c>
      <c r="B395" s="13" t="s">
        <v>27</v>
      </c>
      <c r="C395" s="13" t="s">
        <v>110</v>
      </c>
      <c r="D395" s="13" t="s">
        <v>108</v>
      </c>
      <c r="E395" s="15" t="n">
        <v>349310</v>
      </c>
      <c r="F395" s="15" t="n">
        <v>61690</v>
      </c>
      <c r="G395" s="15" t="n">
        <v>26930</v>
      </c>
      <c r="H395" s="15" t="n">
        <v>37920</v>
      </c>
      <c r="I395" s="15" t="n">
        <v>18420</v>
      </c>
      <c r="J395" s="14" t="n">
        <f aca="false">SUM(E395:I395)</f>
        <v>494270</v>
      </c>
      <c r="K395" s="18" t="n">
        <v>44</v>
      </c>
      <c r="L395" s="15" t="n">
        <v>0</v>
      </c>
      <c r="M395" s="13"/>
      <c r="N395" s="15" t="n">
        <v>0</v>
      </c>
      <c r="O395" s="15" t="n">
        <v>20000</v>
      </c>
      <c r="P395" s="14" t="n">
        <f aca="false">IF(O395="","",O395+E395-L395-N395)</f>
        <v>369310</v>
      </c>
      <c r="Q395" s="15" t="n">
        <v>369310</v>
      </c>
      <c r="R395" s="14" t="n">
        <f aca="false">IF(OR(Q395="",P395=""),"",Q395-P395)</f>
        <v>0</v>
      </c>
      <c r="S395" s="19" t="str">
        <f aca="false">IF(R395="","",IF(ABS(R395)&lt;=Léeme!$B$12,"Cuadra",IF(R395&lt;0,"Faltante","Sobrante")))</f>
        <v>Cuadra</v>
      </c>
      <c r="T395" s="13" t="s">
        <v>101</v>
      </c>
    </row>
    <row r="396" customFormat="false" ht="15" hidden="false" customHeight="false" outlineLevel="0" collapsed="false">
      <c r="A396" s="17" t="n">
        <v>45890</v>
      </c>
      <c r="B396" s="13" t="s">
        <v>28</v>
      </c>
      <c r="C396" s="13" t="s">
        <v>111</v>
      </c>
      <c r="D396" s="13" t="s">
        <v>108</v>
      </c>
      <c r="E396" s="15" t="n">
        <v>244120</v>
      </c>
      <c r="F396" s="15" t="n">
        <v>49450</v>
      </c>
      <c r="G396" s="15" t="n">
        <v>20630</v>
      </c>
      <c r="H396" s="15" t="n">
        <v>34480</v>
      </c>
      <c r="I396" s="15" t="n">
        <v>13080</v>
      </c>
      <c r="J396" s="14" t="n">
        <f aca="false">SUM(E396:I396)</f>
        <v>361760</v>
      </c>
      <c r="K396" s="18" t="n">
        <v>33</v>
      </c>
      <c r="L396" s="15" t="n">
        <v>0</v>
      </c>
      <c r="M396" s="13"/>
      <c r="N396" s="15" t="n">
        <v>0</v>
      </c>
      <c r="O396" s="15" t="n">
        <v>20000</v>
      </c>
      <c r="P396" s="14" t="n">
        <f aca="false">IF(O396="","",O396+E396-L396-N396)</f>
        <v>264120</v>
      </c>
      <c r="Q396" s="15" t="n">
        <v>264120</v>
      </c>
      <c r="R396" s="14" t="n">
        <f aca="false">IF(OR(Q396="",P396=""),"",Q396-P396)</f>
        <v>0</v>
      </c>
      <c r="S396" s="19" t="str">
        <f aca="false">IF(R396="","",IF(ABS(R396)&lt;=Léeme!$B$12,"Cuadra",IF(R396&lt;0,"Faltante","Sobrante")))</f>
        <v>Cuadra</v>
      </c>
      <c r="T396" s="13" t="s">
        <v>101</v>
      </c>
    </row>
    <row r="397" customFormat="false" ht="15" hidden="false" customHeight="false" outlineLevel="0" collapsed="false">
      <c r="A397" s="17" t="n">
        <v>45891</v>
      </c>
      <c r="B397" s="13" t="s">
        <v>27</v>
      </c>
      <c r="C397" s="13" t="s">
        <v>110</v>
      </c>
      <c r="D397" s="13" t="s">
        <v>108</v>
      </c>
      <c r="E397" s="15" t="n">
        <v>318070</v>
      </c>
      <c r="F397" s="15" t="n">
        <v>63520</v>
      </c>
      <c r="G397" s="15" t="n">
        <v>25330</v>
      </c>
      <c r="H397" s="15" t="n">
        <v>42350</v>
      </c>
      <c r="I397" s="15" t="n">
        <v>16960</v>
      </c>
      <c r="J397" s="14" t="n">
        <f aca="false">SUM(E397:I397)</f>
        <v>466230</v>
      </c>
      <c r="K397" s="18" t="n">
        <v>47</v>
      </c>
      <c r="L397" s="15" t="n">
        <v>0</v>
      </c>
      <c r="M397" s="13"/>
      <c r="N397" s="15" t="n">
        <v>0</v>
      </c>
      <c r="O397" s="15" t="n">
        <v>20000</v>
      </c>
      <c r="P397" s="14" t="n">
        <f aca="false">IF(O397="","",O397+E397-L397-N397)</f>
        <v>338070</v>
      </c>
      <c r="Q397" s="15" t="n">
        <v>338070</v>
      </c>
      <c r="R397" s="14" t="n">
        <f aca="false">IF(OR(Q397="",P397=""),"",Q397-P397)</f>
        <v>0</v>
      </c>
      <c r="S397" s="19" t="str">
        <f aca="false">IF(R397="","",IF(ABS(R397)&lt;=Léeme!$B$12,"Cuadra",IF(R397&lt;0,"Faltante","Sobrante")))</f>
        <v>Cuadra</v>
      </c>
      <c r="T397" s="13" t="s">
        <v>101</v>
      </c>
    </row>
    <row r="398" customFormat="false" ht="15" hidden="false" customHeight="false" outlineLevel="0" collapsed="false">
      <c r="A398" s="17" t="n">
        <v>45891</v>
      </c>
      <c r="B398" s="13" t="s">
        <v>28</v>
      </c>
      <c r="C398" s="13" t="s">
        <v>111</v>
      </c>
      <c r="D398" s="13" t="s">
        <v>108</v>
      </c>
      <c r="E398" s="15" t="n">
        <v>232280</v>
      </c>
      <c r="F398" s="15" t="n">
        <v>44680</v>
      </c>
      <c r="G398" s="15" t="n">
        <v>17600</v>
      </c>
      <c r="H398" s="15" t="n">
        <v>30010</v>
      </c>
      <c r="I398" s="15" t="n">
        <v>11650</v>
      </c>
      <c r="J398" s="14" t="n">
        <f aca="false">SUM(E398:I398)</f>
        <v>336220</v>
      </c>
      <c r="K398" s="18" t="n">
        <v>34</v>
      </c>
      <c r="L398" s="15" t="n">
        <v>0</v>
      </c>
      <c r="M398" s="13"/>
      <c r="N398" s="15" t="n">
        <v>0</v>
      </c>
      <c r="O398" s="15" t="n">
        <v>20000</v>
      </c>
      <c r="P398" s="14" t="n">
        <f aca="false">IF(O398="","",O398+E398-L398-N398)</f>
        <v>252280</v>
      </c>
      <c r="Q398" s="15" t="n">
        <v>252280</v>
      </c>
      <c r="R398" s="14" t="n">
        <f aca="false">IF(OR(Q398="",P398=""),"",Q398-P398)</f>
        <v>0</v>
      </c>
      <c r="S398" s="19" t="str">
        <f aca="false">IF(R398="","",IF(ABS(R398)&lt;=Léeme!$B$12,"Cuadra",IF(R398&lt;0,"Faltante","Sobrante")))</f>
        <v>Cuadra</v>
      </c>
      <c r="T398" s="13" t="s">
        <v>101</v>
      </c>
    </row>
    <row r="399" customFormat="false" ht="15" hidden="false" customHeight="false" outlineLevel="0" collapsed="false">
      <c r="A399" s="17" t="n">
        <v>45892</v>
      </c>
      <c r="B399" s="13" t="s">
        <v>27</v>
      </c>
      <c r="C399" s="13" t="s">
        <v>107</v>
      </c>
      <c r="D399" s="13" t="s">
        <v>108</v>
      </c>
      <c r="E399" s="15" t="n">
        <v>549220</v>
      </c>
      <c r="F399" s="15" t="n">
        <v>97540</v>
      </c>
      <c r="G399" s="15" t="n">
        <v>43610</v>
      </c>
      <c r="H399" s="15" t="n">
        <v>67110</v>
      </c>
      <c r="I399" s="15" t="n">
        <v>25720</v>
      </c>
      <c r="J399" s="14" t="n">
        <f aca="false">SUM(E399:I399)</f>
        <v>783200</v>
      </c>
      <c r="K399" s="18" t="n">
        <v>73</v>
      </c>
      <c r="L399" s="15" t="n">
        <v>0</v>
      </c>
      <c r="M399" s="13"/>
      <c r="N399" s="15" t="n">
        <v>357000</v>
      </c>
      <c r="O399" s="15" t="n">
        <v>20000</v>
      </c>
      <c r="P399" s="14" t="n">
        <f aca="false">IF(O399="","",O399+E399-L399-N399)</f>
        <v>212220</v>
      </c>
      <c r="Q399" s="15" t="n">
        <v>202420</v>
      </c>
      <c r="R399" s="14" t="n">
        <f aca="false">IF(OR(Q399="",P399=""),"",Q399-P399)</f>
        <v>-9800</v>
      </c>
      <c r="S399" s="19" t="str">
        <f aca="false">IF(R399="","",IF(ABS(R399)&lt;=Léeme!$B$12,"Cuadra",IF(R399&lt;0,"Faltante","Sobrante")))</f>
        <v>Faltante</v>
      </c>
      <c r="T399" s="13" t="s">
        <v>101</v>
      </c>
    </row>
    <row r="400" customFormat="false" ht="15" hidden="false" customHeight="false" outlineLevel="0" collapsed="false">
      <c r="A400" s="17" t="n">
        <v>45892</v>
      </c>
      <c r="B400" s="13" t="s">
        <v>28</v>
      </c>
      <c r="C400" s="13" t="s">
        <v>109</v>
      </c>
      <c r="D400" s="13" t="s">
        <v>108</v>
      </c>
      <c r="E400" s="15" t="n">
        <v>400470</v>
      </c>
      <c r="F400" s="15" t="n">
        <v>83660</v>
      </c>
      <c r="G400" s="15" t="n">
        <v>33940</v>
      </c>
      <c r="H400" s="15" t="n">
        <v>49590</v>
      </c>
      <c r="I400" s="15" t="n">
        <v>21170</v>
      </c>
      <c r="J400" s="14" t="n">
        <f aca="false">SUM(E400:I400)</f>
        <v>588830</v>
      </c>
      <c r="K400" s="18" t="n">
        <v>55</v>
      </c>
      <c r="L400" s="15" t="n">
        <v>15270</v>
      </c>
      <c r="M400" s="13" t="s">
        <v>103</v>
      </c>
      <c r="N400" s="15" t="n">
        <v>267000</v>
      </c>
      <c r="O400" s="15" t="n">
        <v>20000</v>
      </c>
      <c r="P400" s="14" t="n">
        <f aca="false">IF(O400="","",O400+E400-L400-N400)</f>
        <v>138200</v>
      </c>
      <c r="Q400" s="15" t="n">
        <v>138200</v>
      </c>
      <c r="R400" s="14" t="n">
        <f aca="false">IF(OR(Q400="",P400=""),"",Q400-P400)</f>
        <v>0</v>
      </c>
      <c r="S400" s="19" t="str">
        <f aca="false">IF(R400="","",IF(ABS(R400)&lt;=Léeme!$B$12,"Cuadra",IF(R400&lt;0,"Faltante","Sobrante")))</f>
        <v>Cuadra</v>
      </c>
      <c r="T400" s="13" t="s">
        <v>101</v>
      </c>
    </row>
    <row r="401" customFormat="false" ht="15" hidden="false" customHeight="false" outlineLevel="0" collapsed="false">
      <c r="A401" s="17" t="n">
        <v>45893</v>
      </c>
      <c r="B401" s="13" t="s">
        <v>27</v>
      </c>
      <c r="C401" s="13" t="s">
        <v>107</v>
      </c>
      <c r="D401" s="13" t="s">
        <v>108</v>
      </c>
      <c r="E401" s="15" t="n">
        <v>957730</v>
      </c>
      <c r="F401" s="15" t="n">
        <v>179610</v>
      </c>
      <c r="G401" s="15" t="n">
        <v>70830</v>
      </c>
      <c r="H401" s="15" t="n">
        <v>127500</v>
      </c>
      <c r="I401" s="15" t="n">
        <v>47250</v>
      </c>
      <c r="J401" s="14" t="n">
        <f aca="false">SUM(E401:I401)</f>
        <v>1382920</v>
      </c>
      <c r="K401" s="18" t="n">
        <v>134</v>
      </c>
      <c r="L401" s="15" t="n">
        <v>0</v>
      </c>
      <c r="M401" s="13"/>
      <c r="N401" s="15" t="n">
        <v>553000</v>
      </c>
      <c r="O401" s="15" t="n">
        <v>20000</v>
      </c>
      <c r="P401" s="14" t="n">
        <f aca="false">IF(O401="","",O401+E401-L401-N401)</f>
        <v>424730</v>
      </c>
      <c r="Q401" s="15" t="n">
        <v>416330</v>
      </c>
      <c r="R401" s="14" t="n">
        <f aca="false">IF(OR(Q401="",P401=""),"",Q401-P401)</f>
        <v>-8400</v>
      </c>
      <c r="S401" s="19" t="str">
        <f aca="false">IF(R401="","",IF(ABS(R401)&lt;=Léeme!$B$12,"Cuadra",IF(R401&lt;0,"Faltante","Sobrante")))</f>
        <v>Faltante</v>
      </c>
      <c r="T401" s="13" t="s">
        <v>101</v>
      </c>
    </row>
    <row r="402" customFormat="false" ht="15" hidden="false" customHeight="false" outlineLevel="0" collapsed="false">
      <c r="A402" s="17" t="n">
        <v>45893</v>
      </c>
      <c r="B402" s="13" t="s">
        <v>28</v>
      </c>
      <c r="C402" s="13" t="s">
        <v>109</v>
      </c>
      <c r="D402" s="13" t="s">
        <v>108</v>
      </c>
      <c r="E402" s="15" t="n">
        <v>743060</v>
      </c>
      <c r="F402" s="15" t="n">
        <v>152190</v>
      </c>
      <c r="G402" s="15" t="n">
        <v>64880</v>
      </c>
      <c r="H402" s="15" t="n">
        <v>91590</v>
      </c>
      <c r="I402" s="15" t="n">
        <v>38160</v>
      </c>
      <c r="J402" s="14" t="n">
        <f aca="false">SUM(E402:I402)</f>
        <v>1089880</v>
      </c>
      <c r="K402" s="18" t="n">
        <v>99</v>
      </c>
      <c r="L402" s="15" t="n">
        <v>5830</v>
      </c>
      <c r="M402" s="13" t="s">
        <v>105</v>
      </c>
      <c r="N402" s="15" t="n">
        <v>506000</v>
      </c>
      <c r="O402" s="15" t="n">
        <v>20000</v>
      </c>
      <c r="P402" s="14" t="n">
        <f aca="false">IF(O402="","",O402+E402-L402-N402)</f>
        <v>251230</v>
      </c>
      <c r="Q402" s="15" t="n">
        <v>251230</v>
      </c>
      <c r="R402" s="14" t="n">
        <f aca="false">IF(OR(Q402="",P402=""),"",Q402-P402)</f>
        <v>0</v>
      </c>
      <c r="S402" s="19" t="str">
        <f aca="false">IF(R402="","",IF(ABS(R402)&lt;=Léeme!$B$12,"Cuadra",IF(R402&lt;0,"Faltante","Sobrante")))</f>
        <v>Cuadra</v>
      </c>
      <c r="T402" s="13" t="s">
        <v>101</v>
      </c>
    </row>
    <row r="403" customFormat="false" ht="15" hidden="false" customHeight="false" outlineLevel="0" collapsed="false">
      <c r="A403" s="17" t="n">
        <v>45895</v>
      </c>
      <c r="B403" s="13" t="s">
        <v>27</v>
      </c>
      <c r="C403" s="13" t="s">
        <v>110</v>
      </c>
      <c r="D403" s="13" t="s">
        <v>108</v>
      </c>
      <c r="E403" s="15" t="n">
        <v>367110</v>
      </c>
      <c r="F403" s="15" t="n">
        <v>72310</v>
      </c>
      <c r="G403" s="15" t="n">
        <v>32040</v>
      </c>
      <c r="H403" s="15" t="n">
        <v>56360</v>
      </c>
      <c r="I403" s="15" t="n">
        <v>19700</v>
      </c>
      <c r="J403" s="14" t="n">
        <f aca="false">SUM(E403:I403)</f>
        <v>547520</v>
      </c>
      <c r="K403" s="18" t="n">
        <v>53</v>
      </c>
      <c r="L403" s="15" t="n">
        <v>0</v>
      </c>
      <c r="M403" s="13"/>
      <c r="N403" s="15" t="n">
        <v>0</v>
      </c>
      <c r="O403" s="15" t="n">
        <v>20000</v>
      </c>
      <c r="P403" s="14" t="n">
        <f aca="false">IF(O403="","",O403+E403-L403-N403)</f>
        <v>387110</v>
      </c>
      <c r="Q403" s="15" t="n">
        <v>386610</v>
      </c>
      <c r="R403" s="14" t="n">
        <f aca="false">IF(OR(Q403="",P403=""),"",Q403-P403)</f>
        <v>-500</v>
      </c>
      <c r="S403" s="19" t="str">
        <f aca="false">IF(R403="","",IF(ABS(R403)&lt;=Léeme!$B$12,"Cuadra",IF(R403&lt;0,"Faltante","Sobrante")))</f>
        <v>Cuadra</v>
      </c>
      <c r="T403" s="13" t="s">
        <v>101</v>
      </c>
    </row>
    <row r="404" customFormat="false" ht="15" hidden="false" customHeight="false" outlineLevel="0" collapsed="false">
      <c r="A404" s="17" t="n">
        <v>45895</v>
      </c>
      <c r="B404" s="13" t="s">
        <v>28</v>
      </c>
      <c r="C404" s="13" t="s">
        <v>111</v>
      </c>
      <c r="D404" s="13" t="s">
        <v>108</v>
      </c>
      <c r="E404" s="15" t="n">
        <v>274030</v>
      </c>
      <c r="F404" s="15" t="n">
        <v>48280</v>
      </c>
      <c r="G404" s="15" t="n">
        <v>19760</v>
      </c>
      <c r="H404" s="15" t="n">
        <v>36140</v>
      </c>
      <c r="I404" s="15" t="n">
        <v>12980</v>
      </c>
      <c r="J404" s="14" t="n">
        <f aca="false">SUM(E404:I404)</f>
        <v>391190</v>
      </c>
      <c r="K404" s="18" t="n">
        <v>36</v>
      </c>
      <c r="L404" s="15" t="n">
        <v>0</v>
      </c>
      <c r="M404" s="13"/>
      <c r="N404" s="15" t="n">
        <v>0</v>
      </c>
      <c r="O404" s="15" t="n">
        <v>20000</v>
      </c>
      <c r="P404" s="14" t="n">
        <f aca="false">IF(O404="","",O404+E404-L404-N404)</f>
        <v>294030</v>
      </c>
      <c r="Q404" s="15" t="n">
        <v>294030</v>
      </c>
      <c r="R404" s="14" t="n">
        <f aca="false">IF(OR(Q404="",P404=""),"",Q404-P404)</f>
        <v>0</v>
      </c>
      <c r="S404" s="19" t="str">
        <f aca="false">IF(R404="","",IF(ABS(R404)&lt;=Léeme!$B$12,"Cuadra",IF(R404&lt;0,"Faltante","Sobrante")))</f>
        <v>Cuadra</v>
      </c>
      <c r="T404" s="13" t="s">
        <v>101</v>
      </c>
    </row>
    <row r="405" customFormat="false" ht="15" hidden="false" customHeight="false" outlineLevel="0" collapsed="false">
      <c r="A405" s="17" t="n">
        <v>45896</v>
      </c>
      <c r="B405" s="13" t="s">
        <v>27</v>
      </c>
      <c r="C405" s="13" t="s">
        <v>110</v>
      </c>
      <c r="D405" s="13" t="s">
        <v>108</v>
      </c>
      <c r="E405" s="15" t="n">
        <v>392580</v>
      </c>
      <c r="F405" s="15" t="n">
        <v>73220</v>
      </c>
      <c r="G405" s="15" t="n">
        <v>27710</v>
      </c>
      <c r="H405" s="15" t="n">
        <v>43550</v>
      </c>
      <c r="I405" s="15" t="n">
        <v>20370</v>
      </c>
      <c r="J405" s="14" t="n">
        <f aca="false">SUM(E405:I405)</f>
        <v>557430</v>
      </c>
      <c r="K405" s="18" t="n">
        <v>57</v>
      </c>
      <c r="L405" s="15" t="n">
        <v>0</v>
      </c>
      <c r="M405" s="13"/>
      <c r="N405" s="15" t="n">
        <v>0</v>
      </c>
      <c r="O405" s="15" t="n">
        <v>20000</v>
      </c>
      <c r="P405" s="14" t="n">
        <f aca="false">IF(O405="","",O405+E405-L405-N405)</f>
        <v>412580</v>
      </c>
      <c r="Q405" s="15" t="n">
        <v>412320</v>
      </c>
      <c r="R405" s="14" t="n">
        <f aca="false">IF(OR(Q405="",P405=""),"",Q405-P405)</f>
        <v>-260</v>
      </c>
      <c r="S405" s="19" t="str">
        <f aca="false">IF(R405="","",IF(ABS(R405)&lt;=Léeme!$B$12,"Cuadra",IF(R405&lt;0,"Faltante","Sobrante")))</f>
        <v>Cuadra</v>
      </c>
      <c r="T405" s="13" t="s">
        <v>101</v>
      </c>
    </row>
    <row r="406" customFormat="false" ht="15" hidden="false" customHeight="false" outlineLevel="0" collapsed="false">
      <c r="A406" s="17" t="n">
        <v>45896</v>
      </c>
      <c r="B406" s="13" t="s">
        <v>28</v>
      </c>
      <c r="C406" s="13" t="s">
        <v>111</v>
      </c>
      <c r="D406" s="13" t="s">
        <v>108</v>
      </c>
      <c r="E406" s="15" t="n">
        <v>250450</v>
      </c>
      <c r="F406" s="15" t="n">
        <v>50540</v>
      </c>
      <c r="G406" s="15" t="n">
        <v>19680</v>
      </c>
      <c r="H406" s="15" t="n">
        <v>32120</v>
      </c>
      <c r="I406" s="15" t="n">
        <v>13000</v>
      </c>
      <c r="J406" s="14" t="n">
        <f aca="false">SUM(E406:I406)</f>
        <v>365790</v>
      </c>
      <c r="K406" s="18" t="n">
        <v>35</v>
      </c>
      <c r="L406" s="15" t="n">
        <v>10650</v>
      </c>
      <c r="M406" s="13" t="s">
        <v>103</v>
      </c>
      <c r="N406" s="15" t="n">
        <v>220000</v>
      </c>
      <c r="O406" s="15" t="n">
        <v>20000</v>
      </c>
      <c r="P406" s="14" t="n">
        <f aca="false">IF(O406="","",O406+E406-L406-N406)</f>
        <v>39800</v>
      </c>
      <c r="Q406" s="15" t="n">
        <v>39800</v>
      </c>
      <c r="R406" s="14" t="n">
        <f aca="false">IF(OR(Q406="",P406=""),"",Q406-P406)</f>
        <v>0</v>
      </c>
      <c r="S406" s="19" t="str">
        <f aca="false">IF(R406="","",IF(ABS(R406)&lt;=Léeme!$B$12,"Cuadra",IF(R406&lt;0,"Faltante","Sobrante")))</f>
        <v>Cuadra</v>
      </c>
      <c r="T406" s="13" t="s">
        <v>101</v>
      </c>
    </row>
    <row r="407" customFormat="false" ht="15" hidden="false" customHeight="false" outlineLevel="0" collapsed="false">
      <c r="A407" s="17" t="n">
        <v>45897</v>
      </c>
      <c r="B407" s="13" t="s">
        <v>27</v>
      </c>
      <c r="C407" s="13" t="s">
        <v>110</v>
      </c>
      <c r="D407" s="13" t="s">
        <v>108</v>
      </c>
      <c r="E407" s="15" t="n">
        <v>334040</v>
      </c>
      <c r="F407" s="15" t="n">
        <v>63350</v>
      </c>
      <c r="G407" s="15" t="n">
        <v>25620</v>
      </c>
      <c r="H407" s="15" t="n">
        <v>43930</v>
      </c>
      <c r="I407" s="15" t="n">
        <v>15830</v>
      </c>
      <c r="J407" s="14" t="n">
        <f aca="false">SUM(E407:I407)</f>
        <v>482770</v>
      </c>
      <c r="K407" s="18" t="n">
        <v>49</v>
      </c>
      <c r="L407" s="15" t="n">
        <v>0</v>
      </c>
      <c r="M407" s="13"/>
      <c r="N407" s="15" t="n">
        <v>212000</v>
      </c>
      <c r="O407" s="15" t="n">
        <v>20000</v>
      </c>
      <c r="P407" s="14" t="n">
        <f aca="false">IF(O407="","",O407+E407-L407-N407)</f>
        <v>142040</v>
      </c>
      <c r="Q407" s="15" t="n">
        <v>141690</v>
      </c>
      <c r="R407" s="14" t="n">
        <f aca="false">IF(OR(Q407="",P407=""),"",Q407-P407)</f>
        <v>-350</v>
      </c>
      <c r="S407" s="19" t="str">
        <f aca="false">IF(R407="","",IF(ABS(R407)&lt;=Léeme!$B$12,"Cuadra",IF(R407&lt;0,"Faltante","Sobrante")))</f>
        <v>Cuadra</v>
      </c>
      <c r="T407" s="13" t="s">
        <v>101</v>
      </c>
    </row>
    <row r="408" customFormat="false" ht="15" hidden="false" customHeight="false" outlineLevel="0" collapsed="false">
      <c r="A408" s="17" t="n">
        <v>45897</v>
      </c>
      <c r="B408" s="13" t="s">
        <v>28</v>
      </c>
      <c r="C408" s="13" t="s">
        <v>111</v>
      </c>
      <c r="D408" s="13" t="s">
        <v>108</v>
      </c>
      <c r="E408" s="15" t="n">
        <v>278260</v>
      </c>
      <c r="F408" s="15" t="n">
        <v>50270</v>
      </c>
      <c r="G408" s="15" t="n">
        <v>21270</v>
      </c>
      <c r="H408" s="15" t="n">
        <v>35630</v>
      </c>
      <c r="I408" s="15" t="n">
        <v>14870</v>
      </c>
      <c r="J408" s="14" t="n">
        <f aca="false">SUM(E408:I408)</f>
        <v>400300</v>
      </c>
      <c r="K408" s="18" t="n">
        <v>36</v>
      </c>
      <c r="L408" s="15" t="n">
        <v>12180</v>
      </c>
      <c r="M408" s="13" t="s">
        <v>103</v>
      </c>
      <c r="N408" s="15" t="n">
        <v>0</v>
      </c>
      <c r="O408" s="15" t="n">
        <v>20000</v>
      </c>
      <c r="P408" s="14" t="n">
        <f aca="false">IF(O408="","",O408+E408-L408-N408)</f>
        <v>286080</v>
      </c>
      <c r="Q408" s="15" t="n">
        <v>286490</v>
      </c>
      <c r="R408" s="14" t="n">
        <f aca="false">IF(OR(Q408="",P408=""),"",Q408-P408)</f>
        <v>410</v>
      </c>
      <c r="S408" s="19" t="str">
        <f aca="false">IF(R408="","",IF(ABS(R408)&lt;=Léeme!$B$12,"Cuadra",IF(R408&lt;0,"Faltante","Sobrante")))</f>
        <v>Cuadra</v>
      </c>
      <c r="T408" s="13" t="s">
        <v>101</v>
      </c>
    </row>
    <row r="409" customFormat="false" ht="15" hidden="false" customHeight="false" outlineLevel="0" collapsed="false">
      <c r="A409" s="17" t="n">
        <v>45898</v>
      </c>
      <c r="B409" s="13" t="s">
        <v>27</v>
      </c>
      <c r="C409" s="13" t="s">
        <v>110</v>
      </c>
      <c r="D409" s="13" t="s">
        <v>108</v>
      </c>
      <c r="E409" s="15" t="n">
        <v>328200</v>
      </c>
      <c r="F409" s="15" t="n">
        <v>68690</v>
      </c>
      <c r="G409" s="15" t="n">
        <v>30700</v>
      </c>
      <c r="H409" s="15" t="n">
        <v>49690</v>
      </c>
      <c r="I409" s="15" t="n">
        <v>20330</v>
      </c>
      <c r="J409" s="14" t="n">
        <f aca="false">SUM(E409:I409)</f>
        <v>497610</v>
      </c>
      <c r="K409" s="18" t="n">
        <v>44</v>
      </c>
      <c r="L409" s="15" t="n">
        <v>5080</v>
      </c>
      <c r="M409" s="13" t="s">
        <v>105</v>
      </c>
      <c r="N409" s="15" t="n">
        <v>0</v>
      </c>
      <c r="O409" s="15" t="n">
        <v>20000</v>
      </c>
      <c r="P409" s="14" t="n">
        <f aca="false">IF(O409="","",O409+E409-L409-N409)</f>
        <v>343120</v>
      </c>
      <c r="Q409" s="15" t="n">
        <v>343120</v>
      </c>
      <c r="R409" s="14" t="n">
        <f aca="false">IF(OR(Q409="",P409=""),"",Q409-P409)</f>
        <v>0</v>
      </c>
      <c r="S409" s="19" t="str">
        <f aca="false">IF(R409="","",IF(ABS(R409)&lt;=Léeme!$B$12,"Cuadra",IF(R409&lt;0,"Faltante","Sobrante")))</f>
        <v>Cuadra</v>
      </c>
      <c r="T409" s="13" t="s">
        <v>101</v>
      </c>
    </row>
    <row r="410" customFormat="false" ht="15" hidden="false" customHeight="false" outlineLevel="0" collapsed="false">
      <c r="A410" s="17" t="n">
        <v>45898</v>
      </c>
      <c r="B410" s="13" t="s">
        <v>28</v>
      </c>
      <c r="C410" s="13" t="s">
        <v>111</v>
      </c>
      <c r="D410" s="13" t="s">
        <v>108</v>
      </c>
      <c r="E410" s="15" t="n">
        <v>269360</v>
      </c>
      <c r="F410" s="15" t="n">
        <v>50360</v>
      </c>
      <c r="G410" s="15" t="n">
        <v>21460</v>
      </c>
      <c r="H410" s="15" t="n">
        <v>34620</v>
      </c>
      <c r="I410" s="15" t="n">
        <v>16230</v>
      </c>
      <c r="J410" s="14" t="n">
        <f aca="false">SUM(E410:I410)</f>
        <v>392030</v>
      </c>
      <c r="K410" s="18" t="n">
        <v>38</v>
      </c>
      <c r="L410" s="15" t="n">
        <v>24730</v>
      </c>
      <c r="M410" s="13" t="s">
        <v>103</v>
      </c>
      <c r="N410" s="15" t="n">
        <v>201000</v>
      </c>
      <c r="O410" s="15" t="n">
        <v>20000</v>
      </c>
      <c r="P410" s="14" t="n">
        <f aca="false">IF(O410="","",O410+E410-L410-N410)</f>
        <v>63630</v>
      </c>
      <c r="Q410" s="15" t="n">
        <v>63630</v>
      </c>
      <c r="R410" s="14" t="n">
        <f aca="false">IF(OR(Q410="",P410=""),"",Q410-P410)</f>
        <v>0</v>
      </c>
      <c r="S410" s="19" t="str">
        <f aca="false">IF(R410="","",IF(ABS(R410)&lt;=Léeme!$B$12,"Cuadra",IF(R410&lt;0,"Faltante","Sobrante")))</f>
        <v>Cuadra</v>
      </c>
      <c r="T410" s="13" t="s">
        <v>101</v>
      </c>
    </row>
    <row r="411" customFormat="false" ht="15" hidden="false" customHeight="false" outlineLevel="0" collapsed="false">
      <c r="A411" s="17" t="n">
        <v>45899</v>
      </c>
      <c r="B411" s="13" t="s">
        <v>27</v>
      </c>
      <c r="C411" s="13" t="s">
        <v>107</v>
      </c>
      <c r="D411" s="13" t="s">
        <v>108</v>
      </c>
      <c r="E411" s="15" t="n">
        <v>509870</v>
      </c>
      <c r="F411" s="15" t="n">
        <v>101760</v>
      </c>
      <c r="G411" s="15" t="n">
        <v>39930</v>
      </c>
      <c r="H411" s="15" t="n">
        <v>64810</v>
      </c>
      <c r="I411" s="15" t="n">
        <v>30370</v>
      </c>
      <c r="J411" s="14" t="n">
        <f aca="false">SUM(E411:I411)</f>
        <v>746740</v>
      </c>
      <c r="K411" s="18" t="n">
        <v>77</v>
      </c>
      <c r="L411" s="15" t="n">
        <v>4990</v>
      </c>
      <c r="M411" s="13" t="s">
        <v>104</v>
      </c>
      <c r="N411" s="15" t="n">
        <v>0</v>
      </c>
      <c r="O411" s="15" t="n">
        <v>20000</v>
      </c>
      <c r="P411" s="14" t="n">
        <f aca="false">IF(O411="","",O411+E411-L411-N411)</f>
        <v>524880</v>
      </c>
      <c r="Q411" s="15" t="n">
        <v>516480</v>
      </c>
      <c r="R411" s="14" t="n">
        <f aca="false">IF(OR(Q411="",P411=""),"",Q411-P411)</f>
        <v>-8400</v>
      </c>
      <c r="S411" s="19" t="str">
        <f aca="false">IF(R411="","",IF(ABS(R411)&lt;=Léeme!$B$12,"Cuadra",IF(R411&lt;0,"Faltante","Sobrante")))</f>
        <v>Faltante</v>
      </c>
      <c r="T411" s="13" t="s">
        <v>101</v>
      </c>
    </row>
    <row r="412" customFormat="false" ht="15" hidden="false" customHeight="false" outlineLevel="0" collapsed="false">
      <c r="A412" s="17" t="n">
        <v>45899</v>
      </c>
      <c r="B412" s="13" t="s">
        <v>28</v>
      </c>
      <c r="C412" s="13" t="s">
        <v>109</v>
      </c>
      <c r="D412" s="13" t="s">
        <v>108</v>
      </c>
      <c r="E412" s="15" t="n">
        <v>424190</v>
      </c>
      <c r="F412" s="15" t="n">
        <v>82770</v>
      </c>
      <c r="G412" s="15" t="n">
        <v>37780</v>
      </c>
      <c r="H412" s="15" t="n">
        <v>52130</v>
      </c>
      <c r="I412" s="15" t="n">
        <v>23290</v>
      </c>
      <c r="J412" s="14" t="n">
        <f aca="false">SUM(E412:I412)</f>
        <v>620160</v>
      </c>
      <c r="K412" s="18" t="n">
        <v>59</v>
      </c>
      <c r="L412" s="15" t="n">
        <v>26160</v>
      </c>
      <c r="M412" s="13" t="s">
        <v>103</v>
      </c>
      <c r="N412" s="15" t="n">
        <v>0</v>
      </c>
      <c r="O412" s="15" t="n">
        <v>20000</v>
      </c>
      <c r="P412" s="14" t="n">
        <f aca="false">IF(O412="","",O412+E412-L412-N412)</f>
        <v>418030</v>
      </c>
      <c r="Q412" s="15" t="n">
        <v>418030</v>
      </c>
      <c r="R412" s="14" t="n">
        <f aca="false">IF(OR(Q412="",P412=""),"",Q412-P412)</f>
        <v>0</v>
      </c>
      <c r="S412" s="19" t="str">
        <f aca="false">IF(R412="","",IF(ABS(R412)&lt;=Léeme!$B$12,"Cuadra",IF(R412&lt;0,"Faltante","Sobrante")))</f>
        <v>Cuadra</v>
      </c>
      <c r="T412" s="13" t="s">
        <v>101</v>
      </c>
    </row>
    <row r="413" customFormat="false" ht="15" hidden="false" customHeight="false" outlineLevel="0" collapsed="false">
      <c r="A413" s="17" t="n">
        <v>45900</v>
      </c>
      <c r="B413" s="13" t="s">
        <v>27</v>
      </c>
      <c r="C413" s="13" t="s">
        <v>107</v>
      </c>
      <c r="D413" s="13" t="s">
        <v>108</v>
      </c>
      <c r="E413" s="15" t="n">
        <v>818880</v>
      </c>
      <c r="F413" s="15" t="n">
        <v>154220</v>
      </c>
      <c r="G413" s="15" t="n">
        <v>65960</v>
      </c>
      <c r="H413" s="15" t="n">
        <v>99720</v>
      </c>
      <c r="I413" s="15" t="n">
        <v>46370</v>
      </c>
      <c r="J413" s="14" t="n">
        <f aca="false">SUM(E413:I413)</f>
        <v>1185150</v>
      </c>
      <c r="K413" s="18" t="n">
        <v>110</v>
      </c>
      <c r="L413" s="15" t="n">
        <v>12570</v>
      </c>
      <c r="M413" s="13" t="s">
        <v>102</v>
      </c>
      <c r="N413" s="15" t="n">
        <v>0</v>
      </c>
      <c r="O413" s="15" t="n">
        <v>20000</v>
      </c>
      <c r="P413" s="14" t="n">
        <f aca="false">IF(O413="","",O413+E413-L413-N413)</f>
        <v>826310</v>
      </c>
      <c r="Q413" s="15" t="n">
        <v>823610</v>
      </c>
      <c r="R413" s="14" t="n">
        <f aca="false">IF(OR(Q413="",P413=""),"",Q413-P413)</f>
        <v>-2700</v>
      </c>
      <c r="S413" s="19" t="str">
        <f aca="false">IF(R413="","",IF(ABS(R413)&lt;=Léeme!$B$12,"Cuadra",IF(R413&lt;0,"Faltante","Sobrante")))</f>
        <v>Faltante</v>
      </c>
      <c r="T413" s="13" t="s">
        <v>101</v>
      </c>
    </row>
    <row r="414" customFormat="false" ht="15" hidden="false" customHeight="false" outlineLevel="0" collapsed="false">
      <c r="A414" s="17" t="n">
        <v>45900</v>
      </c>
      <c r="B414" s="13" t="s">
        <v>28</v>
      </c>
      <c r="C414" s="13" t="s">
        <v>109</v>
      </c>
      <c r="D414" s="13" t="s">
        <v>108</v>
      </c>
      <c r="E414" s="15" t="n">
        <v>593280</v>
      </c>
      <c r="F414" s="15" t="n">
        <v>114310</v>
      </c>
      <c r="G414" s="15" t="n">
        <v>48960</v>
      </c>
      <c r="H414" s="15" t="n">
        <v>81320</v>
      </c>
      <c r="I414" s="15" t="n">
        <v>34500</v>
      </c>
      <c r="J414" s="14" t="n">
        <f aca="false">SUM(E414:I414)</f>
        <v>872370</v>
      </c>
      <c r="K414" s="18" t="n">
        <v>85</v>
      </c>
      <c r="L414" s="15" t="n">
        <v>0</v>
      </c>
      <c r="M414" s="13"/>
      <c r="N414" s="15" t="n">
        <v>0</v>
      </c>
      <c r="O414" s="15" t="n">
        <v>20000</v>
      </c>
      <c r="P414" s="14" t="n">
        <f aca="false">IF(O414="","",O414+E414-L414-N414)</f>
        <v>613280</v>
      </c>
      <c r="Q414" s="15" t="n">
        <v>613280</v>
      </c>
      <c r="R414" s="14" t="n">
        <f aca="false">IF(OR(Q414="",P414=""),"",Q414-P414)</f>
        <v>0</v>
      </c>
      <c r="S414" s="19" t="str">
        <f aca="false">IF(R414="","",IF(ABS(R414)&lt;=Léeme!$B$12,"Cuadra",IF(R414&lt;0,"Faltante","Sobrante")))</f>
        <v>Cuadra</v>
      </c>
      <c r="T414" s="13" t="s">
        <v>101</v>
      </c>
    </row>
    <row r="415" customFormat="false" ht="15" hidden="false" customHeight="false" outlineLevel="0" collapsed="false">
      <c r="A415" s="17" t="n">
        <v>45902</v>
      </c>
      <c r="B415" s="13" t="s">
        <v>27</v>
      </c>
      <c r="C415" s="13" t="s">
        <v>110</v>
      </c>
      <c r="D415" s="13" t="s">
        <v>108</v>
      </c>
      <c r="E415" s="15" t="n">
        <v>287950</v>
      </c>
      <c r="F415" s="15" t="n">
        <v>56680</v>
      </c>
      <c r="G415" s="15" t="n">
        <v>24980</v>
      </c>
      <c r="H415" s="15" t="n">
        <v>34720</v>
      </c>
      <c r="I415" s="15" t="n">
        <v>14630</v>
      </c>
      <c r="J415" s="14" t="n">
        <f aca="false">SUM(E415:I415)</f>
        <v>418960</v>
      </c>
      <c r="K415" s="18" t="n">
        <v>36</v>
      </c>
      <c r="L415" s="15" t="n">
        <v>23420</v>
      </c>
      <c r="M415" s="13" t="s">
        <v>103</v>
      </c>
      <c r="N415" s="15" t="n">
        <v>155000</v>
      </c>
      <c r="O415" s="15" t="n">
        <v>20000</v>
      </c>
      <c r="P415" s="14" t="n">
        <f aca="false">IF(O415="","",O415+E415-L415-N415)</f>
        <v>129530</v>
      </c>
      <c r="Q415" s="15" t="n">
        <v>132150</v>
      </c>
      <c r="R415" s="14" t="n">
        <f aca="false">IF(OR(Q415="",P415=""),"",Q415-P415)</f>
        <v>2620</v>
      </c>
      <c r="S415" s="19" t="str">
        <f aca="false">IF(R415="","",IF(ABS(R415)&lt;=Léeme!$B$12,"Cuadra",IF(R415&lt;0,"Faltante","Sobrante")))</f>
        <v>Sobrante</v>
      </c>
      <c r="T415" s="13" t="s">
        <v>101</v>
      </c>
    </row>
    <row r="416" customFormat="false" ht="15" hidden="false" customHeight="false" outlineLevel="0" collapsed="false">
      <c r="A416" s="17" t="n">
        <v>45902</v>
      </c>
      <c r="B416" s="13" t="s">
        <v>28</v>
      </c>
      <c r="C416" s="13" t="s">
        <v>111</v>
      </c>
      <c r="D416" s="13" t="s">
        <v>108</v>
      </c>
      <c r="E416" s="15" t="n">
        <v>223360</v>
      </c>
      <c r="F416" s="15" t="n">
        <v>49240</v>
      </c>
      <c r="G416" s="15" t="n">
        <v>21760</v>
      </c>
      <c r="H416" s="15" t="n">
        <v>29700</v>
      </c>
      <c r="I416" s="15" t="n">
        <v>14190</v>
      </c>
      <c r="J416" s="14" t="n">
        <f aca="false">SUM(E416:I416)</f>
        <v>338250</v>
      </c>
      <c r="K416" s="18" t="n">
        <v>33</v>
      </c>
      <c r="L416" s="15" t="n">
        <v>0</v>
      </c>
      <c r="M416" s="13"/>
      <c r="N416" s="15" t="n">
        <v>0</v>
      </c>
      <c r="O416" s="15" t="n">
        <v>20000</v>
      </c>
      <c r="P416" s="14" t="n">
        <f aca="false">IF(O416="","",O416+E416-L416-N416)</f>
        <v>243360</v>
      </c>
      <c r="Q416" s="15" t="n">
        <v>243360</v>
      </c>
      <c r="R416" s="14" t="n">
        <f aca="false">IF(OR(Q416="",P416=""),"",Q416-P416)</f>
        <v>0</v>
      </c>
      <c r="S416" s="19" t="str">
        <f aca="false">IF(R416="","",IF(ABS(R416)&lt;=Léeme!$B$12,"Cuadra",IF(R416&lt;0,"Faltante","Sobrante")))</f>
        <v>Cuadra</v>
      </c>
      <c r="T416" s="13" t="s">
        <v>101</v>
      </c>
    </row>
    <row r="417" customFormat="false" ht="15" hidden="false" customHeight="false" outlineLevel="0" collapsed="false">
      <c r="A417" s="17" t="n">
        <v>45903</v>
      </c>
      <c r="B417" s="13" t="s">
        <v>27</v>
      </c>
      <c r="C417" s="13" t="s">
        <v>110</v>
      </c>
      <c r="D417" s="13" t="s">
        <v>108</v>
      </c>
      <c r="E417" s="15" t="n">
        <v>319170</v>
      </c>
      <c r="F417" s="15" t="n">
        <v>67420</v>
      </c>
      <c r="G417" s="15" t="n">
        <v>25110</v>
      </c>
      <c r="H417" s="15" t="n">
        <v>43670</v>
      </c>
      <c r="I417" s="15" t="n">
        <v>18750</v>
      </c>
      <c r="J417" s="14" t="n">
        <f aca="false">SUM(E417:I417)</f>
        <v>474120</v>
      </c>
      <c r="K417" s="18" t="n">
        <v>42</v>
      </c>
      <c r="L417" s="15" t="n">
        <v>0</v>
      </c>
      <c r="M417" s="13"/>
      <c r="N417" s="15" t="n">
        <v>0</v>
      </c>
      <c r="O417" s="15" t="n">
        <v>20000</v>
      </c>
      <c r="P417" s="14" t="n">
        <f aca="false">IF(O417="","",O417+E417-L417-N417)</f>
        <v>339170</v>
      </c>
      <c r="Q417" s="15" t="n">
        <v>339340</v>
      </c>
      <c r="R417" s="14" t="n">
        <f aca="false">IF(OR(Q417="",P417=""),"",Q417-P417)</f>
        <v>170</v>
      </c>
      <c r="S417" s="19" t="str">
        <f aca="false">IF(R417="","",IF(ABS(R417)&lt;=Léeme!$B$12,"Cuadra",IF(R417&lt;0,"Faltante","Sobrante")))</f>
        <v>Cuadra</v>
      </c>
      <c r="T417" s="13" t="s">
        <v>101</v>
      </c>
    </row>
    <row r="418" customFormat="false" ht="15" hidden="false" customHeight="false" outlineLevel="0" collapsed="false">
      <c r="A418" s="17" t="n">
        <v>45903</v>
      </c>
      <c r="B418" s="13" t="s">
        <v>28</v>
      </c>
      <c r="C418" s="13" t="s">
        <v>111</v>
      </c>
      <c r="D418" s="13" t="s">
        <v>108</v>
      </c>
      <c r="E418" s="15" t="n">
        <v>243280</v>
      </c>
      <c r="F418" s="15" t="n">
        <v>45730</v>
      </c>
      <c r="G418" s="15" t="n">
        <v>20200</v>
      </c>
      <c r="H418" s="15" t="n">
        <v>33020</v>
      </c>
      <c r="I418" s="15" t="n">
        <v>13850</v>
      </c>
      <c r="J418" s="14" t="n">
        <f aca="false">SUM(E418:I418)</f>
        <v>356080</v>
      </c>
      <c r="K418" s="18" t="n">
        <v>34</v>
      </c>
      <c r="L418" s="15" t="n">
        <v>0</v>
      </c>
      <c r="M418" s="13"/>
      <c r="N418" s="15" t="n">
        <v>146000</v>
      </c>
      <c r="O418" s="15" t="n">
        <v>20000</v>
      </c>
      <c r="P418" s="14" t="n">
        <f aca="false">IF(O418="","",O418+E418-L418-N418)</f>
        <v>117280</v>
      </c>
      <c r="Q418" s="15" t="n">
        <v>117280</v>
      </c>
      <c r="R418" s="14" t="n">
        <f aca="false">IF(OR(Q418="",P418=""),"",Q418-P418)</f>
        <v>0</v>
      </c>
      <c r="S418" s="19" t="str">
        <f aca="false">IF(R418="","",IF(ABS(R418)&lt;=Léeme!$B$12,"Cuadra",IF(R418&lt;0,"Faltante","Sobrante")))</f>
        <v>Cuadra</v>
      </c>
      <c r="T418" s="13" t="s">
        <v>101</v>
      </c>
    </row>
    <row r="419" customFormat="false" ht="15" hidden="false" customHeight="false" outlineLevel="0" collapsed="false">
      <c r="A419" s="17" t="n">
        <v>45904</v>
      </c>
      <c r="B419" s="13" t="s">
        <v>27</v>
      </c>
      <c r="C419" s="13" t="s">
        <v>110</v>
      </c>
      <c r="D419" s="13" t="s">
        <v>108</v>
      </c>
      <c r="E419" s="15" t="n">
        <v>290550</v>
      </c>
      <c r="F419" s="15" t="n">
        <v>54940</v>
      </c>
      <c r="G419" s="15" t="n">
        <v>27140</v>
      </c>
      <c r="H419" s="15" t="n">
        <v>37590</v>
      </c>
      <c r="I419" s="15" t="n">
        <v>17340</v>
      </c>
      <c r="J419" s="14" t="n">
        <f aca="false">SUM(E419:I419)</f>
        <v>427560</v>
      </c>
      <c r="K419" s="18" t="n">
        <v>40</v>
      </c>
      <c r="L419" s="15" t="n">
        <v>0</v>
      </c>
      <c r="M419" s="13"/>
      <c r="N419" s="15" t="n">
        <v>0</v>
      </c>
      <c r="O419" s="15" t="n">
        <v>20000</v>
      </c>
      <c r="P419" s="14" t="n">
        <f aca="false">IF(O419="","",O419+E419-L419-N419)</f>
        <v>310550</v>
      </c>
      <c r="Q419" s="15" t="n">
        <v>310550</v>
      </c>
      <c r="R419" s="14" t="n">
        <f aca="false">IF(OR(Q419="",P419=""),"",Q419-P419)</f>
        <v>0</v>
      </c>
      <c r="S419" s="19" t="str">
        <f aca="false">IF(R419="","",IF(ABS(R419)&lt;=Léeme!$B$12,"Cuadra",IF(R419&lt;0,"Faltante","Sobrante")))</f>
        <v>Cuadra</v>
      </c>
      <c r="T419" s="13" t="s">
        <v>101</v>
      </c>
    </row>
    <row r="420" customFormat="false" ht="15" hidden="false" customHeight="false" outlineLevel="0" collapsed="false">
      <c r="A420" s="17" t="n">
        <v>45904</v>
      </c>
      <c r="B420" s="13" t="s">
        <v>28</v>
      </c>
      <c r="C420" s="13" t="s">
        <v>111</v>
      </c>
      <c r="D420" s="13" t="s">
        <v>108</v>
      </c>
      <c r="E420" s="15" t="n">
        <v>229440</v>
      </c>
      <c r="F420" s="15" t="n">
        <v>46470</v>
      </c>
      <c r="G420" s="15" t="n">
        <v>19290</v>
      </c>
      <c r="H420" s="15" t="n">
        <v>34540</v>
      </c>
      <c r="I420" s="15" t="n">
        <v>13130</v>
      </c>
      <c r="J420" s="14" t="n">
        <f aca="false">SUM(E420:I420)</f>
        <v>342870</v>
      </c>
      <c r="K420" s="18" t="n">
        <v>34</v>
      </c>
      <c r="L420" s="15" t="n">
        <v>0</v>
      </c>
      <c r="M420" s="13"/>
      <c r="N420" s="15" t="n">
        <v>0</v>
      </c>
      <c r="O420" s="15" t="n">
        <v>20000</v>
      </c>
      <c r="P420" s="14" t="n">
        <f aca="false">IF(O420="","",O420+E420-L420-N420)</f>
        <v>249440</v>
      </c>
      <c r="Q420" s="15" t="n">
        <v>249440</v>
      </c>
      <c r="R420" s="14" t="n">
        <f aca="false">IF(OR(Q420="",P420=""),"",Q420-P420)</f>
        <v>0</v>
      </c>
      <c r="S420" s="19" t="str">
        <f aca="false">IF(R420="","",IF(ABS(R420)&lt;=Léeme!$B$12,"Cuadra",IF(R420&lt;0,"Faltante","Sobrante")))</f>
        <v>Cuadra</v>
      </c>
      <c r="T420" s="13" t="s">
        <v>101</v>
      </c>
    </row>
    <row r="421" customFormat="false" ht="15" hidden="false" customHeight="false" outlineLevel="0" collapsed="false">
      <c r="A421" s="17" t="n">
        <v>45905</v>
      </c>
      <c r="B421" s="13" t="s">
        <v>27</v>
      </c>
      <c r="C421" s="13" t="s">
        <v>110</v>
      </c>
      <c r="D421" s="13" t="s">
        <v>108</v>
      </c>
      <c r="E421" s="15" t="n">
        <v>288390</v>
      </c>
      <c r="F421" s="15" t="n">
        <v>61740</v>
      </c>
      <c r="G421" s="15" t="n">
        <v>24580</v>
      </c>
      <c r="H421" s="15" t="n">
        <v>43640</v>
      </c>
      <c r="I421" s="15" t="n">
        <v>16460</v>
      </c>
      <c r="J421" s="14" t="n">
        <f aca="false">SUM(E421:I421)</f>
        <v>434810</v>
      </c>
      <c r="K421" s="18" t="n">
        <v>39</v>
      </c>
      <c r="L421" s="15" t="n">
        <v>29520</v>
      </c>
      <c r="M421" s="13" t="s">
        <v>103</v>
      </c>
      <c r="N421" s="15" t="n">
        <v>0</v>
      </c>
      <c r="O421" s="15" t="n">
        <v>20000</v>
      </c>
      <c r="P421" s="14" t="n">
        <f aca="false">IF(O421="","",O421+E421-L421-N421)</f>
        <v>278870</v>
      </c>
      <c r="Q421" s="15" t="n">
        <v>278230</v>
      </c>
      <c r="R421" s="14" t="n">
        <f aca="false">IF(OR(Q421="",P421=""),"",Q421-P421)</f>
        <v>-640</v>
      </c>
      <c r="S421" s="19" t="str">
        <f aca="false">IF(R421="","",IF(ABS(R421)&lt;=Léeme!$B$12,"Cuadra",IF(R421&lt;0,"Faltante","Sobrante")))</f>
        <v>Faltante</v>
      </c>
      <c r="T421" s="13" t="s">
        <v>101</v>
      </c>
    </row>
    <row r="422" customFormat="false" ht="15" hidden="false" customHeight="false" outlineLevel="0" collapsed="false">
      <c r="A422" s="17" t="n">
        <v>45905</v>
      </c>
      <c r="B422" s="13" t="s">
        <v>28</v>
      </c>
      <c r="C422" s="13" t="s">
        <v>111</v>
      </c>
      <c r="D422" s="13" t="s">
        <v>108</v>
      </c>
      <c r="E422" s="15" t="n">
        <v>258850</v>
      </c>
      <c r="F422" s="15" t="n">
        <v>49180</v>
      </c>
      <c r="G422" s="15" t="n">
        <v>20770</v>
      </c>
      <c r="H422" s="15" t="n">
        <v>34700</v>
      </c>
      <c r="I422" s="15" t="n">
        <v>13500</v>
      </c>
      <c r="J422" s="14" t="n">
        <f aca="false">SUM(E422:I422)</f>
        <v>377000</v>
      </c>
      <c r="K422" s="18" t="n">
        <v>37</v>
      </c>
      <c r="L422" s="15" t="n">
        <v>8240</v>
      </c>
      <c r="M422" s="13" t="s">
        <v>104</v>
      </c>
      <c r="N422" s="15" t="n">
        <v>170000</v>
      </c>
      <c r="O422" s="15" t="n">
        <v>20000</v>
      </c>
      <c r="P422" s="14" t="n">
        <f aca="false">IF(O422="","",O422+E422-L422-N422)</f>
        <v>100610</v>
      </c>
      <c r="Q422" s="15" t="n">
        <v>100610</v>
      </c>
      <c r="R422" s="14" t="n">
        <f aca="false">IF(OR(Q422="",P422=""),"",Q422-P422)</f>
        <v>0</v>
      </c>
      <c r="S422" s="19" t="str">
        <f aca="false">IF(R422="","",IF(ABS(R422)&lt;=Léeme!$B$12,"Cuadra",IF(R422&lt;0,"Faltante","Sobrante")))</f>
        <v>Cuadra</v>
      </c>
      <c r="T422" s="13" t="s">
        <v>101</v>
      </c>
    </row>
    <row r="423" customFormat="false" ht="15" hidden="false" customHeight="false" outlineLevel="0" collapsed="false">
      <c r="A423" s="17" t="n">
        <v>45906</v>
      </c>
      <c r="B423" s="13" t="s">
        <v>27</v>
      </c>
      <c r="C423" s="13" t="s">
        <v>107</v>
      </c>
      <c r="D423" s="13" t="s">
        <v>108</v>
      </c>
      <c r="E423" s="15" t="n">
        <v>477060</v>
      </c>
      <c r="F423" s="15" t="n">
        <v>91790</v>
      </c>
      <c r="G423" s="15" t="n">
        <v>40880</v>
      </c>
      <c r="H423" s="15" t="n">
        <v>58270</v>
      </c>
      <c r="I423" s="15" t="n">
        <v>24740</v>
      </c>
      <c r="J423" s="14" t="n">
        <f aca="false">SUM(E423:I423)</f>
        <v>692740</v>
      </c>
      <c r="K423" s="18" t="n">
        <v>66</v>
      </c>
      <c r="L423" s="15" t="n">
        <v>0</v>
      </c>
      <c r="M423" s="13"/>
      <c r="N423" s="15" t="n">
        <v>361000</v>
      </c>
      <c r="O423" s="15" t="n">
        <v>20000</v>
      </c>
      <c r="P423" s="14" t="n">
        <f aca="false">IF(O423="","",O423+E423-L423-N423)</f>
        <v>136060</v>
      </c>
      <c r="Q423" s="15" t="n">
        <v>131860</v>
      </c>
      <c r="R423" s="14" t="n">
        <f aca="false">IF(OR(Q423="",P423=""),"",Q423-P423)</f>
        <v>-4200</v>
      </c>
      <c r="S423" s="19" t="str">
        <f aca="false">IF(R423="","",IF(ABS(R423)&lt;=Léeme!$B$12,"Cuadra",IF(R423&lt;0,"Faltante","Sobrante")))</f>
        <v>Faltante</v>
      </c>
      <c r="T423" s="13" t="s">
        <v>101</v>
      </c>
    </row>
    <row r="424" customFormat="false" ht="15" hidden="false" customHeight="false" outlineLevel="0" collapsed="false">
      <c r="A424" s="17" t="n">
        <v>45906</v>
      </c>
      <c r="B424" s="13" t="s">
        <v>28</v>
      </c>
      <c r="C424" s="13" t="s">
        <v>109</v>
      </c>
      <c r="D424" s="13" t="s">
        <v>108</v>
      </c>
      <c r="E424" s="15" t="n">
        <v>378880</v>
      </c>
      <c r="F424" s="15" t="n">
        <v>68790</v>
      </c>
      <c r="G424" s="15" t="n">
        <v>31840</v>
      </c>
      <c r="H424" s="15" t="n">
        <v>52100</v>
      </c>
      <c r="I424" s="15" t="n">
        <v>21280</v>
      </c>
      <c r="J424" s="14" t="n">
        <f aca="false">SUM(E424:I424)</f>
        <v>552890</v>
      </c>
      <c r="K424" s="18" t="n">
        <v>49</v>
      </c>
      <c r="L424" s="15" t="n">
        <v>0</v>
      </c>
      <c r="M424" s="13"/>
      <c r="N424" s="15" t="n">
        <v>233000</v>
      </c>
      <c r="O424" s="15" t="n">
        <v>20000</v>
      </c>
      <c r="P424" s="14" t="n">
        <f aca="false">IF(O424="","",O424+E424-L424-N424)</f>
        <v>165880</v>
      </c>
      <c r="Q424" s="15" t="n">
        <v>165940</v>
      </c>
      <c r="R424" s="14" t="n">
        <f aca="false">IF(OR(Q424="",P424=""),"",Q424-P424)</f>
        <v>60</v>
      </c>
      <c r="S424" s="19" t="str">
        <f aca="false">IF(R424="","",IF(ABS(R424)&lt;=Léeme!$B$12,"Cuadra",IF(R424&lt;0,"Faltante","Sobrante")))</f>
        <v>Cuadra</v>
      </c>
      <c r="T424" s="13" t="s">
        <v>101</v>
      </c>
    </row>
    <row r="425" customFormat="false" ht="15" hidden="false" customHeight="false" outlineLevel="0" collapsed="false">
      <c r="A425" s="17" t="n">
        <v>45907</v>
      </c>
      <c r="B425" s="13" t="s">
        <v>27</v>
      </c>
      <c r="C425" s="13" t="s">
        <v>107</v>
      </c>
      <c r="D425" s="13" t="s">
        <v>108</v>
      </c>
      <c r="E425" s="15" t="n">
        <v>825270</v>
      </c>
      <c r="F425" s="15" t="n">
        <v>154310</v>
      </c>
      <c r="G425" s="15" t="n">
        <v>63870</v>
      </c>
      <c r="H425" s="15" t="n">
        <v>105430</v>
      </c>
      <c r="I425" s="15" t="n">
        <v>39420</v>
      </c>
      <c r="J425" s="14" t="n">
        <f aca="false">SUM(E425:I425)</f>
        <v>1188300</v>
      </c>
      <c r="K425" s="18" t="n">
        <v>104</v>
      </c>
      <c r="L425" s="15" t="n">
        <v>0</v>
      </c>
      <c r="M425" s="13"/>
      <c r="N425" s="15" t="n">
        <v>0</v>
      </c>
      <c r="O425" s="15" t="n">
        <v>20000</v>
      </c>
      <c r="P425" s="14" t="n">
        <f aca="false">IF(O425="","",O425+E425-L425-N425)</f>
        <v>845270</v>
      </c>
      <c r="Q425" s="15" t="n">
        <v>834570</v>
      </c>
      <c r="R425" s="14" t="n">
        <f aca="false">IF(OR(Q425="",P425=""),"",Q425-P425)</f>
        <v>-10700</v>
      </c>
      <c r="S425" s="19" t="str">
        <f aca="false">IF(R425="","",IF(ABS(R425)&lt;=Léeme!$B$12,"Cuadra",IF(R425&lt;0,"Faltante","Sobrante")))</f>
        <v>Faltante</v>
      </c>
      <c r="T425" s="13" t="s">
        <v>101</v>
      </c>
    </row>
    <row r="426" customFormat="false" ht="15" hidden="false" customHeight="false" outlineLevel="0" collapsed="false">
      <c r="A426" s="17" t="n">
        <v>45909</v>
      </c>
      <c r="B426" s="13" t="s">
        <v>27</v>
      </c>
      <c r="C426" s="13" t="s">
        <v>110</v>
      </c>
      <c r="D426" s="13" t="s">
        <v>108</v>
      </c>
      <c r="E426" s="15" t="n">
        <v>290000</v>
      </c>
      <c r="F426" s="15" t="n">
        <v>63140</v>
      </c>
      <c r="G426" s="15" t="n">
        <v>24230</v>
      </c>
      <c r="H426" s="15" t="n">
        <v>46530</v>
      </c>
      <c r="I426" s="15" t="n">
        <v>16390</v>
      </c>
      <c r="J426" s="14" t="n">
        <f aca="false">SUM(E426:I426)</f>
        <v>440290</v>
      </c>
      <c r="K426" s="18" t="n">
        <v>40</v>
      </c>
      <c r="L426" s="15" t="n">
        <v>13270</v>
      </c>
      <c r="M426" s="13" t="s">
        <v>103</v>
      </c>
      <c r="N426" s="15" t="n">
        <v>0</v>
      </c>
      <c r="O426" s="15" t="n">
        <v>20000</v>
      </c>
      <c r="P426" s="14" t="n">
        <f aca="false">IF(O426="","",O426+E426-L426-N426)</f>
        <v>296730</v>
      </c>
      <c r="Q426" s="15" t="n">
        <v>296730</v>
      </c>
      <c r="R426" s="14" t="n">
        <f aca="false">IF(OR(Q426="",P426=""),"",Q426-P426)</f>
        <v>0</v>
      </c>
      <c r="S426" s="19" t="str">
        <f aca="false">IF(R426="","",IF(ABS(R426)&lt;=Léeme!$B$12,"Cuadra",IF(R426&lt;0,"Faltante","Sobrante")))</f>
        <v>Cuadra</v>
      </c>
      <c r="T426" s="13" t="s">
        <v>101</v>
      </c>
    </row>
    <row r="427" customFormat="false" ht="15" hidden="false" customHeight="false" outlineLevel="0" collapsed="false">
      <c r="A427" s="17" t="n">
        <v>45909</v>
      </c>
      <c r="B427" s="13" t="s">
        <v>28</v>
      </c>
      <c r="C427" s="13" t="s">
        <v>111</v>
      </c>
      <c r="D427" s="13" t="s">
        <v>108</v>
      </c>
      <c r="E427" s="15" t="n">
        <v>232370</v>
      </c>
      <c r="F427" s="15" t="n">
        <v>41830</v>
      </c>
      <c r="G427" s="15" t="n">
        <v>20920</v>
      </c>
      <c r="H427" s="15" t="n">
        <v>30340</v>
      </c>
      <c r="I427" s="15" t="n">
        <v>13330</v>
      </c>
      <c r="J427" s="14" t="n">
        <f aca="false">SUM(E427:I427)</f>
        <v>338790</v>
      </c>
      <c r="K427" s="18" t="n">
        <v>31</v>
      </c>
      <c r="L427" s="15" t="n">
        <v>0</v>
      </c>
      <c r="M427" s="13"/>
      <c r="N427" s="15" t="n">
        <v>0</v>
      </c>
      <c r="O427" s="15" t="n">
        <v>20000</v>
      </c>
      <c r="P427" s="14" t="n">
        <f aca="false">IF(O427="","",O427+E427-L427-N427)</f>
        <v>252370</v>
      </c>
      <c r="Q427" s="15" t="n">
        <v>253810</v>
      </c>
      <c r="R427" s="14" t="n">
        <f aca="false">IF(OR(Q427="",P427=""),"",Q427-P427)</f>
        <v>1440</v>
      </c>
      <c r="S427" s="19" t="str">
        <f aca="false">IF(R427="","",IF(ABS(R427)&lt;=Léeme!$B$12,"Cuadra",IF(R427&lt;0,"Faltante","Sobrante")))</f>
        <v>Sobrante</v>
      </c>
      <c r="T427" s="13" t="s">
        <v>101</v>
      </c>
    </row>
    <row r="428" customFormat="false" ht="15" hidden="false" customHeight="false" outlineLevel="0" collapsed="false">
      <c r="A428" s="17" t="n">
        <v>45910</v>
      </c>
      <c r="B428" s="13" t="s">
        <v>27</v>
      </c>
      <c r="C428" s="13" t="s">
        <v>110</v>
      </c>
      <c r="D428" s="13" t="s">
        <v>108</v>
      </c>
      <c r="E428" s="15" t="n">
        <v>310960</v>
      </c>
      <c r="F428" s="15" t="n">
        <v>67310</v>
      </c>
      <c r="G428" s="15" t="n">
        <v>32230</v>
      </c>
      <c r="H428" s="15" t="n">
        <v>49960</v>
      </c>
      <c r="I428" s="15" t="n">
        <v>20500</v>
      </c>
      <c r="J428" s="14" t="n">
        <f aca="false">SUM(E428:I428)</f>
        <v>480960</v>
      </c>
      <c r="K428" s="18" t="n">
        <v>44</v>
      </c>
      <c r="L428" s="15" t="n">
        <v>0</v>
      </c>
      <c r="M428" s="13"/>
      <c r="N428" s="15" t="n">
        <v>0</v>
      </c>
      <c r="O428" s="15" t="n">
        <v>20000</v>
      </c>
      <c r="P428" s="14" t="n">
        <f aca="false">IF(O428="","",O428+E428-L428-N428)</f>
        <v>330960</v>
      </c>
      <c r="Q428" s="15" t="n">
        <v>330960</v>
      </c>
      <c r="R428" s="14" t="n">
        <f aca="false">IF(OR(Q428="",P428=""),"",Q428-P428)</f>
        <v>0</v>
      </c>
      <c r="S428" s="19" t="str">
        <f aca="false">IF(R428="","",IF(ABS(R428)&lt;=Léeme!$B$12,"Cuadra",IF(R428&lt;0,"Faltante","Sobrante")))</f>
        <v>Cuadra</v>
      </c>
      <c r="T428" s="13" t="s">
        <v>101</v>
      </c>
    </row>
    <row r="429" customFormat="false" ht="15" hidden="false" customHeight="false" outlineLevel="0" collapsed="false">
      <c r="A429" s="17" t="n">
        <v>45910</v>
      </c>
      <c r="B429" s="13" t="s">
        <v>28</v>
      </c>
      <c r="C429" s="13" t="s">
        <v>111</v>
      </c>
      <c r="D429" s="13" t="s">
        <v>108</v>
      </c>
      <c r="E429" s="15" t="n">
        <v>242440</v>
      </c>
      <c r="F429" s="15" t="n">
        <v>49980</v>
      </c>
      <c r="G429" s="15" t="n">
        <v>20540</v>
      </c>
      <c r="H429" s="15" t="n">
        <v>31190</v>
      </c>
      <c r="I429" s="15" t="n">
        <v>13520</v>
      </c>
      <c r="J429" s="14" t="n">
        <f aca="false">SUM(E429:I429)</f>
        <v>357670</v>
      </c>
      <c r="K429" s="18" t="n">
        <v>34</v>
      </c>
      <c r="L429" s="15" t="n">
        <v>25180</v>
      </c>
      <c r="M429" s="13" t="s">
        <v>103</v>
      </c>
      <c r="N429" s="15" t="n">
        <v>169000</v>
      </c>
      <c r="O429" s="15" t="n">
        <v>20000</v>
      </c>
      <c r="P429" s="14" t="n">
        <f aca="false">IF(O429="","",O429+E429-L429-N429)</f>
        <v>68260</v>
      </c>
      <c r="Q429" s="15" t="n">
        <v>68950</v>
      </c>
      <c r="R429" s="14" t="n">
        <f aca="false">IF(OR(Q429="",P429=""),"",Q429-P429)</f>
        <v>690</v>
      </c>
      <c r="S429" s="19" t="str">
        <f aca="false">IF(R429="","",IF(ABS(R429)&lt;=Léeme!$B$12,"Cuadra",IF(R429&lt;0,"Faltante","Sobrante")))</f>
        <v>Sobrante</v>
      </c>
      <c r="T429" s="13" t="s">
        <v>101</v>
      </c>
    </row>
    <row r="430" customFormat="false" ht="15" hidden="false" customHeight="false" outlineLevel="0" collapsed="false">
      <c r="A430" s="17" t="n">
        <v>45911</v>
      </c>
      <c r="B430" s="13" t="s">
        <v>27</v>
      </c>
      <c r="C430" s="13" t="s">
        <v>110</v>
      </c>
      <c r="D430" s="13" t="s">
        <v>108</v>
      </c>
      <c r="E430" s="15" t="n">
        <v>353960</v>
      </c>
      <c r="F430" s="15" t="n">
        <v>60050</v>
      </c>
      <c r="G430" s="15" t="n">
        <v>29010</v>
      </c>
      <c r="H430" s="15" t="n">
        <v>46690</v>
      </c>
      <c r="I430" s="15" t="n">
        <v>16710</v>
      </c>
      <c r="J430" s="14" t="n">
        <f aca="false">SUM(E430:I430)</f>
        <v>506420</v>
      </c>
      <c r="K430" s="18" t="n">
        <v>49</v>
      </c>
      <c r="L430" s="15" t="n">
        <v>0</v>
      </c>
      <c r="M430" s="13"/>
      <c r="N430" s="15" t="n">
        <v>0</v>
      </c>
      <c r="O430" s="15" t="n">
        <v>20000</v>
      </c>
      <c r="P430" s="14" t="n">
        <f aca="false">IF(O430="","",O430+E430-L430-N430)</f>
        <v>373960</v>
      </c>
      <c r="Q430" s="15" t="n">
        <v>375000</v>
      </c>
      <c r="R430" s="14" t="n">
        <f aca="false">IF(OR(Q430="",P430=""),"",Q430-P430)</f>
        <v>1040</v>
      </c>
      <c r="S430" s="19" t="str">
        <f aca="false">IF(R430="","",IF(ABS(R430)&lt;=Léeme!$B$12,"Cuadra",IF(R430&lt;0,"Faltante","Sobrante")))</f>
        <v>Sobrante</v>
      </c>
      <c r="T430" s="13" t="s">
        <v>101</v>
      </c>
    </row>
    <row r="431" customFormat="false" ht="15" hidden="false" customHeight="false" outlineLevel="0" collapsed="false">
      <c r="A431" s="17" t="n">
        <v>45911</v>
      </c>
      <c r="B431" s="13" t="s">
        <v>28</v>
      </c>
      <c r="C431" s="13" t="s">
        <v>111</v>
      </c>
      <c r="D431" s="13" t="s">
        <v>108</v>
      </c>
      <c r="E431" s="15" t="n">
        <v>235950</v>
      </c>
      <c r="F431" s="15" t="n">
        <v>52920</v>
      </c>
      <c r="G431" s="15" t="n">
        <v>23460</v>
      </c>
      <c r="H431" s="15" t="n">
        <v>34370</v>
      </c>
      <c r="I431" s="15" t="n">
        <v>13490</v>
      </c>
      <c r="J431" s="14" t="n">
        <f aca="false">SUM(E431:I431)</f>
        <v>360190</v>
      </c>
      <c r="K431" s="18" t="n">
        <v>33</v>
      </c>
      <c r="L431" s="15" t="n">
        <v>0</v>
      </c>
      <c r="M431" s="13"/>
      <c r="N431" s="15" t="n">
        <v>180000</v>
      </c>
      <c r="O431" s="15" t="n">
        <v>20000</v>
      </c>
      <c r="P431" s="14" t="n">
        <f aca="false">IF(O431="","",O431+E431-L431-N431)</f>
        <v>75950</v>
      </c>
      <c r="Q431" s="15" t="n">
        <v>76170</v>
      </c>
      <c r="R431" s="14" t="n">
        <f aca="false">IF(OR(Q431="",P431=""),"",Q431-P431)</f>
        <v>220</v>
      </c>
      <c r="S431" s="19" t="str">
        <f aca="false">IF(R431="","",IF(ABS(R431)&lt;=Léeme!$B$12,"Cuadra",IF(R431&lt;0,"Faltante","Sobrante")))</f>
        <v>Cuadra</v>
      </c>
      <c r="T431" s="13" t="s">
        <v>101</v>
      </c>
    </row>
    <row r="432" customFormat="false" ht="15" hidden="false" customHeight="false" outlineLevel="0" collapsed="false">
      <c r="A432" s="17" t="n">
        <v>45912</v>
      </c>
      <c r="B432" s="13" t="s">
        <v>27</v>
      </c>
      <c r="C432" s="13" t="s">
        <v>110</v>
      </c>
      <c r="D432" s="13" t="s">
        <v>108</v>
      </c>
      <c r="E432" s="15" t="n">
        <v>325820</v>
      </c>
      <c r="F432" s="15" t="n">
        <v>67550</v>
      </c>
      <c r="G432" s="15" t="n">
        <v>29160</v>
      </c>
      <c r="H432" s="15" t="n">
        <v>42620</v>
      </c>
      <c r="I432" s="15" t="n">
        <v>19020</v>
      </c>
      <c r="J432" s="14" t="n">
        <f aca="false">SUM(E432:I432)</f>
        <v>484170</v>
      </c>
      <c r="K432" s="18" t="n">
        <v>43</v>
      </c>
      <c r="L432" s="15" t="n">
        <v>5130</v>
      </c>
      <c r="M432" s="13" t="s">
        <v>105</v>
      </c>
      <c r="N432" s="15" t="n">
        <v>0</v>
      </c>
      <c r="O432" s="15" t="n">
        <v>20000</v>
      </c>
      <c r="P432" s="14" t="n">
        <f aca="false">IF(O432="","",O432+E432-L432-N432)</f>
        <v>340690</v>
      </c>
      <c r="Q432" s="15" t="n">
        <v>340690</v>
      </c>
      <c r="R432" s="14" t="n">
        <f aca="false">IF(OR(Q432="",P432=""),"",Q432-P432)</f>
        <v>0</v>
      </c>
      <c r="S432" s="19" t="str">
        <f aca="false">IF(R432="","",IF(ABS(R432)&lt;=Léeme!$B$12,"Cuadra",IF(R432&lt;0,"Faltante","Sobrante")))</f>
        <v>Cuadra</v>
      </c>
      <c r="T432" s="13" t="s">
        <v>101</v>
      </c>
    </row>
    <row r="433" customFormat="false" ht="15" hidden="false" customHeight="false" outlineLevel="0" collapsed="false">
      <c r="A433" s="17" t="n">
        <v>45912</v>
      </c>
      <c r="B433" s="13" t="s">
        <v>28</v>
      </c>
      <c r="C433" s="13" t="s">
        <v>111</v>
      </c>
      <c r="D433" s="13" t="s">
        <v>108</v>
      </c>
      <c r="E433" s="15" t="n">
        <v>227260</v>
      </c>
      <c r="F433" s="15" t="n">
        <v>42640</v>
      </c>
      <c r="G433" s="15" t="n">
        <v>18230</v>
      </c>
      <c r="H433" s="15" t="n">
        <v>29300</v>
      </c>
      <c r="I433" s="15" t="n">
        <v>12020</v>
      </c>
      <c r="J433" s="14" t="n">
        <f aca="false">SUM(E433:I433)</f>
        <v>329450</v>
      </c>
      <c r="K433" s="18" t="n">
        <v>31</v>
      </c>
      <c r="L433" s="15" t="n">
        <v>0</v>
      </c>
      <c r="M433" s="13"/>
      <c r="N433" s="15" t="n">
        <v>196000</v>
      </c>
      <c r="O433" s="15" t="n">
        <v>20000</v>
      </c>
      <c r="P433" s="14" t="n">
        <f aca="false">IF(O433="","",O433+E433-L433-N433)</f>
        <v>51260</v>
      </c>
      <c r="Q433" s="15" t="n">
        <v>51260</v>
      </c>
      <c r="R433" s="14" t="n">
        <f aca="false">IF(OR(Q433="",P433=""),"",Q433-P433)</f>
        <v>0</v>
      </c>
      <c r="S433" s="19" t="str">
        <f aca="false">IF(R433="","",IF(ABS(R433)&lt;=Léeme!$B$12,"Cuadra",IF(R433&lt;0,"Faltante","Sobrante")))</f>
        <v>Cuadra</v>
      </c>
      <c r="T433" s="13" t="s">
        <v>101</v>
      </c>
    </row>
    <row r="434" customFormat="false" ht="15" hidden="false" customHeight="false" outlineLevel="0" collapsed="false">
      <c r="A434" s="17" t="n">
        <v>45913</v>
      </c>
      <c r="B434" s="13" t="s">
        <v>27</v>
      </c>
      <c r="C434" s="13" t="s">
        <v>107</v>
      </c>
      <c r="D434" s="13" t="s">
        <v>108</v>
      </c>
      <c r="E434" s="15" t="n">
        <v>484970</v>
      </c>
      <c r="F434" s="15" t="n">
        <v>91900</v>
      </c>
      <c r="G434" s="15" t="n">
        <v>43100</v>
      </c>
      <c r="H434" s="15" t="n">
        <v>67300</v>
      </c>
      <c r="I434" s="15" t="n">
        <v>28810</v>
      </c>
      <c r="J434" s="14" t="n">
        <f aca="false">SUM(E434:I434)</f>
        <v>716080</v>
      </c>
      <c r="K434" s="18" t="n">
        <v>63</v>
      </c>
      <c r="L434" s="15" t="n">
        <v>10210</v>
      </c>
      <c r="M434" s="13" t="s">
        <v>104</v>
      </c>
      <c r="N434" s="15" t="n">
        <v>279000</v>
      </c>
      <c r="O434" s="15" t="n">
        <v>20000</v>
      </c>
      <c r="P434" s="14" t="n">
        <f aca="false">IF(O434="","",O434+E434-L434-N434)</f>
        <v>215760</v>
      </c>
      <c r="Q434" s="15" t="n">
        <v>215760</v>
      </c>
      <c r="R434" s="14" t="n">
        <f aca="false">IF(OR(Q434="",P434=""),"",Q434-P434)</f>
        <v>0</v>
      </c>
      <c r="S434" s="19" t="str">
        <f aca="false">IF(R434="","",IF(ABS(R434)&lt;=Léeme!$B$12,"Cuadra",IF(R434&lt;0,"Faltante","Sobrante")))</f>
        <v>Cuadra</v>
      </c>
      <c r="T434" s="13" t="s">
        <v>101</v>
      </c>
    </row>
    <row r="435" customFormat="false" ht="15" hidden="false" customHeight="false" outlineLevel="0" collapsed="false">
      <c r="A435" s="17" t="n">
        <v>45913</v>
      </c>
      <c r="B435" s="13" t="s">
        <v>28</v>
      </c>
      <c r="C435" s="13" t="s">
        <v>109</v>
      </c>
      <c r="D435" s="13" t="s">
        <v>108</v>
      </c>
      <c r="E435" s="15" t="n">
        <v>401580</v>
      </c>
      <c r="F435" s="15" t="n">
        <v>94520</v>
      </c>
      <c r="G435" s="15" t="n">
        <v>36050</v>
      </c>
      <c r="H435" s="15" t="n">
        <v>63270</v>
      </c>
      <c r="I435" s="15" t="n">
        <v>26400</v>
      </c>
      <c r="J435" s="14" t="n">
        <f aca="false">SUM(E435:I435)</f>
        <v>621820</v>
      </c>
      <c r="K435" s="18" t="n">
        <v>59</v>
      </c>
      <c r="L435" s="15" t="n">
        <v>6170</v>
      </c>
      <c r="M435" s="13" t="s">
        <v>102</v>
      </c>
      <c r="N435" s="15" t="n">
        <v>304000</v>
      </c>
      <c r="O435" s="15" t="n">
        <v>20000</v>
      </c>
      <c r="P435" s="14" t="n">
        <f aca="false">IF(O435="","",O435+E435-L435-N435)</f>
        <v>111410</v>
      </c>
      <c r="Q435" s="15" t="n">
        <v>111410</v>
      </c>
      <c r="R435" s="14" t="n">
        <f aca="false">IF(OR(Q435="",P435=""),"",Q435-P435)</f>
        <v>0</v>
      </c>
      <c r="S435" s="19" t="str">
        <f aca="false">IF(R435="","",IF(ABS(R435)&lt;=Léeme!$B$12,"Cuadra",IF(R435&lt;0,"Faltante","Sobrante")))</f>
        <v>Cuadra</v>
      </c>
      <c r="T435" s="13" t="s">
        <v>101</v>
      </c>
    </row>
    <row r="436" customFormat="false" ht="15" hidden="false" customHeight="false" outlineLevel="0" collapsed="false">
      <c r="A436" s="17" t="n">
        <v>45914</v>
      </c>
      <c r="B436" s="13" t="s">
        <v>27</v>
      </c>
      <c r="C436" s="13" t="s">
        <v>107</v>
      </c>
      <c r="D436" s="13" t="s">
        <v>108</v>
      </c>
      <c r="E436" s="15" t="n">
        <v>743250</v>
      </c>
      <c r="F436" s="15" t="n">
        <v>165610</v>
      </c>
      <c r="G436" s="15" t="n">
        <v>66730</v>
      </c>
      <c r="H436" s="15" t="n">
        <v>113710</v>
      </c>
      <c r="I436" s="15" t="n">
        <v>44410</v>
      </c>
      <c r="J436" s="14" t="n">
        <f aca="false">SUM(E436:I436)</f>
        <v>1133710</v>
      </c>
      <c r="K436" s="18" t="n">
        <v>103</v>
      </c>
      <c r="L436" s="15" t="n">
        <v>0</v>
      </c>
      <c r="M436" s="13"/>
      <c r="N436" s="15" t="n">
        <v>0</v>
      </c>
      <c r="O436" s="15" t="n">
        <v>20000</v>
      </c>
      <c r="P436" s="14" t="n">
        <f aca="false">IF(O436="","",O436+E436-L436-N436)</f>
        <v>763250</v>
      </c>
      <c r="Q436" s="15" t="n">
        <v>756550</v>
      </c>
      <c r="R436" s="14" t="n">
        <f aca="false">IF(OR(Q436="",P436=""),"",Q436-P436)</f>
        <v>-6700</v>
      </c>
      <c r="S436" s="19" t="str">
        <f aca="false">IF(R436="","",IF(ABS(R436)&lt;=Léeme!$B$12,"Cuadra",IF(R436&lt;0,"Faltante","Sobrante")))</f>
        <v>Faltante</v>
      </c>
      <c r="T436" s="13" t="s">
        <v>101</v>
      </c>
    </row>
    <row r="437" customFormat="false" ht="15" hidden="false" customHeight="false" outlineLevel="0" collapsed="false">
      <c r="A437" s="17" t="n">
        <v>45914</v>
      </c>
      <c r="B437" s="13" t="s">
        <v>28</v>
      </c>
      <c r="C437" s="13" t="s">
        <v>109</v>
      </c>
      <c r="D437" s="13" t="s">
        <v>108</v>
      </c>
      <c r="E437" s="15" t="n">
        <v>552370</v>
      </c>
      <c r="F437" s="15" t="n">
        <v>121350</v>
      </c>
      <c r="G437" s="15" t="n">
        <v>52760</v>
      </c>
      <c r="H437" s="15" t="n">
        <v>92480</v>
      </c>
      <c r="I437" s="15" t="n">
        <v>35710</v>
      </c>
      <c r="J437" s="14" t="n">
        <f aca="false">SUM(E437:I437)</f>
        <v>854670</v>
      </c>
      <c r="K437" s="18" t="n">
        <v>74</v>
      </c>
      <c r="L437" s="15" t="n">
        <v>0</v>
      </c>
      <c r="M437" s="13"/>
      <c r="N437" s="15" t="n">
        <v>0</v>
      </c>
      <c r="O437" s="15" t="n">
        <v>20000</v>
      </c>
      <c r="P437" s="14" t="n">
        <f aca="false">IF(O437="","",O437+E437-L437-N437)</f>
        <v>572370</v>
      </c>
      <c r="Q437" s="15" t="n">
        <v>572370</v>
      </c>
      <c r="R437" s="14" t="n">
        <f aca="false">IF(OR(Q437="",P437=""),"",Q437-P437)</f>
        <v>0</v>
      </c>
      <c r="S437" s="19" t="str">
        <f aca="false">IF(R437="","",IF(ABS(R437)&lt;=Léeme!$B$12,"Cuadra",IF(R437&lt;0,"Faltante","Sobrante")))</f>
        <v>Cuadra</v>
      </c>
      <c r="T437" s="13" t="s">
        <v>101</v>
      </c>
    </row>
    <row r="438" customFormat="false" ht="15" hidden="false" customHeight="false" outlineLevel="0" collapsed="false">
      <c r="A438" s="17" t="n">
        <v>45916</v>
      </c>
      <c r="B438" s="13" t="s">
        <v>27</v>
      </c>
      <c r="C438" s="13" t="s">
        <v>110</v>
      </c>
      <c r="D438" s="13" t="s">
        <v>108</v>
      </c>
      <c r="E438" s="15" t="n">
        <v>327560</v>
      </c>
      <c r="F438" s="15" t="n">
        <v>59600</v>
      </c>
      <c r="G438" s="15" t="n">
        <v>28190</v>
      </c>
      <c r="H438" s="15" t="n">
        <v>50280</v>
      </c>
      <c r="I438" s="15" t="n">
        <v>19050</v>
      </c>
      <c r="J438" s="14" t="n">
        <f aca="false">SUM(E438:I438)</f>
        <v>484680</v>
      </c>
      <c r="K438" s="18" t="n">
        <v>48</v>
      </c>
      <c r="L438" s="15" t="n">
        <v>0</v>
      </c>
      <c r="M438" s="13"/>
      <c r="N438" s="15" t="n">
        <v>0</v>
      </c>
      <c r="O438" s="15" t="n">
        <v>20000</v>
      </c>
      <c r="P438" s="14" t="n">
        <f aca="false">IF(O438="","",O438+E438-L438-N438)</f>
        <v>347560</v>
      </c>
      <c r="Q438" s="15" t="n">
        <v>347560</v>
      </c>
      <c r="R438" s="14" t="n">
        <f aca="false">IF(OR(Q438="",P438=""),"",Q438-P438)</f>
        <v>0</v>
      </c>
      <c r="S438" s="19" t="str">
        <f aca="false">IF(R438="","",IF(ABS(R438)&lt;=Léeme!$B$12,"Cuadra",IF(R438&lt;0,"Faltante","Sobrante")))</f>
        <v>Cuadra</v>
      </c>
      <c r="T438" s="13" t="s">
        <v>101</v>
      </c>
    </row>
    <row r="439" customFormat="false" ht="15" hidden="false" customHeight="false" outlineLevel="0" collapsed="false">
      <c r="A439" s="17" t="n">
        <v>45916</v>
      </c>
      <c r="B439" s="13" t="s">
        <v>28</v>
      </c>
      <c r="C439" s="13" t="s">
        <v>111</v>
      </c>
      <c r="D439" s="13" t="s">
        <v>108</v>
      </c>
      <c r="E439" s="15" t="n">
        <v>225780</v>
      </c>
      <c r="F439" s="15" t="n">
        <v>41640</v>
      </c>
      <c r="G439" s="15" t="n">
        <v>19590</v>
      </c>
      <c r="H439" s="15" t="n">
        <v>27190</v>
      </c>
      <c r="I439" s="15" t="n">
        <v>11250</v>
      </c>
      <c r="J439" s="14" t="n">
        <f aca="false">SUM(E439:I439)</f>
        <v>325450</v>
      </c>
      <c r="K439" s="18" t="n">
        <v>28</v>
      </c>
      <c r="L439" s="15" t="n">
        <v>0</v>
      </c>
      <c r="M439" s="13"/>
      <c r="N439" s="15" t="n">
        <v>0</v>
      </c>
      <c r="O439" s="15" t="n">
        <v>20000</v>
      </c>
      <c r="P439" s="14" t="n">
        <f aca="false">IF(O439="","",O439+E439-L439-N439)</f>
        <v>245780</v>
      </c>
      <c r="Q439" s="15" t="n">
        <v>245780</v>
      </c>
      <c r="R439" s="14" t="n">
        <f aca="false">IF(OR(Q439="",P439=""),"",Q439-P439)</f>
        <v>0</v>
      </c>
      <c r="S439" s="19" t="str">
        <f aca="false">IF(R439="","",IF(ABS(R439)&lt;=Léeme!$B$12,"Cuadra",IF(R439&lt;0,"Faltante","Sobrante")))</f>
        <v>Cuadra</v>
      </c>
      <c r="T439" s="13" t="s">
        <v>101</v>
      </c>
    </row>
    <row r="440" customFormat="false" ht="15" hidden="false" customHeight="false" outlineLevel="0" collapsed="false">
      <c r="A440" s="17" t="n">
        <v>45917</v>
      </c>
      <c r="B440" s="13" t="s">
        <v>27</v>
      </c>
      <c r="C440" s="13" t="s">
        <v>110</v>
      </c>
      <c r="D440" s="13" t="s">
        <v>108</v>
      </c>
      <c r="E440" s="15" t="n">
        <v>260030</v>
      </c>
      <c r="F440" s="15" t="n">
        <v>62910</v>
      </c>
      <c r="G440" s="15" t="n">
        <v>25120</v>
      </c>
      <c r="H440" s="15" t="n">
        <v>43470</v>
      </c>
      <c r="I440" s="15" t="n">
        <v>15530</v>
      </c>
      <c r="J440" s="14" t="n">
        <f aca="false">SUM(E440:I440)</f>
        <v>407060</v>
      </c>
      <c r="K440" s="18" t="n">
        <v>37</v>
      </c>
      <c r="L440" s="15" t="n">
        <v>0</v>
      </c>
      <c r="M440" s="13"/>
      <c r="N440" s="15" t="n">
        <v>0</v>
      </c>
      <c r="O440" s="15" t="n">
        <v>20000</v>
      </c>
      <c r="P440" s="14" t="n">
        <f aca="false">IF(O440="","",O440+E440-L440-N440)</f>
        <v>280030</v>
      </c>
      <c r="Q440" s="15" t="n">
        <v>280310</v>
      </c>
      <c r="R440" s="14" t="n">
        <f aca="false">IF(OR(Q440="",P440=""),"",Q440-P440)</f>
        <v>280</v>
      </c>
      <c r="S440" s="19" t="str">
        <f aca="false">IF(R440="","",IF(ABS(R440)&lt;=Léeme!$B$12,"Cuadra",IF(R440&lt;0,"Faltante","Sobrante")))</f>
        <v>Cuadra</v>
      </c>
      <c r="T440" s="13" t="s">
        <v>101</v>
      </c>
    </row>
    <row r="441" customFormat="false" ht="15" hidden="false" customHeight="false" outlineLevel="0" collapsed="false">
      <c r="A441" s="17" t="n">
        <v>45917</v>
      </c>
      <c r="B441" s="13" t="s">
        <v>28</v>
      </c>
      <c r="C441" s="13" t="s">
        <v>111</v>
      </c>
      <c r="D441" s="13" t="s">
        <v>108</v>
      </c>
      <c r="E441" s="15" t="n">
        <v>207830</v>
      </c>
      <c r="F441" s="15" t="n">
        <v>43310</v>
      </c>
      <c r="G441" s="15" t="n">
        <v>18640</v>
      </c>
      <c r="H441" s="15" t="n">
        <v>31360</v>
      </c>
      <c r="I441" s="15" t="n">
        <v>12430</v>
      </c>
      <c r="J441" s="14" t="n">
        <f aca="false">SUM(E441:I441)</f>
        <v>313570</v>
      </c>
      <c r="K441" s="18" t="n">
        <v>28</v>
      </c>
      <c r="L441" s="15" t="n">
        <v>0</v>
      </c>
      <c r="M441" s="13"/>
      <c r="N441" s="15" t="n">
        <v>0</v>
      </c>
      <c r="O441" s="15" t="n">
        <v>20000</v>
      </c>
      <c r="P441" s="14" t="n">
        <f aca="false">IF(O441="","",O441+E441-L441-N441)</f>
        <v>227830</v>
      </c>
      <c r="Q441" s="15" t="n">
        <v>227830</v>
      </c>
      <c r="R441" s="14" t="n">
        <f aca="false">IF(OR(Q441="",P441=""),"",Q441-P441)</f>
        <v>0</v>
      </c>
      <c r="S441" s="19" t="str">
        <f aca="false">IF(R441="","",IF(ABS(R441)&lt;=Léeme!$B$12,"Cuadra",IF(R441&lt;0,"Faltante","Sobrante")))</f>
        <v>Cuadra</v>
      </c>
      <c r="T441" s="13" t="s">
        <v>101</v>
      </c>
    </row>
    <row r="442" customFormat="false" ht="15" hidden="false" customHeight="false" outlineLevel="0" collapsed="false">
      <c r="A442" s="17" t="n">
        <v>45918</v>
      </c>
      <c r="B442" s="13" t="s">
        <v>27</v>
      </c>
      <c r="C442" s="13" t="s">
        <v>110</v>
      </c>
      <c r="D442" s="13" t="s">
        <v>108</v>
      </c>
      <c r="E442" s="15" t="n">
        <v>294580</v>
      </c>
      <c r="F442" s="15" t="n">
        <v>56170</v>
      </c>
      <c r="G442" s="15" t="n">
        <v>24710</v>
      </c>
      <c r="H442" s="15" t="n">
        <v>41610</v>
      </c>
      <c r="I442" s="15" t="n">
        <v>15040</v>
      </c>
      <c r="J442" s="14" t="n">
        <f aca="false">SUM(E442:I442)</f>
        <v>432110</v>
      </c>
      <c r="K442" s="18" t="n">
        <v>38</v>
      </c>
      <c r="L442" s="15" t="n">
        <v>0</v>
      </c>
      <c r="M442" s="13"/>
      <c r="N442" s="15" t="n">
        <v>0</v>
      </c>
      <c r="O442" s="15" t="n">
        <v>20000</v>
      </c>
      <c r="P442" s="14" t="n">
        <f aca="false">IF(O442="","",O442+E442-L442-N442)</f>
        <v>314580</v>
      </c>
      <c r="Q442" s="15" t="n">
        <v>315310</v>
      </c>
      <c r="R442" s="14" t="n">
        <f aca="false">IF(OR(Q442="",P442=""),"",Q442-P442)</f>
        <v>730</v>
      </c>
      <c r="S442" s="19" t="str">
        <f aca="false">IF(R442="","",IF(ABS(R442)&lt;=Léeme!$B$12,"Cuadra",IF(R442&lt;0,"Faltante","Sobrante")))</f>
        <v>Sobrante</v>
      </c>
      <c r="T442" s="13" t="s">
        <v>101</v>
      </c>
    </row>
    <row r="443" customFormat="false" ht="15" hidden="false" customHeight="false" outlineLevel="0" collapsed="false">
      <c r="A443" s="17" t="n">
        <v>45918</v>
      </c>
      <c r="B443" s="13" t="s">
        <v>28</v>
      </c>
      <c r="C443" s="13" t="s">
        <v>111</v>
      </c>
      <c r="D443" s="13" t="s">
        <v>108</v>
      </c>
      <c r="E443" s="15" t="n">
        <v>217350</v>
      </c>
      <c r="F443" s="15" t="n">
        <v>41330</v>
      </c>
      <c r="G443" s="15" t="n">
        <v>18740</v>
      </c>
      <c r="H443" s="15" t="n">
        <v>28730</v>
      </c>
      <c r="I443" s="15" t="n">
        <v>12700</v>
      </c>
      <c r="J443" s="14" t="n">
        <f aca="false">SUM(E443:I443)</f>
        <v>318850</v>
      </c>
      <c r="K443" s="18" t="n">
        <v>32</v>
      </c>
      <c r="L443" s="15" t="n">
        <v>27050</v>
      </c>
      <c r="M443" s="13" t="s">
        <v>103</v>
      </c>
      <c r="N443" s="15" t="n">
        <v>0</v>
      </c>
      <c r="O443" s="15" t="n">
        <v>20000</v>
      </c>
      <c r="P443" s="14" t="n">
        <f aca="false">IF(O443="","",O443+E443-L443-N443)</f>
        <v>210300</v>
      </c>
      <c r="Q443" s="15" t="n">
        <v>210300</v>
      </c>
      <c r="R443" s="14" t="n">
        <f aca="false">IF(OR(Q443="",P443=""),"",Q443-P443)</f>
        <v>0</v>
      </c>
      <c r="S443" s="19" t="str">
        <f aca="false">IF(R443="","",IF(ABS(R443)&lt;=Léeme!$B$12,"Cuadra",IF(R443&lt;0,"Faltante","Sobrante")))</f>
        <v>Cuadra</v>
      </c>
      <c r="T443" s="13" t="s">
        <v>101</v>
      </c>
    </row>
    <row r="444" customFormat="false" ht="15" hidden="false" customHeight="false" outlineLevel="0" collapsed="false">
      <c r="A444" s="17" t="n">
        <v>45919</v>
      </c>
      <c r="B444" s="13" t="s">
        <v>27</v>
      </c>
      <c r="C444" s="13" t="s">
        <v>110</v>
      </c>
      <c r="D444" s="13" t="s">
        <v>108</v>
      </c>
      <c r="E444" s="15" t="n">
        <v>268360</v>
      </c>
      <c r="F444" s="15" t="n">
        <v>59810</v>
      </c>
      <c r="G444" s="15" t="n">
        <v>27530</v>
      </c>
      <c r="H444" s="15" t="n">
        <v>43200</v>
      </c>
      <c r="I444" s="15" t="n">
        <v>16480</v>
      </c>
      <c r="J444" s="14" t="n">
        <f aca="false">SUM(E444:I444)</f>
        <v>415380</v>
      </c>
      <c r="K444" s="18" t="n">
        <v>39</v>
      </c>
      <c r="L444" s="15" t="n">
        <v>0</v>
      </c>
      <c r="M444" s="13"/>
      <c r="N444" s="15" t="n">
        <v>0</v>
      </c>
      <c r="O444" s="15" t="n">
        <v>20000</v>
      </c>
      <c r="P444" s="14" t="n">
        <f aca="false">IF(O444="","",O444+E444-L444-N444)</f>
        <v>288360</v>
      </c>
      <c r="Q444" s="15" t="n">
        <v>288360</v>
      </c>
      <c r="R444" s="14" t="n">
        <f aca="false">IF(OR(Q444="",P444=""),"",Q444-P444)</f>
        <v>0</v>
      </c>
      <c r="S444" s="19" t="str">
        <f aca="false">IF(R444="","",IF(ABS(R444)&lt;=Léeme!$B$12,"Cuadra",IF(R444&lt;0,"Faltante","Sobrante")))</f>
        <v>Cuadra</v>
      </c>
      <c r="T444" s="13" t="s">
        <v>101</v>
      </c>
    </row>
    <row r="445" customFormat="false" ht="15" hidden="false" customHeight="false" outlineLevel="0" collapsed="false">
      <c r="A445" s="17" t="n">
        <v>45919</v>
      </c>
      <c r="B445" s="13" t="s">
        <v>28</v>
      </c>
      <c r="C445" s="13" t="s">
        <v>111</v>
      </c>
      <c r="D445" s="13" t="s">
        <v>108</v>
      </c>
      <c r="E445" s="15" t="n">
        <v>221510</v>
      </c>
      <c r="F445" s="15" t="n">
        <v>41690</v>
      </c>
      <c r="G445" s="15" t="n">
        <v>17430</v>
      </c>
      <c r="H445" s="15" t="n">
        <v>29210</v>
      </c>
      <c r="I445" s="15" t="n">
        <v>13020</v>
      </c>
      <c r="J445" s="14" t="n">
        <f aca="false">SUM(E445:I445)</f>
        <v>322860</v>
      </c>
      <c r="K445" s="18" t="n">
        <v>29</v>
      </c>
      <c r="L445" s="15" t="n">
        <v>0</v>
      </c>
      <c r="M445" s="13"/>
      <c r="N445" s="15" t="n">
        <v>0</v>
      </c>
      <c r="O445" s="15" t="n">
        <v>20000</v>
      </c>
      <c r="P445" s="14" t="n">
        <f aca="false">IF(O445="","",O445+E445-L445-N445)</f>
        <v>241510</v>
      </c>
      <c r="Q445" s="15" t="n">
        <v>241350</v>
      </c>
      <c r="R445" s="14" t="n">
        <f aca="false">IF(OR(Q445="",P445=""),"",Q445-P445)</f>
        <v>-160</v>
      </c>
      <c r="S445" s="19" t="str">
        <f aca="false">IF(R445="","",IF(ABS(R445)&lt;=Léeme!$B$12,"Cuadra",IF(R445&lt;0,"Faltante","Sobrante")))</f>
        <v>Cuadra</v>
      </c>
      <c r="T445" s="13" t="s">
        <v>101</v>
      </c>
    </row>
    <row r="446" customFormat="false" ht="15" hidden="false" customHeight="false" outlineLevel="0" collapsed="false">
      <c r="A446" s="17" t="n">
        <v>45920</v>
      </c>
      <c r="B446" s="13" t="s">
        <v>27</v>
      </c>
      <c r="C446" s="13" t="s">
        <v>107</v>
      </c>
      <c r="D446" s="13" t="s">
        <v>108</v>
      </c>
      <c r="E446" s="15" t="n">
        <v>454990</v>
      </c>
      <c r="F446" s="15" t="n">
        <v>92140</v>
      </c>
      <c r="G446" s="15" t="n">
        <v>33040</v>
      </c>
      <c r="H446" s="15" t="n">
        <v>62310</v>
      </c>
      <c r="I446" s="15" t="n">
        <v>24850</v>
      </c>
      <c r="J446" s="14" t="n">
        <f aca="false">SUM(E446:I446)</f>
        <v>667330</v>
      </c>
      <c r="K446" s="18" t="n">
        <v>63</v>
      </c>
      <c r="L446" s="15" t="n">
        <v>16540</v>
      </c>
      <c r="M446" s="13" t="s">
        <v>103</v>
      </c>
      <c r="N446" s="15" t="n">
        <v>297000</v>
      </c>
      <c r="O446" s="15" t="n">
        <v>20000</v>
      </c>
      <c r="P446" s="14" t="n">
        <f aca="false">IF(O446="","",O446+E446-L446-N446)</f>
        <v>161450</v>
      </c>
      <c r="Q446" s="15" t="n">
        <v>150750</v>
      </c>
      <c r="R446" s="14" t="n">
        <f aca="false">IF(OR(Q446="",P446=""),"",Q446-P446)</f>
        <v>-10700</v>
      </c>
      <c r="S446" s="19" t="str">
        <f aca="false">IF(R446="","",IF(ABS(R446)&lt;=Léeme!$B$12,"Cuadra",IF(R446&lt;0,"Faltante","Sobrante")))</f>
        <v>Faltante</v>
      </c>
      <c r="T446" s="13" t="s">
        <v>101</v>
      </c>
    </row>
    <row r="447" customFormat="false" ht="15" hidden="false" customHeight="false" outlineLevel="0" collapsed="false">
      <c r="A447" s="17" t="n">
        <v>45920</v>
      </c>
      <c r="B447" s="13" t="s">
        <v>28</v>
      </c>
      <c r="C447" s="13" t="s">
        <v>109</v>
      </c>
      <c r="D447" s="13" t="s">
        <v>108</v>
      </c>
      <c r="E447" s="15" t="n">
        <v>326920</v>
      </c>
      <c r="F447" s="15" t="n">
        <v>66710</v>
      </c>
      <c r="G447" s="15" t="n">
        <v>32540</v>
      </c>
      <c r="H447" s="15" t="n">
        <v>48240</v>
      </c>
      <c r="I447" s="15" t="n">
        <v>20960</v>
      </c>
      <c r="J447" s="14" t="n">
        <f aca="false">SUM(E447:I447)</f>
        <v>495370</v>
      </c>
      <c r="K447" s="18" t="n">
        <v>45</v>
      </c>
      <c r="L447" s="15" t="n">
        <v>28130</v>
      </c>
      <c r="M447" s="13" t="s">
        <v>103</v>
      </c>
      <c r="N447" s="15" t="n">
        <v>174000</v>
      </c>
      <c r="O447" s="15" t="n">
        <v>20000</v>
      </c>
      <c r="P447" s="14" t="n">
        <f aca="false">IF(O447="","",O447+E447-L447-N447)</f>
        <v>144790</v>
      </c>
      <c r="Q447" s="15" t="n">
        <v>144210</v>
      </c>
      <c r="R447" s="14" t="n">
        <f aca="false">IF(OR(Q447="",P447=""),"",Q447-P447)</f>
        <v>-580</v>
      </c>
      <c r="S447" s="19" t="str">
        <f aca="false">IF(R447="","",IF(ABS(R447)&lt;=Léeme!$B$12,"Cuadra",IF(R447&lt;0,"Faltante","Sobrante")))</f>
        <v>Faltante</v>
      </c>
      <c r="T447" s="13" t="s">
        <v>101</v>
      </c>
    </row>
    <row r="448" customFormat="false" ht="15" hidden="false" customHeight="false" outlineLevel="0" collapsed="false">
      <c r="A448" s="17" t="n">
        <v>45921</v>
      </c>
      <c r="B448" s="13" t="s">
        <v>27</v>
      </c>
      <c r="C448" s="13" t="s">
        <v>107</v>
      </c>
      <c r="D448" s="13" t="s">
        <v>108</v>
      </c>
      <c r="E448" s="15" t="n">
        <v>818510</v>
      </c>
      <c r="F448" s="15" t="n">
        <v>195870</v>
      </c>
      <c r="G448" s="15" t="n">
        <v>71500</v>
      </c>
      <c r="H448" s="15" t="n">
        <v>128030</v>
      </c>
      <c r="I448" s="15" t="n">
        <v>49680</v>
      </c>
      <c r="J448" s="14" t="n">
        <f aca="false">SUM(E448:I448)</f>
        <v>1263590</v>
      </c>
      <c r="K448" s="18" t="n">
        <v>112</v>
      </c>
      <c r="L448" s="15" t="n">
        <v>0</v>
      </c>
      <c r="M448" s="13"/>
      <c r="N448" s="15" t="n">
        <v>609000</v>
      </c>
      <c r="O448" s="15" t="n">
        <v>20000</v>
      </c>
      <c r="P448" s="14" t="n">
        <f aca="false">IF(O448="","",O448+E448-L448-N448)</f>
        <v>229510</v>
      </c>
      <c r="Q448" s="15" t="n">
        <v>226610</v>
      </c>
      <c r="R448" s="14" t="n">
        <f aca="false">IF(OR(Q448="",P448=""),"",Q448-P448)</f>
        <v>-2900</v>
      </c>
      <c r="S448" s="19" t="str">
        <f aca="false">IF(R448="","",IF(ABS(R448)&lt;=Léeme!$B$12,"Cuadra",IF(R448&lt;0,"Faltante","Sobrante")))</f>
        <v>Faltante</v>
      </c>
      <c r="T448" s="13" t="s">
        <v>101</v>
      </c>
    </row>
    <row r="449" customFormat="false" ht="15" hidden="false" customHeight="false" outlineLevel="0" collapsed="false">
      <c r="A449" s="17" t="n">
        <v>45921</v>
      </c>
      <c r="B449" s="13" t="s">
        <v>28</v>
      </c>
      <c r="C449" s="13" t="s">
        <v>109</v>
      </c>
      <c r="D449" s="13" t="s">
        <v>108</v>
      </c>
      <c r="E449" s="15" t="n">
        <v>539330</v>
      </c>
      <c r="F449" s="15" t="n">
        <v>123270</v>
      </c>
      <c r="G449" s="15" t="n">
        <v>50180</v>
      </c>
      <c r="H449" s="15" t="n">
        <v>71770</v>
      </c>
      <c r="I449" s="15" t="n">
        <v>30850</v>
      </c>
      <c r="J449" s="14" t="n">
        <f aca="false">SUM(E449:I449)</f>
        <v>815400</v>
      </c>
      <c r="K449" s="18" t="n">
        <v>75</v>
      </c>
      <c r="L449" s="15" t="n">
        <v>0</v>
      </c>
      <c r="M449" s="13"/>
      <c r="N449" s="15" t="n">
        <v>0</v>
      </c>
      <c r="O449" s="15" t="n">
        <v>20000</v>
      </c>
      <c r="P449" s="14" t="n">
        <f aca="false">IF(O449="","",O449+E449-L449-N449)</f>
        <v>559330</v>
      </c>
      <c r="Q449" s="15" t="n">
        <v>559330</v>
      </c>
      <c r="R449" s="14" t="n">
        <f aca="false">IF(OR(Q449="",P449=""),"",Q449-P449)</f>
        <v>0</v>
      </c>
      <c r="S449" s="19" t="str">
        <f aca="false">IF(R449="","",IF(ABS(R449)&lt;=Léeme!$B$12,"Cuadra",IF(R449&lt;0,"Faltante","Sobrante")))</f>
        <v>Cuadra</v>
      </c>
      <c r="T449" s="13" t="s">
        <v>101</v>
      </c>
    </row>
    <row r="450" customFormat="false" ht="15" hidden="false" customHeight="false" outlineLevel="0" collapsed="false">
      <c r="A450" s="17" t="n">
        <v>45923</v>
      </c>
      <c r="B450" s="13" t="s">
        <v>27</v>
      </c>
      <c r="C450" s="13" t="s">
        <v>110</v>
      </c>
      <c r="D450" s="13" t="s">
        <v>108</v>
      </c>
      <c r="E450" s="15" t="n">
        <v>301150</v>
      </c>
      <c r="F450" s="15" t="n">
        <v>69310</v>
      </c>
      <c r="G450" s="15" t="n">
        <v>29780</v>
      </c>
      <c r="H450" s="15" t="n">
        <v>44660</v>
      </c>
      <c r="I450" s="15" t="n">
        <v>18650</v>
      </c>
      <c r="J450" s="14" t="n">
        <f aca="false">SUM(E450:I450)</f>
        <v>463550</v>
      </c>
      <c r="K450" s="18" t="n">
        <v>46</v>
      </c>
      <c r="L450" s="15" t="n">
        <v>0</v>
      </c>
      <c r="M450" s="13"/>
      <c r="N450" s="15" t="n">
        <v>0</v>
      </c>
      <c r="O450" s="15" t="n">
        <v>20000</v>
      </c>
      <c r="P450" s="14" t="n">
        <f aca="false">IF(O450="","",O450+E450-L450-N450)</f>
        <v>321150</v>
      </c>
      <c r="Q450" s="15" t="n">
        <v>321150</v>
      </c>
      <c r="R450" s="14" t="n">
        <f aca="false">IF(OR(Q450="",P450=""),"",Q450-P450)</f>
        <v>0</v>
      </c>
      <c r="S450" s="19" t="str">
        <f aca="false">IF(R450="","",IF(ABS(R450)&lt;=Léeme!$B$12,"Cuadra",IF(R450&lt;0,"Faltante","Sobrante")))</f>
        <v>Cuadra</v>
      </c>
      <c r="T450" s="13" t="s">
        <v>101</v>
      </c>
    </row>
    <row r="451" customFormat="false" ht="15" hidden="false" customHeight="false" outlineLevel="0" collapsed="false">
      <c r="A451" s="17" t="n">
        <v>45923</v>
      </c>
      <c r="B451" s="13" t="s">
        <v>28</v>
      </c>
      <c r="C451" s="13" t="s">
        <v>111</v>
      </c>
      <c r="D451" s="13" t="s">
        <v>108</v>
      </c>
      <c r="E451" s="15" t="n">
        <v>223950</v>
      </c>
      <c r="F451" s="15" t="n">
        <v>41720</v>
      </c>
      <c r="G451" s="15" t="n">
        <v>19330</v>
      </c>
      <c r="H451" s="15" t="n">
        <v>27980</v>
      </c>
      <c r="I451" s="15" t="n">
        <v>11860</v>
      </c>
      <c r="J451" s="14" t="n">
        <f aca="false">SUM(E451:I451)</f>
        <v>324840</v>
      </c>
      <c r="K451" s="18" t="n">
        <v>29</v>
      </c>
      <c r="L451" s="15" t="n">
        <v>0</v>
      </c>
      <c r="M451" s="13"/>
      <c r="N451" s="15" t="n">
        <v>0</v>
      </c>
      <c r="O451" s="15" t="n">
        <v>20000</v>
      </c>
      <c r="P451" s="14" t="n">
        <f aca="false">IF(O451="","",O451+E451-L451-N451)</f>
        <v>243950</v>
      </c>
      <c r="Q451" s="15" t="n">
        <v>243950</v>
      </c>
      <c r="R451" s="14" t="n">
        <f aca="false">IF(OR(Q451="",P451=""),"",Q451-P451)</f>
        <v>0</v>
      </c>
      <c r="S451" s="19" t="str">
        <f aca="false">IF(R451="","",IF(ABS(R451)&lt;=Léeme!$B$12,"Cuadra",IF(R451&lt;0,"Faltante","Sobrante")))</f>
        <v>Cuadra</v>
      </c>
      <c r="T451" s="13" t="s">
        <v>101</v>
      </c>
    </row>
    <row r="452" customFormat="false" ht="15" hidden="false" customHeight="false" outlineLevel="0" collapsed="false">
      <c r="A452" s="17" t="n">
        <v>45924</v>
      </c>
      <c r="B452" s="13" t="s">
        <v>27</v>
      </c>
      <c r="C452" s="13" t="s">
        <v>110</v>
      </c>
      <c r="D452" s="13" t="s">
        <v>108</v>
      </c>
      <c r="E452" s="15" t="n">
        <v>327090</v>
      </c>
      <c r="F452" s="15" t="n">
        <v>71850</v>
      </c>
      <c r="G452" s="15" t="n">
        <v>26890</v>
      </c>
      <c r="H452" s="15" t="n">
        <v>48810</v>
      </c>
      <c r="I452" s="15" t="n">
        <v>20060</v>
      </c>
      <c r="J452" s="14" t="n">
        <f aca="false">SUM(E452:I452)</f>
        <v>494700</v>
      </c>
      <c r="K452" s="18" t="n">
        <v>47</v>
      </c>
      <c r="L452" s="15" t="n">
        <v>0</v>
      </c>
      <c r="M452" s="13"/>
      <c r="N452" s="15" t="n">
        <v>0</v>
      </c>
      <c r="O452" s="15" t="n">
        <v>20000</v>
      </c>
      <c r="P452" s="14" t="n">
        <f aca="false">IF(O452="","",O452+E452-L452-N452)</f>
        <v>347090</v>
      </c>
      <c r="Q452" s="15" t="n">
        <v>347090</v>
      </c>
      <c r="R452" s="14" t="n">
        <f aca="false">IF(OR(Q452="",P452=""),"",Q452-P452)</f>
        <v>0</v>
      </c>
      <c r="S452" s="19" t="str">
        <f aca="false">IF(R452="","",IF(ABS(R452)&lt;=Léeme!$B$12,"Cuadra",IF(R452&lt;0,"Faltante","Sobrante")))</f>
        <v>Cuadra</v>
      </c>
      <c r="T452" s="13" t="s">
        <v>101</v>
      </c>
    </row>
    <row r="453" customFormat="false" ht="15" hidden="false" customHeight="false" outlineLevel="0" collapsed="false">
      <c r="A453" s="17" t="n">
        <v>45924</v>
      </c>
      <c r="B453" s="13" t="s">
        <v>28</v>
      </c>
      <c r="C453" s="13" t="s">
        <v>111</v>
      </c>
      <c r="D453" s="13" t="s">
        <v>108</v>
      </c>
      <c r="E453" s="15" t="n">
        <v>216880</v>
      </c>
      <c r="F453" s="15" t="n">
        <v>50180</v>
      </c>
      <c r="G453" s="15" t="n">
        <v>21470</v>
      </c>
      <c r="H453" s="15" t="n">
        <v>31630</v>
      </c>
      <c r="I453" s="15" t="n">
        <v>12800</v>
      </c>
      <c r="J453" s="14" t="n">
        <f aca="false">SUM(E453:I453)</f>
        <v>332960</v>
      </c>
      <c r="K453" s="18" t="n">
        <v>33</v>
      </c>
      <c r="L453" s="15" t="n">
        <v>12060</v>
      </c>
      <c r="M453" s="13" t="s">
        <v>103</v>
      </c>
      <c r="N453" s="15" t="n">
        <v>0</v>
      </c>
      <c r="O453" s="15" t="n">
        <v>20000</v>
      </c>
      <c r="P453" s="14" t="n">
        <f aca="false">IF(O453="","",O453+E453-L453-N453)</f>
        <v>224820</v>
      </c>
      <c r="Q453" s="15" t="n">
        <v>224820</v>
      </c>
      <c r="R453" s="14" t="n">
        <f aca="false">IF(OR(Q453="",P453=""),"",Q453-P453)</f>
        <v>0</v>
      </c>
      <c r="S453" s="19" t="str">
        <f aca="false">IF(R453="","",IF(ABS(R453)&lt;=Léeme!$B$12,"Cuadra",IF(R453&lt;0,"Faltante","Sobrante")))</f>
        <v>Cuadra</v>
      </c>
      <c r="T453" s="13" t="s">
        <v>101</v>
      </c>
    </row>
    <row r="454" customFormat="false" ht="15" hidden="false" customHeight="false" outlineLevel="0" collapsed="false">
      <c r="A454" s="17" t="n">
        <v>45925</v>
      </c>
      <c r="B454" s="13" t="s">
        <v>27</v>
      </c>
      <c r="C454" s="13" t="s">
        <v>110</v>
      </c>
      <c r="D454" s="13" t="s">
        <v>108</v>
      </c>
      <c r="E454" s="15" t="n">
        <v>315700</v>
      </c>
      <c r="F454" s="15" t="n">
        <v>68660</v>
      </c>
      <c r="G454" s="15" t="n">
        <v>29280</v>
      </c>
      <c r="H454" s="15" t="n">
        <v>47190</v>
      </c>
      <c r="I454" s="15" t="n">
        <v>19070</v>
      </c>
      <c r="J454" s="14" t="n">
        <f aca="false">SUM(E454:I454)</f>
        <v>479900</v>
      </c>
      <c r="K454" s="18" t="n">
        <v>46</v>
      </c>
      <c r="L454" s="15" t="n">
        <v>0</v>
      </c>
      <c r="M454" s="13"/>
      <c r="N454" s="15" t="n">
        <v>0</v>
      </c>
      <c r="O454" s="15" t="n">
        <v>20000</v>
      </c>
      <c r="P454" s="14" t="n">
        <f aca="false">IF(O454="","",O454+E454-L454-N454)</f>
        <v>335700</v>
      </c>
      <c r="Q454" s="15" t="n">
        <v>335700</v>
      </c>
      <c r="R454" s="14" t="n">
        <f aca="false">IF(OR(Q454="",P454=""),"",Q454-P454)</f>
        <v>0</v>
      </c>
      <c r="S454" s="19" t="str">
        <f aca="false">IF(R454="","",IF(ABS(R454)&lt;=Léeme!$B$12,"Cuadra",IF(R454&lt;0,"Faltante","Sobrante")))</f>
        <v>Cuadra</v>
      </c>
      <c r="T454" s="13" t="s">
        <v>101</v>
      </c>
    </row>
    <row r="455" customFormat="false" ht="15" hidden="false" customHeight="false" outlineLevel="0" collapsed="false">
      <c r="A455" s="17" t="n">
        <v>45925</v>
      </c>
      <c r="B455" s="13" t="s">
        <v>28</v>
      </c>
      <c r="C455" s="13" t="s">
        <v>111</v>
      </c>
      <c r="D455" s="13" t="s">
        <v>108</v>
      </c>
      <c r="E455" s="15" t="n">
        <v>205350</v>
      </c>
      <c r="F455" s="15" t="n">
        <v>44290</v>
      </c>
      <c r="G455" s="15" t="n">
        <v>20000</v>
      </c>
      <c r="H455" s="15" t="n">
        <v>28260</v>
      </c>
      <c r="I455" s="15" t="n">
        <v>13330</v>
      </c>
      <c r="J455" s="14" t="n">
        <f aca="false">SUM(E455:I455)</f>
        <v>311230</v>
      </c>
      <c r="K455" s="18" t="n">
        <v>27</v>
      </c>
      <c r="L455" s="15" t="n">
        <v>0</v>
      </c>
      <c r="M455" s="13"/>
      <c r="N455" s="15" t="n">
        <v>0</v>
      </c>
      <c r="O455" s="15" t="n">
        <v>20000</v>
      </c>
      <c r="P455" s="14" t="n">
        <f aca="false">IF(O455="","",O455+E455-L455-N455)</f>
        <v>225350</v>
      </c>
      <c r="Q455" s="15" t="n">
        <v>225350</v>
      </c>
      <c r="R455" s="14" t="n">
        <f aca="false">IF(OR(Q455="",P455=""),"",Q455-P455)</f>
        <v>0</v>
      </c>
      <c r="S455" s="19" t="str">
        <f aca="false">IF(R455="","",IF(ABS(R455)&lt;=Léeme!$B$12,"Cuadra",IF(R455&lt;0,"Faltante","Sobrante")))</f>
        <v>Cuadra</v>
      </c>
      <c r="T455" s="13" t="s">
        <v>101</v>
      </c>
    </row>
    <row r="456" customFormat="false" ht="15" hidden="false" customHeight="false" outlineLevel="0" collapsed="false">
      <c r="A456" s="17" t="n">
        <v>45926</v>
      </c>
      <c r="B456" s="13" t="s">
        <v>27</v>
      </c>
      <c r="C456" s="13" t="s">
        <v>110</v>
      </c>
      <c r="D456" s="13" t="s">
        <v>108</v>
      </c>
      <c r="E456" s="15" t="n">
        <v>338740</v>
      </c>
      <c r="F456" s="15" t="n">
        <v>68230</v>
      </c>
      <c r="G456" s="15" t="n">
        <v>26090</v>
      </c>
      <c r="H456" s="15" t="n">
        <v>50380</v>
      </c>
      <c r="I456" s="15" t="n">
        <v>18400</v>
      </c>
      <c r="J456" s="14" t="n">
        <f aca="false">SUM(E456:I456)</f>
        <v>501840</v>
      </c>
      <c r="K456" s="18" t="n">
        <v>44</v>
      </c>
      <c r="L456" s="15" t="n">
        <v>0</v>
      </c>
      <c r="M456" s="13"/>
      <c r="N456" s="15" t="n">
        <v>260000</v>
      </c>
      <c r="O456" s="15" t="n">
        <v>20000</v>
      </c>
      <c r="P456" s="14" t="n">
        <f aca="false">IF(O456="","",O456+E456-L456-N456)</f>
        <v>98740</v>
      </c>
      <c r="Q456" s="15" t="n">
        <v>98740</v>
      </c>
      <c r="R456" s="14" t="n">
        <f aca="false">IF(OR(Q456="",P456=""),"",Q456-P456)</f>
        <v>0</v>
      </c>
      <c r="S456" s="19" t="str">
        <f aca="false">IF(R456="","",IF(ABS(R456)&lt;=Léeme!$B$12,"Cuadra",IF(R456&lt;0,"Faltante","Sobrante")))</f>
        <v>Cuadra</v>
      </c>
      <c r="T456" s="13" t="s">
        <v>101</v>
      </c>
    </row>
    <row r="457" customFormat="false" ht="15" hidden="false" customHeight="false" outlineLevel="0" collapsed="false">
      <c r="A457" s="17" t="n">
        <v>45926</v>
      </c>
      <c r="B457" s="13" t="s">
        <v>28</v>
      </c>
      <c r="C457" s="13" t="s">
        <v>111</v>
      </c>
      <c r="D457" s="13" t="s">
        <v>108</v>
      </c>
      <c r="E457" s="15" t="n">
        <v>201120</v>
      </c>
      <c r="F457" s="15" t="n">
        <v>40610</v>
      </c>
      <c r="G457" s="15" t="n">
        <v>20040</v>
      </c>
      <c r="H457" s="15" t="n">
        <v>32090</v>
      </c>
      <c r="I457" s="15" t="n">
        <v>13220</v>
      </c>
      <c r="J457" s="14" t="n">
        <f aca="false">SUM(E457:I457)</f>
        <v>307080</v>
      </c>
      <c r="K457" s="18" t="n">
        <v>27</v>
      </c>
      <c r="L457" s="15" t="n">
        <v>0</v>
      </c>
      <c r="M457" s="13"/>
      <c r="N457" s="15" t="n">
        <v>116000</v>
      </c>
      <c r="O457" s="15" t="n">
        <v>20000</v>
      </c>
      <c r="P457" s="14" t="n">
        <f aca="false">IF(O457="","",O457+E457-L457-N457)</f>
        <v>105120</v>
      </c>
      <c r="Q457" s="15" t="n">
        <v>105120</v>
      </c>
      <c r="R457" s="14" t="n">
        <f aca="false">IF(OR(Q457="",P457=""),"",Q457-P457)</f>
        <v>0</v>
      </c>
      <c r="S457" s="19" t="str">
        <f aca="false">IF(R457="","",IF(ABS(R457)&lt;=Léeme!$B$12,"Cuadra",IF(R457&lt;0,"Faltante","Sobrante")))</f>
        <v>Cuadra</v>
      </c>
      <c r="T457" s="13" t="s">
        <v>101</v>
      </c>
    </row>
    <row r="458" customFormat="false" ht="15" hidden="false" customHeight="false" outlineLevel="0" collapsed="false">
      <c r="A458" s="17" t="n">
        <v>45927</v>
      </c>
      <c r="B458" s="13" t="s">
        <v>27</v>
      </c>
      <c r="C458" s="13" t="s">
        <v>107</v>
      </c>
      <c r="D458" s="13" t="s">
        <v>108</v>
      </c>
      <c r="E458" s="15" t="n">
        <v>493260</v>
      </c>
      <c r="F458" s="15" t="n">
        <v>98170</v>
      </c>
      <c r="G458" s="15" t="n">
        <v>42230</v>
      </c>
      <c r="H458" s="15" t="n">
        <v>75040</v>
      </c>
      <c r="I458" s="15" t="n">
        <v>27950</v>
      </c>
      <c r="J458" s="14" t="n">
        <f aca="false">SUM(E458:I458)</f>
        <v>736650</v>
      </c>
      <c r="K458" s="18" t="n">
        <v>73</v>
      </c>
      <c r="L458" s="15" t="n">
        <v>0</v>
      </c>
      <c r="M458" s="13"/>
      <c r="N458" s="15" t="n">
        <v>305000</v>
      </c>
      <c r="O458" s="15" t="n">
        <v>20000</v>
      </c>
      <c r="P458" s="14" t="n">
        <f aca="false">IF(O458="","",O458+E458-L458-N458)</f>
        <v>208260</v>
      </c>
      <c r="Q458" s="15" t="n">
        <v>207710</v>
      </c>
      <c r="R458" s="14" t="n">
        <f aca="false">IF(OR(Q458="",P458=""),"",Q458-P458)</f>
        <v>-550</v>
      </c>
      <c r="S458" s="19" t="str">
        <f aca="false">IF(R458="","",IF(ABS(R458)&lt;=Léeme!$B$12,"Cuadra",IF(R458&lt;0,"Faltante","Sobrante")))</f>
        <v>Faltante</v>
      </c>
      <c r="T458" s="13" t="s">
        <v>101</v>
      </c>
    </row>
    <row r="459" customFormat="false" ht="15" hidden="false" customHeight="false" outlineLevel="0" collapsed="false">
      <c r="A459" s="17" t="n">
        <v>45927</v>
      </c>
      <c r="B459" s="13" t="s">
        <v>28</v>
      </c>
      <c r="C459" s="13" t="s">
        <v>109</v>
      </c>
      <c r="D459" s="13" t="s">
        <v>108</v>
      </c>
      <c r="E459" s="15" t="n">
        <v>363040</v>
      </c>
      <c r="F459" s="15" t="n">
        <v>66270</v>
      </c>
      <c r="G459" s="15" t="n">
        <v>28270</v>
      </c>
      <c r="H459" s="15" t="n">
        <v>47320</v>
      </c>
      <c r="I459" s="15" t="n">
        <v>19550</v>
      </c>
      <c r="J459" s="14" t="n">
        <f aca="false">SUM(E459:I459)</f>
        <v>524450</v>
      </c>
      <c r="K459" s="18" t="n">
        <v>47</v>
      </c>
      <c r="L459" s="15" t="n">
        <v>7770</v>
      </c>
      <c r="M459" s="13" t="s">
        <v>104</v>
      </c>
      <c r="N459" s="15" t="n">
        <v>0</v>
      </c>
      <c r="O459" s="15" t="n">
        <v>20000</v>
      </c>
      <c r="P459" s="14" t="n">
        <f aca="false">IF(O459="","",O459+E459-L459-N459)</f>
        <v>375270</v>
      </c>
      <c r="Q459" s="15" t="n">
        <v>375270</v>
      </c>
      <c r="R459" s="14" t="n">
        <f aca="false">IF(OR(Q459="",P459=""),"",Q459-P459)</f>
        <v>0</v>
      </c>
      <c r="S459" s="19" t="str">
        <f aca="false">IF(R459="","",IF(ABS(R459)&lt;=Léeme!$B$12,"Cuadra",IF(R459&lt;0,"Faltante","Sobrante")))</f>
        <v>Cuadra</v>
      </c>
      <c r="T459" s="13" t="s">
        <v>101</v>
      </c>
    </row>
    <row r="460" customFormat="false" ht="15" hidden="false" customHeight="false" outlineLevel="0" collapsed="false">
      <c r="A460" s="17" t="n">
        <v>45928</v>
      </c>
      <c r="B460" s="13" t="s">
        <v>27</v>
      </c>
      <c r="C460" s="13" t="s">
        <v>107</v>
      </c>
      <c r="D460" s="13" t="s">
        <v>108</v>
      </c>
      <c r="E460" s="15" t="n">
        <v>746650</v>
      </c>
      <c r="F460" s="15" t="n">
        <v>171640</v>
      </c>
      <c r="G460" s="15" t="n">
        <v>67340</v>
      </c>
      <c r="H460" s="15" t="n">
        <v>110560</v>
      </c>
      <c r="I460" s="15" t="n">
        <v>46360</v>
      </c>
      <c r="J460" s="14" t="n">
        <f aca="false">SUM(E460:I460)</f>
        <v>1142550</v>
      </c>
      <c r="K460" s="18" t="n">
        <v>105</v>
      </c>
      <c r="L460" s="15" t="n">
        <v>0</v>
      </c>
      <c r="M460" s="13"/>
      <c r="N460" s="15" t="n">
        <v>0</v>
      </c>
      <c r="O460" s="15" t="n">
        <v>20000</v>
      </c>
      <c r="P460" s="14" t="n">
        <f aca="false">IF(O460="","",O460+E460-L460-N460)</f>
        <v>766650</v>
      </c>
      <c r="Q460" s="15" t="n">
        <v>762050</v>
      </c>
      <c r="R460" s="14" t="n">
        <f aca="false">IF(OR(Q460="",P460=""),"",Q460-P460)</f>
        <v>-4600</v>
      </c>
      <c r="S460" s="19" t="str">
        <f aca="false">IF(R460="","",IF(ABS(R460)&lt;=Léeme!$B$12,"Cuadra",IF(R460&lt;0,"Faltante","Sobrante")))</f>
        <v>Faltante</v>
      </c>
      <c r="T460" s="13" t="s">
        <v>101</v>
      </c>
    </row>
    <row r="461" customFormat="false" ht="15" hidden="false" customHeight="false" outlineLevel="0" collapsed="false">
      <c r="A461" s="17" t="n">
        <v>45930</v>
      </c>
      <c r="B461" s="13" t="s">
        <v>27</v>
      </c>
      <c r="C461" s="13" t="s">
        <v>110</v>
      </c>
      <c r="D461" s="13" t="s">
        <v>108</v>
      </c>
      <c r="E461" s="15" t="n">
        <v>278330</v>
      </c>
      <c r="F461" s="15" t="n">
        <v>63640</v>
      </c>
      <c r="G461" s="15" t="n">
        <v>29380</v>
      </c>
      <c r="H461" s="15" t="n">
        <v>44130</v>
      </c>
      <c r="I461" s="15" t="n">
        <v>18820</v>
      </c>
      <c r="J461" s="14" t="n">
        <f aca="false">SUM(E461:I461)</f>
        <v>434300</v>
      </c>
      <c r="K461" s="18" t="n">
        <v>40</v>
      </c>
      <c r="L461" s="15" t="n">
        <v>0</v>
      </c>
      <c r="M461" s="13"/>
      <c r="N461" s="15" t="n">
        <v>0</v>
      </c>
      <c r="O461" s="15" t="n">
        <v>20000</v>
      </c>
      <c r="P461" s="14" t="n">
        <f aca="false">IF(O461="","",O461+E461-L461-N461)</f>
        <v>298330</v>
      </c>
      <c r="Q461" s="15" t="n">
        <v>298330</v>
      </c>
      <c r="R461" s="14" t="n">
        <f aca="false">IF(OR(Q461="",P461=""),"",Q461-P461)</f>
        <v>0</v>
      </c>
      <c r="S461" s="19" t="str">
        <f aca="false">IF(R461="","",IF(ABS(R461)&lt;=Léeme!$B$12,"Cuadra",IF(R461&lt;0,"Faltante","Sobrante")))</f>
        <v>Cuadra</v>
      </c>
      <c r="T461" s="13" t="s">
        <v>101</v>
      </c>
    </row>
    <row r="462" customFormat="false" ht="15" hidden="false" customHeight="false" outlineLevel="0" collapsed="false">
      <c r="A462" s="17" t="n">
        <v>45930</v>
      </c>
      <c r="B462" s="13" t="s">
        <v>28</v>
      </c>
      <c r="C462" s="13" t="s">
        <v>111</v>
      </c>
      <c r="D462" s="13" t="s">
        <v>108</v>
      </c>
      <c r="E462" s="15" t="n">
        <v>223730</v>
      </c>
      <c r="F462" s="15" t="n">
        <v>49640</v>
      </c>
      <c r="G462" s="15" t="n">
        <v>21940</v>
      </c>
      <c r="H462" s="15" t="n">
        <v>36960</v>
      </c>
      <c r="I462" s="15" t="n">
        <v>14080</v>
      </c>
      <c r="J462" s="14" t="n">
        <f aca="false">SUM(E462:I462)</f>
        <v>346350</v>
      </c>
      <c r="K462" s="18" t="n">
        <v>31</v>
      </c>
      <c r="L462" s="15" t="n">
        <v>17050</v>
      </c>
      <c r="M462" s="13" t="s">
        <v>103</v>
      </c>
      <c r="N462" s="15" t="n">
        <v>0</v>
      </c>
      <c r="O462" s="15" t="n">
        <v>20000</v>
      </c>
      <c r="P462" s="14" t="n">
        <f aca="false">IF(O462="","",O462+E462-L462-N462)</f>
        <v>226680</v>
      </c>
      <c r="Q462" s="15" t="n">
        <v>225540</v>
      </c>
      <c r="R462" s="14" t="n">
        <f aca="false">IF(OR(Q462="",P462=""),"",Q462-P462)</f>
        <v>-1140</v>
      </c>
      <c r="S462" s="19" t="str">
        <f aca="false">IF(R462="","",IF(ABS(R462)&lt;=Léeme!$B$12,"Cuadra",IF(R462&lt;0,"Faltante","Sobrante")))</f>
        <v>Faltante</v>
      </c>
      <c r="T462" s="13" t="s">
        <v>101</v>
      </c>
    </row>
    <row r="463" customFormat="false" ht="15" hidden="false" customHeight="false" outlineLevel="0" collapsed="false">
      <c r="A463" s="17" t="n">
        <v>45931</v>
      </c>
      <c r="B463" s="13" t="s">
        <v>27</v>
      </c>
      <c r="C463" s="13" t="s">
        <v>110</v>
      </c>
      <c r="D463" s="13" t="s">
        <v>108</v>
      </c>
      <c r="E463" s="15" t="n">
        <v>328870</v>
      </c>
      <c r="F463" s="15" t="n">
        <v>70090</v>
      </c>
      <c r="G463" s="15" t="n">
        <v>27210</v>
      </c>
      <c r="H463" s="15" t="n">
        <v>41630</v>
      </c>
      <c r="I463" s="15" t="n">
        <v>19500</v>
      </c>
      <c r="J463" s="14" t="n">
        <f aca="false">SUM(E463:I463)</f>
        <v>487300</v>
      </c>
      <c r="K463" s="18" t="n">
        <v>46</v>
      </c>
      <c r="L463" s="15" t="n">
        <v>0</v>
      </c>
      <c r="M463" s="13"/>
      <c r="N463" s="15" t="n">
        <v>0</v>
      </c>
      <c r="O463" s="15" t="n">
        <v>20000</v>
      </c>
      <c r="P463" s="14" t="n">
        <f aca="false">IF(O463="","",O463+E463-L463-N463)</f>
        <v>348870</v>
      </c>
      <c r="Q463" s="15" t="n">
        <v>348390</v>
      </c>
      <c r="R463" s="14" t="n">
        <f aca="false">IF(OR(Q463="",P463=""),"",Q463-P463)</f>
        <v>-480</v>
      </c>
      <c r="S463" s="19" t="str">
        <f aca="false">IF(R463="","",IF(ABS(R463)&lt;=Léeme!$B$12,"Cuadra",IF(R463&lt;0,"Faltante","Sobrante")))</f>
        <v>Cuadra</v>
      </c>
      <c r="T463" s="13" t="s">
        <v>101</v>
      </c>
    </row>
    <row r="464" customFormat="false" ht="15" hidden="false" customHeight="false" outlineLevel="0" collapsed="false">
      <c r="A464" s="17" t="n">
        <v>45931</v>
      </c>
      <c r="B464" s="13" t="s">
        <v>28</v>
      </c>
      <c r="C464" s="13" t="s">
        <v>111</v>
      </c>
      <c r="D464" s="13" t="s">
        <v>108</v>
      </c>
      <c r="E464" s="15" t="n">
        <v>220640</v>
      </c>
      <c r="F464" s="15" t="n">
        <v>47960</v>
      </c>
      <c r="G464" s="15" t="n">
        <v>21860</v>
      </c>
      <c r="H464" s="15" t="n">
        <v>30480</v>
      </c>
      <c r="I464" s="15" t="n">
        <v>14180</v>
      </c>
      <c r="J464" s="14" t="n">
        <f aca="false">SUM(E464:I464)</f>
        <v>335120</v>
      </c>
      <c r="K464" s="18" t="n">
        <v>29</v>
      </c>
      <c r="L464" s="15" t="n">
        <v>0</v>
      </c>
      <c r="M464" s="13"/>
      <c r="N464" s="15" t="n">
        <v>0</v>
      </c>
      <c r="O464" s="15" t="n">
        <v>20000</v>
      </c>
      <c r="P464" s="14" t="n">
        <f aca="false">IF(O464="","",O464+E464-L464-N464)</f>
        <v>240640</v>
      </c>
      <c r="Q464" s="15" t="n">
        <v>240640</v>
      </c>
      <c r="R464" s="14" t="n">
        <f aca="false">IF(OR(Q464="",P464=""),"",Q464-P464)</f>
        <v>0</v>
      </c>
      <c r="S464" s="19" t="str">
        <f aca="false">IF(R464="","",IF(ABS(R464)&lt;=Léeme!$B$12,"Cuadra",IF(R464&lt;0,"Faltante","Sobrante")))</f>
        <v>Cuadra</v>
      </c>
      <c r="T464" s="13" t="s">
        <v>101</v>
      </c>
    </row>
    <row r="465" customFormat="false" ht="15" hidden="false" customHeight="false" outlineLevel="0" collapsed="false">
      <c r="A465" s="17" t="n">
        <v>45932</v>
      </c>
      <c r="B465" s="13" t="s">
        <v>27</v>
      </c>
      <c r="C465" s="13" t="s">
        <v>110</v>
      </c>
      <c r="D465" s="13" t="s">
        <v>108</v>
      </c>
      <c r="E465" s="15" t="n">
        <v>290700</v>
      </c>
      <c r="F465" s="15" t="n">
        <v>60900</v>
      </c>
      <c r="G465" s="15" t="n">
        <v>25890</v>
      </c>
      <c r="H465" s="15" t="n">
        <v>38150</v>
      </c>
      <c r="I465" s="15" t="n">
        <v>16670</v>
      </c>
      <c r="J465" s="14" t="n">
        <f aca="false">SUM(E465:I465)</f>
        <v>432310</v>
      </c>
      <c r="K465" s="18" t="n">
        <v>37</v>
      </c>
      <c r="L465" s="15" t="n">
        <v>20490</v>
      </c>
      <c r="M465" s="13" t="s">
        <v>103</v>
      </c>
      <c r="N465" s="15" t="n">
        <v>0</v>
      </c>
      <c r="O465" s="15" t="n">
        <v>20000</v>
      </c>
      <c r="P465" s="14" t="n">
        <f aca="false">IF(O465="","",O465+E465-L465-N465)</f>
        <v>290210</v>
      </c>
      <c r="Q465" s="15" t="n">
        <v>290210</v>
      </c>
      <c r="R465" s="14" t="n">
        <f aca="false">IF(OR(Q465="",P465=""),"",Q465-P465)</f>
        <v>0</v>
      </c>
      <c r="S465" s="19" t="str">
        <f aca="false">IF(R465="","",IF(ABS(R465)&lt;=Léeme!$B$12,"Cuadra",IF(R465&lt;0,"Faltante","Sobrante")))</f>
        <v>Cuadra</v>
      </c>
      <c r="T465" s="13" t="s">
        <v>101</v>
      </c>
    </row>
    <row r="466" customFormat="false" ht="15" hidden="false" customHeight="false" outlineLevel="0" collapsed="false">
      <c r="A466" s="17" t="n">
        <v>45932</v>
      </c>
      <c r="B466" s="13" t="s">
        <v>28</v>
      </c>
      <c r="C466" s="13" t="s">
        <v>111</v>
      </c>
      <c r="D466" s="13" t="s">
        <v>108</v>
      </c>
      <c r="E466" s="15" t="n">
        <v>234800</v>
      </c>
      <c r="F466" s="15" t="n">
        <v>49240</v>
      </c>
      <c r="G466" s="15" t="n">
        <v>22850</v>
      </c>
      <c r="H466" s="15" t="n">
        <v>39310</v>
      </c>
      <c r="I466" s="15" t="n">
        <v>14280</v>
      </c>
      <c r="J466" s="14" t="n">
        <f aca="false">SUM(E466:I466)</f>
        <v>360480</v>
      </c>
      <c r="K466" s="18" t="n">
        <v>34</v>
      </c>
      <c r="L466" s="15" t="n">
        <v>3360</v>
      </c>
      <c r="M466" s="13" t="s">
        <v>105</v>
      </c>
      <c r="N466" s="15" t="n">
        <v>207000</v>
      </c>
      <c r="O466" s="15" t="n">
        <v>20000</v>
      </c>
      <c r="P466" s="14" t="n">
        <f aca="false">IF(O466="","",O466+E466-L466-N466)</f>
        <v>44440</v>
      </c>
      <c r="Q466" s="15" t="n">
        <v>44440</v>
      </c>
      <c r="R466" s="14" t="n">
        <f aca="false">IF(OR(Q466="",P466=""),"",Q466-P466)</f>
        <v>0</v>
      </c>
      <c r="S466" s="19" t="str">
        <f aca="false">IF(R466="","",IF(ABS(R466)&lt;=Léeme!$B$12,"Cuadra",IF(R466&lt;0,"Faltante","Sobrante")))</f>
        <v>Cuadra</v>
      </c>
      <c r="T466" s="13" t="s">
        <v>101</v>
      </c>
    </row>
    <row r="467" customFormat="false" ht="15" hidden="false" customHeight="false" outlineLevel="0" collapsed="false">
      <c r="A467" s="17" t="n">
        <v>45933</v>
      </c>
      <c r="B467" s="13" t="s">
        <v>27</v>
      </c>
      <c r="C467" s="13" t="s">
        <v>110</v>
      </c>
      <c r="D467" s="13" t="s">
        <v>108</v>
      </c>
      <c r="E467" s="15" t="n">
        <v>341790</v>
      </c>
      <c r="F467" s="15" t="n">
        <v>66810</v>
      </c>
      <c r="G467" s="15" t="n">
        <v>28920</v>
      </c>
      <c r="H467" s="15" t="n">
        <v>50360</v>
      </c>
      <c r="I467" s="15" t="n">
        <v>20460</v>
      </c>
      <c r="J467" s="14" t="n">
        <f aca="false">SUM(E467:I467)</f>
        <v>508340</v>
      </c>
      <c r="K467" s="18" t="n">
        <v>44</v>
      </c>
      <c r="L467" s="15" t="n">
        <v>0</v>
      </c>
      <c r="M467" s="13"/>
      <c r="N467" s="15" t="n">
        <v>0</v>
      </c>
      <c r="O467" s="15" t="n">
        <v>20000</v>
      </c>
      <c r="P467" s="14" t="n">
        <f aca="false">IF(O467="","",O467+E467-L467-N467)</f>
        <v>361790</v>
      </c>
      <c r="Q467" s="15" t="n">
        <v>361790</v>
      </c>
      <c r="R467" s="14" t="n">
        <f aca="false">IF(OR(Q467="",P467=""),"",Q467-P467)</f>
        <v>0</v>
      </c>
      <c r="S467" s="19" t="str">
        <f aca="false">IF(R467="","",IF(ABS(R467)&lt;=Léeme!$B$12,"Cuadra",IF(R467&lt;0,"Faltante","Sobrante")))</f>
        <v>Cuadra</v>
      </c>
      <c r="T467" s="13" t="s">
        <v>101</v>
      </c>
    </row>
    <row r="468" customFormat="false" ht="15" hidden="false" customHeight="false" outlineLevel="0" collapsed="false">
      <c r="A468" s="17" t="n">
        <v>45933</v>
      </c>
      <c r="B468" s="13" t="s">
        <v>28</v>
      </c>
      <c r="C468" s="13" t="s">
        <v>111</v>
      </c>
      <c r="D468" s="13" t="s">
        <v>108</v>
      </c>
      <c r="E468" s="15" t="n">
        <v>260930</v>
      </c>
      <c r="F468" s="15" t="n">
        <v>55030</v>
      </c>
      <c r="G468" s="15" t="n">
        <v>20780</v>
      </c>
      <c r="H468" s="15" t="n">
        <v>36730</v>
      </c>
      <c r="I468" s="15" t="n">
        <v>13690</v>
      </c>
      <c r="J468" s="14" t="n">
        <f aca="false">SUM(E468:I468)</f>
        <v>387160</v>
      </c>
      <c r="K468" s="18" t="n">
        <v>32</v>
      </c>
      <c r="L468" s="15" t="n">
        <v>0</v>
      </c>
      <c r="M468" s="13"/>
      <c r="N468" s="15" t="n">
        <v>0</v>
      </c>
      <c r="O468" s="15" t="n">
        <v>20000</v>
      </c>
      <c r="P468" s="14" t="n">
        <f aca="false">IF(O468="","",O468+E468-L468-N468)</f>
        <v>280930</v>
      </c>
      <c r="Q468" s="15" t="n">
        <v>280930</v>
      </c>
      <c r="R468" s="14" t="n">
        <f aca="false">IF(OR(Q468="",P468=""),"",Q468-P468)</f>
        <v>0</v>
      </c>
      <c r="S468" s="19" t="str">
        <f aca="false">IF(R468="","",IF(ABS(R468)&lt;=Léeme!$B$12,"Cuadra",IF(R468&lt;0,"Faltante","Sobrante")))</f>
        <v>Cuadra</v>
      </c>
      <c r="T468" s="13" t="s">
        <v>101</v>
      </c>
    </row>
    <row r="469" customFormat="false" ht="15" hidden="false" customHeight="false" outlineLevel="0" collapsed="false">
      <c r="A469" s="17" t="n">
        <v>45934</v>
      </c>
      <c r="B469" s="13" t="s">
        <v>27</v>
      </c>
      <c r="C469" s="13" t="s">
        <v>107</v>
      </c>
      <c r="D469" s="13" t="s">
        <v>108</v>
      </c>
      <c r="E469" s="15" t="n">
        <v>524970</v>
      </c>
      <c r="F469" s="15" t="n">
        <v>104720</v>
      </c>
      <c r="G469" s="15" t="n">
        <v>43690</v>
      </c>
      <c r="H469" s="15" t="n">
        <v>68840</v>
      </c>
      <c r="I469" s="15" t="n">
        <v>33040</v>
      </c>
      <c r="J469" s="14" t="n">
        <f aca="false">SUM(E469:I469)</f>
        <v>775260</v>
      </c>
      <c r="K469" s="18" t="n">
        <v>71</v>
      </c>
      <c r="L469" s="15" t="n">
        <v>0</v>
      </c>
      <c r="M469" s="13"/>
      <c r="N469" s="15" t="n">
        <v>420000</v>
      </c>
      <c r="O469" s="15" t="n">
        <v>20000</v>
      </c>
      <c r="P469" s="14" t="n">
        <f aca="false">IF(O469="","",O469+E469-L469-N469)</f>
        <v>124970</v>
      </c>
      <c r="Q469" s="15" t="n">
        <v>118870</v>
      </c>
      <c r="R469" s="14" t="n">
        <f aca="false">IF(OR(Q469="",P469=""),"",Q469-P469)</f>
        <v>-6100</v>
      </c>
      <c r="S469" s="19" t="str">
        <f aca="false">IF(R469="","",IF(ABS(R469)&lt;=Léeme!$B$12,"Cuadra",IF(R469&lt;0,"Faltante","Sobrante")))</f>
        <v>Faltante</v>
      </c>
      <c r="T469" s="13" t="s">
        <v>101</v>
      </c>
    </row>
    <row r="470" customFormat="false" ht="15" hidden="false" customHeight="false" outlineLevel="0" collapsed="false">
      <c r="A470" s="17" t="n">
        <v>45934</v>
      </c>
      <c r="B470" s="13" t="s">
        <v>28</v>
      </c>
      <c r="C470" s="13" t="s">
        <v>109</v>
      </c>
      <c r="D470" s="13" t="s">
        <v>108</v>
      </c>
      <c r="E470" s="15" t="n">
        <v>397080</v>
      </c>
      <c r="F470" s="15" t="n">
        <v>70380</v>
      </c>
      <c r="G470" s="15" t="n">
        <v>31620</v>
      </c>
      <c r="H470" s="15" t="n">
        <v>52130</v>
      </c>
      <c r="I470" s="15" t="n">
        <v>23310</v>
      </c>
      <c r="J470" s="14" t="n">
        <f aca="false">SUM(E470:I470)</f>
        <v>574520</v>
      </c>
      <c r="K470" s="18" t="n">
        <v>56</v>
      </c>
      <c r="L470" s="15" t="n">
        <v>26580</v>
      </c>
      <c r="M470" s="13" t="s">
        <v>103</v>
      </c>
      <c r="N470" s="15" t="n">
        <v>0</v>
      </c>
      <c r="O470" s="15" t="n">
        <v>20000</v>
      </c>
      <c r="P470" s="14" t="n">
        <f aca="false">IF(O470="","",O470+E470-L470-N470)</f>
        <v>390500</v>
      </c>
      <c r="Q470" s="15" t="n">
        <v>390180</v>
      </c>
      <c r="R470" s="14" t="n">
        <f aca="false">IF(OR(Q470="",P470=""),"",Q470-P470)</f>
        <v>-320</v>
      </c>
      <c r="S470" s="19" t="str">
        <f aca="false">IF(R470="","",IF(ABS(R470)&lt;=Léeme!$B$12,"Cuadra",IF(R470&lt;0,"Faltante","Sobrante")))</f>
        <v>Cuadra</v>
      </c>
      <c r="T470" s="13" t="s">
        <v>101</v>
      </c>
    </row>
    <row r="471" customFormat="false" ht="15" hidden="false" customHeight="false" outlineLevel="0" collapsed="false">
      <c r="A471" s="17" t="n">
        <v>45935</v>
      </c>
      <c r="B471" s="13" t="s">
        <v>27</v>
      </c>
      <c r="C471" s="13" t="s">
        <v>107</v>
      </c>
      <c r="D471" s="13" t="s">
        <v>108</v>
      </c>
      <c r="E471" s="15" t="n">
        <v>848390</v>
      </c>
      <c r="F471" s="15" t="n">
        <v>184460</v>
      </c>
      <c r="G471" s="15" t="n">
        <v>67670</v>
      </c>
      <c r="H471" s="15" t="n">
        <v>113690</v>
      </c>
      <c r="I471" s="15" t="n">
        <v>50190</v>
      </c>
      <c r="J471" s="14" t="n">
        <f aca="false">SUM(E471:I471)</f>
        <v>1264400</v>
      </c>
      <c r="K471" s="18" t="n">
        <v>109</v>
      </c>
      <c r="L471" s="15" t="n">
        <v>7570</v>
      </c>
      <c r="M471" s="13" t="s">
        <v>102</v>
      </c>
      <c r="N471" s="15" t="n">
        <v>0</v>
      </c>
      <c r="O471" s="15" t="n">
        <v>20000</v>
      </c>
      <c r="P471" s="14" t="n">
        <f aca="false">IF(O471="","",O471+E471-L471-N471)</f>
        <v>860820</v>
      </c>
      <c r="Q471" s="15" t="n">
        <v>851820</v>
      </c>
      <c r="R471" s="14" t="n">
        <f aca="false">IF(OR(Q471="",P471=""),"",Q471-P471)</f>
        <v>-9000</v>
      </c>
      <c r="S471" s="19" t="str">
        <f aca="false">IF(R471="","",IF(ABS(R471)&lt;=Léeme!$B$12,"Cuadra",IF(R471&lt;0,"Faltante","Sobrante")))</f>
        <v>Faltante</v>
      </c>
      <c r="T471" s="13" t="s">
        <v>101</v>
      </c>
    </row>
    <row r="472" customFormat="false" ht="15" hidden="false" customHeight="false" outlineLevel="0" collapsed="false">
      <c r="A472" s="17" t="n">
        <v>45935</v>
      </c>
      <c r="B472" s="13" t="s">
        <v>28</v>
      </c>
      <c r="C472" s="13" t="s">
        <v>109</v>
      </c>
      <c r="D472" s="13" t="s">
        <v>108</v>
      </c>
      <c r="E472" s="15" t="n">
        <v>630300</v>
      </c>
      <c r="F472" s="15" t="n">
        <v>135740</v>
      </c>
      <c r="G472" s="15" t="n">
        <v>53770</v>
      </c>
      <c r="H472" s="15" t="n">
        <v>91810</v>
      </c>
      <c r="I472" s="15" t="n">
        <v>41850</v>
      </c>
      <c r="J472" s="14" t="n">
        <f aca="false">SUM(E472:I472)</f>
        <v>953470</v>
      </c>
      <c r="K472" s="18" t="n">
        <v>81</v>
      </c>
      <c r="L472" s="15" t="n">
        <v>0</v>
      </c>
      <c r="M472" s="13"/>
      <c r="N472" s="15" t="n">
        <v>0</v>
      </c>
      <c r="O472" s="15" t="n">
        <v>20000</v>
      </c>
      <c r="P472" s="14" t="n">
        <f aca="false">IF(O472="","",O472+E472-L472-N472)</f>
        <v>650300</v>
      </c>
      <c r="Q472" s="15" t="n">
        <v>650920</v>
      </c>
      <c r="R472" s="14" t="n">
        <f aca="false">IF(OR(Q472="",P472=""),"",Q472-P472)</f>
        <v>620</v>
      </c>
      <c r="S472" s="19" t="str">
        <f aca="false">IF(R472="","",IF(ABS(R472)&lt;=Léeme!$B$12,"Cuadra",IF(R472&lt;0,"Faltante","Sobrante")))</f>
        <v>Sobrante</v>
      </c>
      <c r="T472" s="13" t="s">
        <v>101</v>
      </c>
    </row>
    <row r="473" customFormat="false" ht="15" hidden="false" customHeight="false" outlineLevel="0" collapsed="false">
      <c r="A473" s="17" t="n">
        <v>45937</v>
      </c>
      <c r="B473" s="13" t="s">
        <v>27</v>
      </c>
      <c r="C473" s="13" t="s">
        <v>110</v>
      </c>
      <c r="D473" s="13" t="s">
        <v>108</v>
      </c>
      <c r="E473" s="15" t="n">
        <v>314850</v>
      </c>
      <c r="F473" s="15" t="n">
        <v>58710</v>
      </c>
      <c r="G473" s="15" t="n">
        <v>29440</v>
      </c>
      <c r="H473" s="15" t="n">
        <v>48820</v>
      </c>
      <c r="I473" s="15" t="n">
        <v>19270</v>
      </c>
      <c r="J473" s="14" t="n">
        <f aca="false">SUM(E473:I473)</f>
        <v>471090</v>
      </c>
      <c r="K473" s="18" t="n">
        <v>40</v>
      </c>
      <c r="L473" s="15" t="n">
        <v>0</v>
      </c>
      <c r="M473" s="13"/>
      <c r="N473" s="15" t="n">
        <v>209000</v>
      </c>
      <c r="O473" s="15" t="n">
        <v>20000</v>
      </c>
      <c r="P473" s="14" t="n">
        <f aca="false">IF(O473="","",O473+E473-L473-N473)</f>
        <v>125850</v>
      </c>
      <c r="Q473" s="15" t="n">
        <v>125850</v>
      </c>
      <c r="R473" s="14" t="n">
        <f aca="false">IF(OR(Q473="",P473=""),"",Q473-P473)</f>
        <v>0</v>
      </c>
      <c r="S473" s="19" t="str">
        <f aca="false">IF(R473="","",IF(ABS(R473)&lt;=Léeme!$B$12,"Cuadra",IF(R473&lt;0,"Faltante","Sobrante")))</f>
        <v>Cuadra</v>
      </c>
      <c r="T473" s="13" t="s">
        <v>101</v>
      </c>
    </row>
    <row r="474" customFormat="false" ht="15" hidden="false" customHeight="false" outlineLevel="0" collapsed="false">
      <c r="A474" s="17" t="n">
        <v>45937</v>
      </c>
      <c r="B474" s="13" t="s">
        <v>28</v>
      </c>
      <c r="C474" s="13" t="s">
        <v>111</v>
      </c>
      <c r="D474" s="13" t="s">
        <v>108</v>
      </c>
      <c r="E474" s="15" t="n">
        <v>203670</v>
      </c>
      <c r="F474" s="15" t="n">
        <v>50340</v>
      </c>
      <c r="G474" s="15" t="n">
        <v>20410</v>
      </c>
      <c r="H474" s="15" t="n">
        <v>34300</v>
      </c>
      <c r="I474" s="15" t="n">
        <v>13210</v>
      </c>
      <c r="J474" s="14" t="n">
        <f aca="false">SUM(E474:I474)</f>
        <v>321930</v>
      </c>
      <c r="K474" s="18" t="n">
        <v>29</v>
      </c>
      <c r="L474" s="15" t="n">
        <v>0</v>
      </c>
      <c r="M474" s="13"/>
      <c r="N474" s="15" t="n">
        <v>189000</v>
      </c>
      <c r="O474" s="15" t="n">
        <v>20000</v>
      </c>
      <c r="P474" s="14" t="n">
        <f aca="false">IF(O474="","",O474+E474-L474-N474)</f>
        <v>34670</v>
      </c>
      <c r="Q474" s="15" t="n">
        <v>34620</v>
      </c>
      <c r="R474" s="14" t="n">
        <f aca="false">IF(OR(Q474="",P474=""),"",Q474-P474)</f>
        <v>-50</v>
      </c>
      <c r="S474" s="19" t="str">
        <f aca="false">IF(R474="","",IF(ABS(R474)&lt;=Léeme!$B$12,"Cuadra",IF(R474&lt;0,"Faltante","Sobrante")))</f>
        <v>Cuadra</v>
      </c>
      <c r="T474" s="13" t="s">
        <v>101</v>
      </c>
    </row>
    <row r="475" customFormat="false" ht="15" hidden="false" customHeight="false" outlineLevel="0" collapsed="false">
      <c r="A475" s="17" t="n">
        <v>45938</v>
      </c>
      <c r="B475" s="13" t="s">
        <v>27</v>
      </c>
      <c r="C475" s="13" t="s">
        <v>110</v>
      </c>
      <c r="D475" s="13" t="s">
        <v>108</v>
      </c>
      <c r="E475" s="15" t="n">
        <v>325030</v>
      </c>
      <c r="F475" s="15" t="n">
        <v>75100</v>
      </c>
      <c r="G475" s="15" t="n">
        <v>30000</v>
      </c>
      <c r="H475" s="15" t="n">
        <v>52780</v>
      </c>
      <c r="I475" s="15" t="n">
        <v>20670</v>
      </c>
      <c r="J475" s="14" t="n">
        <f aca="false">SUM(E475:I475)</f>
        <v>503580</v>
      </c>
      <c r="K475" s="18" t="n">
        <v>48</v>
      </c>
      <c r="L475" s="15" t="n">
        <v>5510</v>
      </c>
      <c r="M475" s="13" t="s">
        <v>105</v>
      </c>
      <c r="N475" s="15" t="n">
        <v>0</v>
      </c>
      <c r="O475" s="15" t="n">
        <v>20000</v>
      </c>
      <c r="P475" s="14" t="n">
        <f aca="false">IF(O475="","",O475+E475-L475-N475)</f>
        <v>339520</v>
      </c>
      <c r="Q475" s="15" t="n">
        <v>339260</v>
      </c>
      <c r="R475" s="14" t="n">
        <f aca="false">IF(OR(Q475="",P475=""),"",Q475-P475)</f>
        <v>-260</v>
      </c>
      <c r="S475" s="19" t="str">
        <f aca="false">IF(R475="","",IF(ABS(R475)&lt;=Léeme!$B$12,"Cuadra",IF(R475&lt;0,"Faltante","Sobrante")))</f>
        <v>Cuadra</v>
      </c>
      <c r="T475" s="13" t="s">
        <v>101</v>
      </c>
    </row>
    <row r="476" customFormat="false" ht="15" hidden="false" customHeight="false" outlineLevel="0" collapsed="false">
      <c r="A476" s="17" t="n">
        <v>45938</v>
      </c>
      <c r="B476" s="13" t="s">
        <v>28</v>
      </c>
      <c r="C476" s="13" t="s">
        <v>111</v>
      </c>
      <c r="D476" s="13" t="s">
        <v>108</v>
      </c>
      <c r="E476" s="15" t="n">
        <v>250490</v>
      </c>
      <c r="F476" s="15" t="n">
        <v>54550</v>
      </c>
      <c r="G476" s="15" t="n">
        <v>25420</v>
      </c>
      <c r="H476" s="15" t="n">
        <v>44110</v>
      </c>
      <c r="I476" s="15" t="n">
        <v>14970</v>
      </c>
      <c r="J476" s="14" t="n">
        <f aca="false">SUM(E476:I476)</f>
        <v>389540</v>
      </c>
      <c r="K476" s="18" t="n">
        <v>33</v>
      </c>
      <c r="L476" s="15" t="n">
        <v>0</v>
      </c>
      <c r="M476" s="13"/>
      <c r="N476" s="15" t="n">
        <v>0</v>
      </c>
      <c r="O476" s="15" t="n">
        <v>20000</v>
      </c>
      <c r="P476" s="14" t="n">
        <f aca="false">IF(O476="","",O476+E476-L476-N476)</f>
        <v>270490</v>
      </c>
      <c r="Q476" s="15" t="n">
        <v>270490</v>
      </c>
      <c r="R476" s="14" t="n">
        <f aca="false">IF(OR(Q476="",P476=""),"",Q476-P476)</f>
        <v>0</v>
      </c>
      <c r="S476" s="19" t="str">
        <f aca="false">IF(R476="","",IF(ABS(R476)&lt;=Léeme!$B$12,"Cuadra",IF(R476&lt;0,"Faltante","Sobrante")))</f>
        <v>Cuadra</v>
      </c>
      <c r="T476" s="13" t="s">
        <v>101</v>
      </c>
    </row>
    <row r="477" customFormat="false" ht="15" hidden="false" customHeight="false" outlineLevel="0" collapsed="false">
      <c r="A477" s="17" t="n">
        <v>45939</v>
      </c>
      <c r="B477" s="13" t="s">
        <v>27</v>
      </c>
      <c r="C477" s="13" t="s">
        <v>110</v>
      </c>
      <c r="D477" s="13" t="s">
        <v>108</v>
      </c>
      <c r="E477" s="15" t="n">
        <v>308000</v>
      </c>
      <c r="F477" s="15" t="n">
        <v>63150</v>
      </c>
      <c r="G477" s="15" t="n">
        <v>30040</v>
      </c>
      <c r="H477" s="15" t="n">
        <v>52020</v>
      </c>
      <c r="I477" s="15" t="n">
        <v>20780</v>
      </c>
      <c r="J477" s="14" t="n">
        <f aca="false">SUM(E477:I477)</f>
        <v>473990</v>
      </c>
      <c r="K477" s="18" t="n">
        <v>45</v>
      </c>
      <c r="L477" s="15" t="n">
        <v>0</v>
      </c>
      <c r="M477" s="13"/>
      <c r="N477" s="15" t="n">
        <v>0</v>
      </c>
      <c r="O477" s="15" t="n">
        <v>20000</v>
      </c>
      <c r="P477" s="14" t="n">
        <f aca="false">IF(O477="","",O477+E477-L477-N477)</f>
        <v>328000</v>
      </c>
      <c r="Q477" s="15" t="n">
        <v>328000</v>
      </c>
      <c r="R477" s="14" t="n">
        <f aca="false">IF(OR(Q477="",P477=""),"",Q477-P477)</f>
        <v>0</v>
      </c>
      <c r="S477" s="19" t="str">
        <f aca="false">IF(R477="","",IF(ABS(R477)&lt;=Léeme!$B$12,"Cuadra",IF(R477&lt;0,"Faltante","Sobrante")))</f>
        <v>Cuadra</v>
      </c>
      <c r="T477" s="13" t="s">
        <v>101</v>
      </c>
    </row>
    <row r="478" customFormat="false" ht="15" hidden="false" customHeight="false" outlineLevel="0" collapsed="false">
      <c r="A478" s="17" t="n">
        <v>45939</v>
      </c>
      <c r="B478" s="13" t="s">
        <v>28</v>
      </c>
      <c r="C478" s="13" t="s">
        <v>111</v>
      </c>
      <c r="D478" s="13" t="s">
        <v>108</v>
      </c>
      <c r="E478" s="15" t="n">
        <v>204450</v>
      </c>
      <c r="F478" s="15" t="n">
        <v>45840</v>
      </c>
      <c r="G478" s="15" t="n">
        <v>19010</v>
      </c>
      <c r="H478" s="15" t="n">
        <v>33430</v>
      </c>
      <c r="I478" s="15" t="n">
        <v>12360</v>
      </c>
      <c r="J478" s="14" t="n">
        <f aca="false">SUM(E478:I478)</f>
        <v>315090</v>
      </c>
      <c r="K478" s="18" t="n">
        <v>27</v>
      </c>
      <c r="L478" s="15" t="n">
        <v>25640</v>
      </c>
      <c r="M478" s="13" t="s">
        <v>103</v>
      </c>
      <c r="N478" s="15" t="n">
        <v>0</v>
      </c>
      <c r="O478" s="15" t="n">
        <v>20000</v>
      </c>
      <c r="P478" s="14" t="n">
        <f aca="false">IF(O478="","",O478+E478-L478-N478)</f>
        <v>198810</v>
      </c>
      <c r="Q478" s="15" t="n">
        <v>198450</v>
      </c>
      <c r="R478" s="14" t="n">
        <f aca="false">IF(OR(Q478="",P478=""),"",Q478-P478)</f>
        <v>-360</v>
      </c>
      <c r="S478" s="19" t="str">
        <f aca="false">IF(R478="","",IF(ABS(R478)&lt;=Léeme!$B$12,"Cuadra",IF(R478&lt;0,"Faltante","Sobrante")))</f>
        <v>Cuadra</v>
      </c>
      <c r="T478" s="13" t="s">
        <v>101</v>
      </c>
    </row>
  </sheetData>
  <autoFilter ref="A1:T4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1"/>
  </cols>
  <sheetData>
    <row r="1" customFormat="false" ht="31.5" hidden="false" customHeight="true" outlineLevel="0" collapsed="false">
      <c r="A1" s="7" t="s">
        <v>83</v>
      </c>
      <c r="B1" s="7" t="s">
        <v>39</v>
      </c>
      <c r="C1" s="7" t="s">
        <v>40</v>
      </c>
      <c r="D1" s="7" t="s">
        <v>112</v>
      </c>
      <c r="E1" s="7" t="s">
        <v>41</v>
      </c>
      <c r="F1" s="7" t="s">
        <v>85</v>
      </c>
    </row>
    <row r="2" customFormat="false" ht="15" hidden="false" customHeight="false" outlineLevel="0" collapsed="false">
      <c r="A2" s="20" t="n">
        <v>45659</v>
      </c>
      <c r="B2" s="2" t="n">
        <v>3</v>
      </c>
      <c r="C2" s="2" t="s">
        <v>56</v>
      </c>
      <c r="D2" s="21" t="n">
        <v>115100</v>
      </c>
      <c r="E2" s="2" t="s">
        <v>52</v>
      </c>
      <c r="F2" s="2" t="s">
        <v>100</v>
      </c>
    </row>
    <row r="3" customFormat="false" ht="15" hidden="false" customHeight="false" outlineLevel="0" collapsed="false">
      <c r="A3" s="20" t="n">
        <v>45659</v>
      </c>
      <c r="B3" s="2" t="n">
        <v>14</v>
      </c>
      <c r="C3" s="2" t="s">
        <v>70</v>
      </c>
      <c r="D3" s="21" t="n">
        <v>71800</v>
      </c>
      <c r="E3" s="2" t="s">
        <v>52</v>
      </c>
      <c r="F3" s="2" t="s">
        <v>100</v>
      </c>
    </row>
    <row r="4" customFormat="false" ht="15" hidden="false" customHeight="false" outlineLevel="0" collapsed="false">
      <c r="A4" s="20" t="n">
        <v>45660</v>
      </c>
      <c r="B4" s="2" t="n">
        <v>1</v>
      </c>
      <c r="C4" s="2" t="s">
        <v>51</v>
      </c>
      <c r="D4" s="21" t="n">
        <v>97700</v>
      </c>
      <c r="E4" s="2" t="s">
        <v>52</v>
      </c>
      <c r="F4" s="2" t="s">
        <v>100</v>
      </c>
    </row>
    <row r="5" customFormat="false" ht="15" hidden="false" customHeight="false" outlineLevel="0" collapsed="false">
      <c r="A5" s="20" t="n">
        <v>45660</v>
      </c>
      <c r="B5" s="2" t="n">
        <v>6</v>
      </c>
      <c r="C5" s="2" t="s">
        <v>60</v>
      </c>
      <c r="D5" s="21" t="n">
        <v>48600</v>
      </c>
      <c r="E5" s="2" t="s">
        <v>52</v>
      </c>
      <c r="F5" s="2" t="s">
        <v>100</v>
      </c>
    </row>
    <row r="6" customFormat="false" ht="15" hidden="false" customHeight="false" outlineLevel="0" collapsed="false">
      <c r="A6" s="20" t="n">
        <v>45660</v>
      </c>
      <c r="B6" s="2" t="n">
        <v>7</v>
      </c>
      <c r="C6" s="2" t="s">
        <v>62</v>
      </c>
      <c r="D6" s="21" t="n">
        <v>40600</v>
      </c>
      <c r="E6" s="2" t="s">
        <v>52</v>
      </c>
      <c r="F6" s="2" t="s">
        <v>100</v>
      </c>
    </row>
    <row r="7" customFormat="false" ht="15" hidden="false" customHeight="false" outlineLevel="0" collapsed="false">
      <c r="A7" s="20" t="n">
        <v>45660</v>
      </c>
      <c r="B7" s="2" t="n">
        <v>10</v>
      </c>
      <c r="C7" s="2" t="s">
        <v>65</v>
      </c>
      <c r="D7" s="21" t="n">
        <v>53900</v>
      </c>
      <c r="E7" s="2" t="s">
        <v>52</v>
      </c>
      <c r="F7" s="2" t="s">
        <v>100</v>
      </c>
    </row>
    <row r="8" customFormat="false" ht="15" hidden="false" customHeight="false" outlineLevel="0" collapsed="false">
      <c r="A8" s="20" t="n">
        <v>45660</v>
      </c>
      <c r="B8" s="2" t="n">
        <v>17</v>
      </c>
      <c r="C8" s="2" t="s">
        <v>73</v>
      </c>
      <c r="D8" s="21" t="n">
        <v>40900</v>
      </c>
      <c r="E8" s="2" t="s">
        <v>52</v>
      </c>
      <c r="F8" s="2" t="s">
        <v>100</v>
      </c>
    </row>
    <row r="9" customFormat="false" ht="15" hidden="false" customHeight="false" outlineLevel="0" collapsed="false">
      <c r="A9" s="20" t="n">
        <v>45661</v>
      </c>
      <c r="B9" s="2" t="n">
        <v>4</v>
      </c>
      <c r="C9" s="2" t="s">
        <v>58</v>
      </c>
      <c r="D9" s="21" t="n">
        <v>120400</v>
      </c>
      <c r="E9" s="2" t="s">
        <v>52</v>
      </c>
      <c r="F9" s="2" t="s">
        <v>100</v>
      </c>
    </row>
    <row r="10" customFormat="false" ht="15" hidden="false" customHeight="false" outlineLevel="0" collapsed="false">
      <c r="A10" s="20" t="n">
        <v>45661</v>
      </c>
      <c r="B10" s="2" t="n">
        <v>5</v>
      </c>
      <c r="C10" s="2" t="s">
        <v>59</v>
      </c>
      <c r="D10" s="21" t="n">
        <v>147600</v>
      </c>
      <c r="E10" s="2" t="s">
        <v>52</v>
      </c>
      <c r="F10" s="2" t="s">
        <v>100</v>
      </c>
    </row>
    <row r="11" customFormat="false" ht="15" hidden="false" customHeight="false" outlineLevel="0" collapsed="false">
      <c r="A11" s="20" t="n">
        <v>45661</v>
      </c>
      <c r="B11" s="2" t="n">
        <v>13</v>
      </c>
      <c r="C11" s="2" t="s">
        <v>68</v>
      </c>
      <c r="D11" s="21" t="n">
        <v>40700</v>
      </c>
      <c r="E11" s="2" t="s">
        <v>52</v>
      </c>
      <c r="F11" s="2" t="s">
        <v>100</v>
      </c>
    </row>
    <row r="12" customFormat="false" ht="15" hidden="false" customHeight="false" outlineLevel="0" collapsed="false">
      <c r="A12" s="20" t="n">
        <v>45661</v>
      </c>
      <c r="B12" s="2" t="n">
        <v>15</v>
      </c>
      <c r="C12" s="2" t="s">
        <v>71</v>
      </c>
      <c r="D12" s="21" t="n">
        <v>126300</v>
      </c>
      <c r="E12" s="2" t="s">
        <v>52</v>
      </c>
      <c r="F12" s="2" t="s">
        <v>100</v>
      </c>
    </row>
    <row r="13" customFormat="false" ht="15" hidden="false" customHeight="false" outlineLevel="0" collapsed="false">
      <c r="A13" s="20" t="n">
        <v>45661</v>
      </c>
      <c r="B13" s="2" t="n">
        <v>21</v>
      </c>
      <c r="C13" s="2" t="s">
        <v>77</v>
      </c>
      <c r="D13" s="21" t="n">
        <v>87800</v>
      </c>
      <c r="E13" s="2" t="s">
        <v>52</v>
      </c>
      <c r="F13" s="2" t="s">
        <v>100</v>
      </c>
    </row>
    <row r="14" customFormat="false" ht="15" hidden="false" customHeight="false" outlineLevel="0" collapsed="false">
      <c r="A14" s="20" t="n">
        <v>45662</v>
      </c>
      <c r="B14" s="2" t="n">
        <v>19</v>
      </c>
      <c r="C14" s="2" t="s">
        <v>75</v>
      </c>
      <c r="D14" s="21" t="n">
        <v>72500</v>
      </c>
      <c r="E14" s="2" t="s">
        <v>52</v>
      </c>
      <c r="F14" s="2" t="s">
        <v>100</v>
      </c>
    </row>
    <row r="15" customFormat="false" ht="15" hidden="false" customHeight="false" outlineLevel="0" collapsed="false">
      <c r="A15" s="20" t="n">
        <v>45662</v>
      </c>
      <c r="B15" s="2" t="n">
        <v>20</v>
      </c>
      <c r="C15" s="2" t="s">
        <v>76</v>
      </c>
      <c r="D15" s="21" t="n">
        <v>135800</v>
      </c>
      <c r="E15" s="2" t="s">
        <v>52</v>
      </c>
      <c r="F15" s="2" t="s">
        <v>100</v>
      </c>
    </row>
    <row r="16" customFormat="false" ht="15" hidden="false" customHeight="false" outlineLevel="0" collapsed="false">
      <c r="A16" s="20" t="n">
        <v>45665</v>
      </c>
      <c r="B16" s="2" t="n">
        <v>3</v>
      </c>
      <c r="C16" s="2" t="s">
        <v>56</v>
      </c>
      <c r="D16" s="21" t="n">
        <v>106300</v>
      </c>
      <c r="E16" s="2" t="s">
        <v>52</v>
      </c>
      <c r="F16" s="2" t="s">
        <v>100</v>
      </c>
    </row>
    <row r="17" customFormat="false" ht="15" hidden="false" customHeight="false" outlineLevel="0" collapsed="false">
      <c r="A17" s="20" t="n">
        <v>45665</v>
      </c>
      <c r="B17" s="2" t="n">
        <v>19</v>
      </c>
      <c r="C17" s="2" t="s">
        <v>75</v>
      </c>
      <c r="D17" s="21" t="n">
        <v>79700</v>
      </c>
      <c r="E17" s="2" t="s">
        <v>52</v>
      </c>
      <c r="F17" s="2" t="s">
        <v>100</v>
      </c>
    </row>
    <row r="18" customFormat="false" ht="15" hidden="false" customHeight="false" outlineLevel="0" collapsed="false">
      <c r="A18" s="20" t="n">
        <v>45666</v>
      </c>
      <c r="B18" s="2" t="n">
        <v>17</v>
      </c>
      <c r="C18" s="2" t="s">
        <v>73</v>
      </c>
      <c r="D18" s="21" t="n">
        <v>44400</v>
      </c>
      <c r="E18" s="2" t="s">
        <v>52</v>
      </c>
      <c r="F18" s="2" t="s">
        <v>100</v>
      </c>
    </row>
    <row r="19" customFormat="false" ht="15" hidden="false" customHeight="false" outlineLevel="0" collapsed="false">
      <c r="A19" s="20" t="n">
        <v>45667</v>
      </c>
      <c r="B19" s="2" t="n">
        <v>4</v>
      </c>
      <c r="C19" s="2" t="s">
        <v>58</v>
      </c>
      <c r="D19" s="21" t="n">
        <v>109700</v>
      </c>
      <c r="E19" s="2" t="s">
        <v>52</v>
      </c>
      <c r="F19" s="2" t="s">
        <v>100</v>
      </c>
    </row>
    <row r="20" customFormat="false" ht="15" hidden="false" customHeight="false" outlineLevel="0" collapsed="false">
      <c r="A20" s="20" t="n">
        <v>45667</v>
      </c>
      <c r="B20" s="2" t="n">
        <v>7</v>
      </c>
      <c r="C20" s="2" t="s">
        <v>62</v>
      </c>
      <c r="D20" s="21" t="n">
        <v>42000</v>
      </c>
      <c r="E20" s="2" t="s">
        <v>52</v>
      </c>
      <c r="F20" s="2" t="s">
        <v>100</v>
      </c>
    </row>
    <row r="21" customFormat="false" ht="15" hidden="false" customHeight="false" outlineLevel="0" collapsed="false">
      <c r="A21" s="20" t="n">
        <v>45667</v>
      </c>
      <c r="B21" s="2" t="n">
        <v>10</v>
      </c>
      <c r="C21" s="2" t="s">
        <v>65</v>
      </c>
      <c r="D21" s="21" t="n">
        <v>57400</v>
      </c>
      <c r="E21" s="2" t="s">
        <v>52</v>
      </c>
      <c r="F21" s="2" t="s">
        <v>100</v>
      </c>
    </row>
    <row r="22" customFormat="false" ht="15" hidden="false" customHeight="false" outlineLevel="0" collapsed="false">
      <c r="A22" s="20" t="n">
        <v>45667</v>
      </c>
      <c r="B22" s="2" t="n">
        <v>15</v>
      </c>
      <c r="C22" s="2" t="s">
        <v>71</v>
      </c>
      <c r="D22" s="21" t="n">
        <v>97200</v>
      </c>
      <c r="E22" s="2" t="s">
        <v>52</v>
      </c>
      <c r="F22" s="2" t="s">
        <v>100</v>
      </c>
    </row>
    <row r="23" customFormat="false" ht="15" hidden="false" customHeight="false" outlineLevel="0" collapsed="false">
      <c r="A23" s="20" t="n">
        <v>45667</v>
      </c>
      <c r="B23" s="2" t="n">
        <v>21</v>
      </c>
      <c r="C23" s="2" t="s">
        <v>77</v>
      </c>
      <c r="D23" s="21" t="n">
        <v>60200</v>
      </c>
      <c r="E23" s="2" t="s">
        <v>52</v>
      </c>
      <c r="F23" s="2" t="s">
        <v>100</v>
      </c>
    </row>
    <row r="24" customFormat="false" ht="15" hidden="false" customHeight="false" outlineLevel="0" collapsed="false">
      <c r="A24" s="20" t="n">
        <v>45668</v>
      </c>
      <c r="B24" s="2" t="n">
        <v>1</v>
      </c>
      <c r="C24" s="2" t="s">
        <v>51</v>
      </c>
      <c r="D24" s="21" t="n">
        <v>106100</v>
      </c>
      <c r="E24" s="2" t="s">
        <v>52</v>
      </c>
      <c r="F24" s="2" t="s">
        <v>100</v>
      </c>
    </row>
    <row r="25" customFormat="false" ht="15" hidden="false" customHeight="false" outlineLevel="0" collapsed="false">
      <c r="A25" s="20" t="n">
        <v>45668</v>
      </c>
      <c r="B25" s="2" t="n">
        <v>13</v>
      </c>
      <c r="C25" s="2" t="s">
        <v>68</v>
      </c>
      <c r="D25" s="21" t="n">
        <v>59300</v>
      </c>
      <c r="E25" s="2" t="s">
        <v>52</v>
      </c>
      <c r="F25" s="2" t="s">
        <v>100</v>
      </c>
    </row>
    <row r="26" customFormat="false" ht="15" hidden="false" customHeight="false" outlineLevel="0" collapsed="false">
      <c r="A26" s="20" t="n">
        <v>45669</v>
      </c>
      <c r="B26" s="2" t="n">
        <v>5</v>
      </c>
      <c r="C26" s="2" t="s">
        <v>59</v>
      </c>
      <c r="D26" s="21" t="n">
        <v>123200</v>
      </c>
      <c r="E26" s="2" t="s">
        <v>52</v>
      </c>
      <c r="F26" s="2" t="s">
        <v>100</v>
      </c>
    </row>
    <row r="27" customFormat="false" ht="15" hidden="false" customHeight="false" outlineLevel="0" collapsed="false">
      <c r="A27" s="20" t="n">
        <v>45669</v>
      </c>
      <c r="B27" s="2" t="n">
        <v>6</v>
      </c>
      <c r="C27" s="2" t="s">
        <v>60</v>
      </c>
      <c r="D27" s="21" t="n">
        <v>39700</v>
      </c>
      <c r="E27" s="2" t="s">
        <v>52</v>
      </c>
      <c r="F27" s="2" t="s">
        <v>100</v>
      </c>
    </row>
    <row r="28" customFormat="false" ht="15" hidden="false" customHeight="false" outlineLevel="0" collapsed="false">
      <c r="A28" s="20" t="n">
        <v>45669</v>
      </c>
      <c r="B28" s="2" t="n">
        <v>14</v>
      </c>
      <c r="C28" s="2" t="s">
        <v>70</v>
      </c>
      <c r="D28" s="21" t="n">
        <v>55500</v>
      </c>
      <c r="E28" s="2" t="s">
        <v>52</v>
      </c>
      <c r="F28" s="2" t="s">
        <v>100</v>
      </c>
    </row>
    <row r="29" customFormat="false" ht="15" hidden="false" customHeight="false" outlineLevel="0" collapsed="false">
      <c r="A29" s="20" t="n">
        <v>45669</v>
      </c>
      <c r="B29" s="2" t="n">
        <v>19</v>
      </c>
      <c r="C29" s="2" t="s">
        <v>75</v>
      </c>
      <c r="D29" s="21" t="n">
        <v>97000</v>
      </c>
      <c r="E29" s="2" t="s">
        <v>52</v>
      </c>
      <c r="F29" s="2" t="s">
        <v>100</v>
      </c>
    </row>
    <row r="30" customFormat="false" ht="15" hidden="false" customHeight="false" outlineLevel="0" collapsed="false">
      <c r="A30" s="20" t="n">
        <v>45669</v>
      </c>
      <c r="B30" s="2" t="n">
        <v>20</v>
      </c>
      <c r="C30" s="2" t="s">
        <v>76</v>
      </c>
      <c r="D30" s="21" t="n">
        <v>165500</v>
      </c>
      <c r="E30" s="2" t="s">
        <v>52</v>
      </c>
      <c r="F30" s="2" t="s">
        <v>100</v>
      </c>
    </row>
    <row r="31" customFormat="false" ht="15" hidden="false" customHeight="false" outlineLevel="0" collapsed="false">
      <c r="A31" s="20" t="n">
        <v>45672</v>
      </c>
      <c r="B31" s="2" t="n">
        <v>3</v>
      </c>
      <c r="C31" s="2" t="s">
        <v>56</v>
      </c>
      <c r="D31" s="21" t="n">
        <v>122200</v>
      </c>
      <c r="E31" s="2" t="s">
        <v>52</v>
      </c>
      <c r="F31" s="2" t="s">
        <v>100</v>
      </c>
    </row>
    <row r="32" customFormat="false" ht="15" hidden="false" customHeight="false" outlineLevel="0" collapsed="false">
      <c r="A32" s="20" t="n">
        <v>45672</v>
      </c>
      <c r="B32" s="2" t="n">
        <v>15</v>
      </c>
      <c r="C32" s="2" t="s">
        <v>71</v>
      </c>
      <c r="D32" s="21" t="n">
        <v>95300</v>
      </c>
      <c r="E32" s="2" t="s">
        <v>52</v>
      </c>
      <c r="F32" s="2" t="s">
        <v>100</v>
      </c>
    </row>
    <row r="33" customFormat="false" ht="15" hidden="false" customHeight="false" outlineLevel="0" collapsed="false">
      <c r="A33" s="20" t="n">
        <v>45672</v>
      </c>
      <c r="B33" s="2" t="n">
        <v>17</v>
      </c>
      <c r="C33" s="2" t="s">
        <v>73</v>
      </c>
      <c r="D33" s="21" t="n">
        <v>58900</v>
      </c>
      <c r="E33" s="2" t="s">
        <v>52</v>
      </c>
      <c r="F33" s="2" t="s">
        <v>100</v>
      </c>
    </row>
    <row r="34" customFormat="false" ht="15" hidden="false" customHeight="false" outlineLevel="0" collapsed="false">
      <c r="A34" s="20" t="n">
        <v>45672</v>
      </c>
      <c r="B34" s="2" t="n">
        <v>19</v>
      </c>
      <c r="C34" s="2" t="s">
        <v>75</v>
      </c>
      <c r="D34" s="21" t="n">
        <v>105300</v>
      </c>
      <c r="E34" s="2" t="s">
        <v>52</v>
      </c>
      <c r="F34" s="2" t="s">
        <v>100</v>
      </c>
    </row>
    <row r="35" customFormat="false" ht="15" hidden="false" customHeight="false" outlineLevel="0" collapsed="false">
      <c r="A35" s="20" t="n">
        <v>45673</v>
      </c>
      <c r="B35" s="2" t="n">
        <v>21</v>
      </c>
      <c r="C35" s="2" t="s">
        <v>77</v>
      </c>
      <c r="D35" s="21" t="n">
        <v>78200</v>
      </c>
      <c r="E35" s="2" t="s">
        <v>52</v>
      </c>
      <c r="F35" s="2" t="s">
        <v>100</v>
      </c>
    </row>
    <row r="36" customFormat="false" ht="15" hidden="false" customHeight="false" outlineLevel="0" collapsed="false">
      <c r="A36" s="20" t="n">
        <v>45674</v>
      </c>
      <c r="B36" s="2" t="n">
        <v>4</v>
      </c>
      <c r="C36" s="2" t="s">
        <v>58</v>
      </c>
      <c r="D36" s="21" t="n">
        <v>81100</v>
      </c>
      <c r="E36" s="2" t="s">
        <v>52</v>
      </c>
      <c r="F36" s="2" t="s">
        <v>100</v>
      </c>
    </row>
    <row r="37" customFormat="false" ht="15" hidden="false" customHeight="false" outlineLevel="0" collapsed="false">
      <c r="A37" s="20" t="n">
        <v>45674</v>
      </c>
      <c r="B37" s="2" t="n">
        <v>7</v>
      </c>
      <c r="C37" s="2" t="s">
        <v>62</v>
      </c>
      <c r="D37" s="21" t="n">
        <v>53300</v>
      </c>
      <c r="E37" s="2" t="s">
        <v>52</v>
      </c>
      <c r="F37" s="2" t="s">
        <v>100</v>
      </c>
    </row>
    <row r="38" customFormat="false" ht="15" hidden="false" customHeight="false" outlineLevel="0" collapsed="false">
      <c r="A38" s="20" t="n">
        <v>45674</v>
      </c>
      <c r="B38" s="2" t="n">
        <v>14</v>
      </c>
      <c r="C38" s="2" t="s">
        <v>70</v>
      </c>
      <c r="D38" s="21" t="n">
        <v>71000</v>
      </c>
      <c r="E38" s="2" t="s">
        <v>52</v>
      </c>
      <c r="F38" s="2" t="s">
        <v>100</v>
      </c>
    </row>
    <row r="39" customFormat="false" ht="15" hidden="false" customHeight="false" outlineLevel="0" collapsed="false">
      <c r="A39" s="20" t="n">
        <v>45675</v>
      </c>
      <c r="B39" s="2" t="n">
        <v>1</v>
      </c>
      <c r="C39" s="2" t="s">
        <v>51</v>
      </c>
      <c r="D39" s="21" t="n">
        <v>107500</v>
      </c>
      <c r="E39" s="2" t="s">
        <v>52</v>
      </c>
      <c r="F39" s="2" t="s">
        <v>100</v>
      </c>
    </row>
    <row r="40" customFormat="false" ht="15" hidden="false" customHeight="false" outlineLevel="0" collapsed="false">
      <c r="A40" s="20" t="n">
        <v>45675</v>
      </c>
      <c r="B40" s="2" t="n">
        <v>10</v>
      </c>
      <c r="C40" s="2" t="s">
        <v>65</v>
      </c>
      <c r="D40" s="21" t="n">
        <v>59200</v>
      </c>
      <c r="E40" s="2" t="s">
        <v>52</v>
      </c>
      <c r="F40" s="2" t="s">
        <v>100</v>
      </c>
    </row>
    <row r="41" customFormat="false" ht="15" hidden="false" customHeight="false" outlineLevel="0" collapsed="false">
      <c r="A41" s="20" t="n">
        <v>45676</v>
      </c>
      <c r="B41" s="2" t="n">
        <v>6</v>
      </c>
      <c r="C41" s="2" t="s">
        <v>60</v>
      </c>
      <c r="D41" s="21" t="n">
        <v>48800</v>
      </c>
      <c r="E41" s="2" t="s">
        <v>52</v>
      </c>
      <c r="F41" s="2" t="s">
        <v>100</v>
      </c>
    </row>
    <row r="42" customFormat="false" ht="15" hidden="false" customHeight="false" outlineLevel="0" collapsed="false">
      <c r="A42" s="20" t="n">
        <v>45676</v>
      </c>
      <c r="B42" s="2" t="n">
        <v>19</v>
      </c>
      <c r="C42" s="2" t="s">
        <v>75</v>
      </c>
      <c r="D42" s="21" t="n">
        <v>74100</v>
      </c>
      <c r="E42" s="2" t="s">
        <v>52</v>
      </c>
      <c r="F42" s="2" t="s">
        <v>100</v>
      </c>
    </row>
    <row r="43" customFormat="false" ht="15" hidden="false" customHeight="false" outlineLevel="0" collapsed="false">
      <c r="A43" s="20" t="n">
        <v>45678</v>
      </c>
      <c r="B43" s="2" t="n">
        <v>14</v>
      </c>
      <c r="C43" s="2" t="s">
        <v>70</v>
      </c>
      <c r="D43" s="21" t="n">
        <v>88000</v>
      </c>
      <c r="E43" s="2" t="s">
        <v>52</v>
      </c>
      <c r="F43" s="2" t="s">
        <v>100</v>
      </c>
    </row>
    <row r="44" customFormat="false" ht="15" hidden="false" customHeight="false" outlineLevel="0" collapsed="false">
      <c r="A44" s="20" t="n">
        <v>45678</v>
      </c>
      <c r="B44" s="2" t="n">
        <v>17</v>
      </c>
      <c r="C44" s="2" t="s">
        <v>73</v>
      </c>
      <c r="D44" s="21" t="n">
        <v>54500</v>
      </c>
      <c r="E44" s="2" t="s">
        <v>52</v>
      </c>
      <c r="F44" s="2" t="s">
        <v>100</v>
      </c>
    </row>
    <row r="45" customFormat="false" ht="15" hidden="false" customHeight="false" outlineLevel="0" collapsed="false">
      <c r="A45" s="20" t="n">
        <v>45678</v>
      </c>
      <c r="B45" s="2" t="n">
        <v>19</v>
      </c>
      <c r="C45" s="2" t="s">
        <v>75</v>
      </c>
      <c r="D45" s="21" t="n">
        <v>79100</v>
      </c>
      <c r="E45" s="2" t="s">
        <v>52</v>
      </c>
      <c r="F45" s="2" t="s">
        <v>100</v>
      </c>
    </row>
    <row r="46" customFormat="false" ht="15" hidden="false" customHeight="false" outlineLevel="0" collapsed="false">
      <c r="A46" s="20" t="n">
        <v>45678</v>
      </c>
      <c r="B46" s="2" t="n">
        <v>20</v>
      </c>
      <c r="C46" s="2" t="s">
        <v>76</v>
      </c>
      <c r="D46" s="21" t="n">
        <v>154900</v>
      </c>
      <c r="E46" s="2" t="s">
        <v>52</v>
      </c>
      <c r="F46" s="2" t="s">
        <v>100</v>
      </c>
    </row>
    <row r="47" customFormat="false" ht="15" hidden="false" customHeight="false" outlineLevel="0" collapsed="false">
      <c r="A47" s="20" t="n">
        <v>45679</v>
      </c>
      <c r="B47" s="2" t="n">
        <v>3</v>
      </c>
      <c r="C47" s="2" t="s">
        <v>56</v>
      </c>
      <c r="D47" s="21" t="n">
        <v>123000</v>
      </c>
      <c r="E47" s="2" t="s">
        <v>52</v>
      </c>
      <c r="F47" s="2" t="s">
        <v>100</v>
      </c>
    </row>
    <row r="48" customFormat="false" ht="15" hidden="false" customHeight="false" outlineLevel="0" collapsed="false">
      <c r="A48" s="20" t="n">
        <v>45679</v>
      </c>
      <c r="B48" s="2" t="n">
        <v>15</v>
      </c>
      <c r="C48" s="2" t="s">
        <v>71</v>
      </c>
      <c r="D48" s="21" t="n">
        <v>129400</v>
      </c>
      <c r="E48" s="2" t="s">
        <v>52</v>
      </c>
      <c r="F48" s="2" t="s">
        <v>100</v>
      </c>
    </row>
    <row r="49" customFormat="false" ht="15" hidden="false" customHeight="false" outlineLevel="0" collapsed="false">
      <c r="A49" s="20" t="n">
        <v>45680</v>
      </c>
      <c r="B49" s="2" t="n">
        <v>4</v>
      </c>
      <c r="C49" s="2" t="s">
        <v>58</v>
      </c>
      <c r="D49" s="21" t="n">
        <v>106200</v>
      </c>
      <c r="E49" s="2" t="s">
        <v>52</v>
      </c>
      <c r="F49" s="2" t="s">
        <v>100</v>
      </c>
    </row>
    <row r="50" customFormat="false" ht="15" hidden="false" customHeight="false" outlineLevel="0" collapsed="false">
      <c r="A50" s="20" t="n">
        <v>45681</v>
      </c>
      <c r="B50" s="2" t="n">
        <v>1</v>
      </c>
      <c r="C50" s="2" t="s">
        <v>51</v>
      </c>
      <c r="D50" s="21" t="n">
        <v>102500</v>
      </c>
      <c r="E50" s="2" t="s">
        <v>52</v>
      </c>
      <c r="F50" s="2" t="s">
        <v>100</v>
      </c>
    </row>
    <row r="51" customFormat="false" ht="15" hidden="false" customHeight="false" outlineLevel="0" collapsed="false">
      <c r="A51" s="20" t="n">
        <v>45681</v>
      </c>
      <c r="B51" s="2" t="n">
        <v>7</v>
      </c>
      <c r="C51" s="2" t="s">
        <v>62</v>
      </c>
      <c r="D51" s="21" t="n">
        <v>38200</v>
      </c>
      <c r="E51" s="2" t="s">
        <v>52</v>
      </c>
      <c r="F51" s="2" t="s">
        <v>100</v>
      </c>
    </row>
    <row r="52" customFormat="false" ht="15" hidden="false" customHeight="false" outlineLevel="0" collapsed="false">
      <c r="A52" s="20" t="n">
        <v>45681</v>
      </c>
      <c r="B52" s="2" t="n">
        <v>10</v>
      </c>
      <c r="C52" s="2" t="s">
        <v>65</v>
      </c>
      <c r="D52" s="21" t="n">
        <v>65600</v>
      </c>
      <c r="E52" s="2" t="s">
        <v>52</v>
      </c>
      <c r="F52" s="2" t="s">
        <v>100</v>
      </c>
    </row>
    <row r="53" customFormat="false" ht="15" hidden="false" customHeight="false" outlineLevel="0" collapsed="false">
      <c r="A53" s="20" t="n">
        <v>45681</v>
      </c>
      <c r="B53" s="2" t="n">
        <v>21</v>
      </c>
      <c r="C53" s="2" t="s">
        <v>77</v>
      </c>
      <c r="D53" s="21" t="n">
        <v>58900</v>
      </c>
      <c r="E53" s="2" t="s">
        <v>52</v>
      </c>
      <c r="F53" s="2" t="s">
        <v>100</v>
      </c>
    </row>
    <row r="54" customFormat="false" ht="15" hidden="false" customHeight="false" outlineLevel="0" collapsed="false">
      <c r="A54" s="20" t="n">
        <v>45682</v>
      </c>
      <c r="B54" s="2" t="n">
        <v>14</v>
      </c>
      <c r="C54" s="2" t="s">
        <v>70</v>
      </c>
      <c r="D54" s="21" t="n">
        <v>56600</v>
      </c>
      <c r="E54" s="2" t="s">
        <v>52</v>
      </c>
      <c r="F54" s="2" t="s">
        <v>100</v>
      </c>
    </row>
    <row r="55" customFormat="false" ht="15" hidden="false" customHeight="false" outlineLevel="0" collapsed="false">
      <c r="A55" s="20" t="n">
        <v>45682</v>
      </c>
      <c r="B55" s="2" t="n">
        <v>19</v>
      </c>
      <c r="C55" s="2" t="s">
        <v>75</v>
      </c>
      <c r="D55" s="21" t="n">
        <v>87500</v>
      </c>
      <c r="E55" s="2" t="s">
        <v>52</v>
      </c>
      <c r="F55" s="2" t="s">
        <v>100</v>
      </c>
    </row>
    <row r="56" customFormat="false" ht="15" hidden="false" customHeight="false" outlineLevel="0" collapsed="false">
      <c r="A56" s="20" t="n">
        <v>45685</v>
      </c>
      <c r="B56" s="2" t="n">
        <v>4</v>
      </c>
      <c r="C56" s="2" t="s">
        <v>58</v>
      </c>
      <c r="D56" s="21" t="n">
        <v>96600</v>
      </c>
      <c r="E56" s="2" t="s">
        <v>52</v>
      </c>
      <c r="F56" s="2" t="s">
        <v>100</v>
      </c>
    </row>
    <row r="57" customFormat="false" ht="15" hidden="false" customHeight="false" outlineLevel="0" collapsed="false">
      <c r="A57" s="20" t="n">
        <v>45685</v>
      </c>
      <c r="B57" s="2" t="n">
        <v>5</v>
      </c>
      <c r="C57" s="2" t="s">
        <v>59</v>
      </c>
      <c r="D57" s="21" t="n">
        <v>155900</v>
      </c>
      <c r="E57" s="2" t="s">
        <v>52</v>
      </c>
      <c r="F57" s="2" t="s">
        <v>100</v>
      </c>
    </row>
    <row r="58" customFormat="false" ht="15" hidden="false" customHeight="false" outlineLevel="0" collapsed="false">
      <c r="A58" s="20" t="n">
        <v>45685</v>
      </c>
      <c r="B58" s="2" t="n">
        <v>19</v>
      </c>
      <c r="C58" s="2" t="s">
        <v>75</v>
      </c>
      <c r="D58" s="21" t="n">
        <v>90200</v>
      </c>
      <c r="E58" s="2" t="s">
        <v>52</v>
      </c>
      <c r="F58" s="2" t="s">
        <v>100</v>
      </c>
    </row>
    <row r="59" customFormat="false" ht="15" hidden="false" customHeight="false" outlineLevel="0" collapsed="false">
      <c r="A59" s="20" t="n">
        <v>45686</v>
      </c>
      <c r="B59" s="2" t="n">
        <v>14</v>
      </c>
      <c r="C59" s="2" t="s">
        <v>70</v>
      </c>
      <c r="D59" s="21" t="n">
        <v>55800</v>
      </c>
      <c r="E59" s="2" t="s">
        <v>52</v>
      </c>
      <c r="F59" s="2" t="s">
        <v>100</v>
      </c>
    </row>
    <row r="60" customFormat="false" ht="15" hidden="false" customHeight="false" outlineLevel="0" collapsed="false">
      <c r="A60" s="20" t="n">
        <v>45686</v>
      </c>
      <c r="B60" s="2" t="n">
        <v>15</v>
      </c>
      <c r="C60" s="2" t="s">
        <v>71</v>
      </c>
      <c r="D60" s="21" t="n">
        <v>119600</v>
      </c>
      <c r="E60" s="2" t="s">
        <v>52</v>
      </c>
      <c r="F60" s="2" t="s">
        <v>100</v>
      </c>
    </row>
    <row r="61" customFormat="false" ht="15" hidden="false" customHeight="false" outlineLevel="0" collapsed="false">
      <c r="A61" s="20" t="n">
        <v>45686</v>
      </c>
      <c r="B61" s="2" t="n">
        <v>17</v>
      </c>
      <c r="C61" s="2" t="s">
        <v>73</v>
      </c>
      <c r="D61" s="21" t="n">
        <v>48400</v>
      </c>
      <c r="E61" s="2" t="s">
        <v>52</v>
      </c>
      <c r="F61" s="2" t="s">
        <v>100</v>
      </c>
    </row>
    <row r="62" customFormat="false" ht="15" hidden="false" customHeight="false" outlineLevel="0" collapsed="false">
      <c r="A62" s="20" t="n">
        <v>45687</v>
      </c>
      <c r="B62" s="2" t="n">
        <v>7</v>
      </c>
      <c r="C62" s="2" t="s">
        <v>62</v>
      </c>
      <c r="D62" s="21" t="n">
        <v>50100</v>
      </c>
      <c r="E62" s="2" t="s">
        <v>52</v>
      </c>
      <c r="F62" s="2" t="s">
        <v>100</v>
      </c>
    </row>
    <row r="63" customFormat="false" ht="15" hidden="false" customHeight="false" outlineLevel="0" collapsed="false">
      <c r="A63" s="20" t="n">
        <v>45687</v>
      </c>
      <c r="B63" s="2" t="n">
        <v>19</v>
      </c>
      <c r="C63" s="2" t="s">
        <v>75</v>
      </c>
      <c r="D63" s="21" t="n">
        <v>85200</v>
      </c>
      <c r="E63" s="2" t="s">
        <v>52</v>
      </c>
      <c r="F63" s="2" t="s">
        <v>100</v>
      </c>
    </row>
    <row r="64" customFormat="false" ht="15" hidden="false" customHeight="false" outlineLevel="0" collapsed="false">
      <c r="A64" s="20" t="n">
        <v>45687</v>
      </c>
      <c r="B64" s="2" t="n">
        <v>20</v>
      </c>
      <c r="C64" s="2" t="s">
        <v>76</v>
      </c>
      <c r="D64" s="21" t="n">
        <v>132700</v>
      </c>
      <c r="E64" s="2" t="s">
        <v>52</v>
      </c>
      <c r="F64" s="2" t="s">
        <v>100</v>
      </c>
    </row>
    <row r="65" customFormat="false" ht="15" hidden="false" customHeight="false" outlineLevel="0" collapsed="false">
      <c r="A65" s="20" t="n">
        <v>45687</v>
      </c>
      <c r="B65" s="2" t="n">
        <v>21</v>
      </c>
      <c r="C65" s="2" t="s">
        <v>77</v>
      </c>
      <c r="D65" s="21" t="n">
        <v>75900</v>
      </c>
      <c r="E65" s="2" t="s">
        <v>52</v>
      </c>
      <c r="F65" s="2" t="s">
        <v>100</v>
      </c>
    </row>
    <row r="66" customFormat="false" ht="15" hidden="false" customHeight="false" outlineLevel="0" collapsed="false">
      <c r="A66" s="20" t="n">
        <v>45688</v>
      </c>
      <c r="B66" s="2" t="n">
        <v>1</v>
      </c>
      <c r="C66" s="2" t="s">
        <v>51</v>
      </c>
      <c r="D66" s="21" t="n">
        <v>106600</v>
      </c>
      <c r="E66" s="2" t="s">
        <v>52</v>
      </c>
      <c r="F66" s="2" t="s">
        <v>100</v>
      </c>
    </row>
    <row r="67" customFormat="false" ht="15" hidden="false" customHeight="false" outlineLevel="0" collapsed="false">
      <c r="A67" s="20" t="n">
        <v>45689</v>
      </c>
      <c r="B67" s="2" t="n">
        <v>3</v>
      </c>
      <c r="C67" s="2" t="s">
        <v>56</v>
      </c>
      <c r="D67" s="21" t="n">
        <v>139700</v>
      </c>
      <c r="E67" s="2" t="s">
        <v>52</v>
      </c>
      <c r="F67" s="2" t="s">
        <v>100</v>
      </c>
    </row>
    <row r="68" customFormat="false" ht="15" hidden="false" customHeight="false" outlineLevel="0" collapsed="false">
      <c r="A68" s="20" t="n">
        <v>45689</v>
      </c>
      <c r="B68" s="2" t="n">
        <v>10</v>
      </c>
      <c r="C68" s="2" t="s">
        <v>65</v>
      </c>
      <c r="D68" s="21" t="n">
        <v>64900</v>
      </c>
      <c r="E68" s="2" t="s">
        <v>52</v>
      </c>
      <c r="F68" s="2" t="s">
        <v>100</v>
      </c>
    </row>
    <row r="69" customFormat="false" ht="15" hidden="false" customHeight="false" outlineLevel="0" collapsed="false">
      <c r="A69" s="20" t="n">
        <v>45692</v>
      </c>
      <c r="B69" s="2" t="n">
        <v>14</v>
      </c>
      <c r="C69" s="2" t="s">
        <v>70</v>
      </c>
      <c r="D69" s="21" t="n">
        <v>78300</v>
      </c>
      <c r="E69" s="2" t="s">
        <v>52</v>
      </c>
      <c r="F69" s="2" t="s">
        <v>100</v>
      </c>
    </row>
    <row r="70" customFormat="false" ht="15" hidden="false" customHeight="false" outlineLevel="0" collapsed="false">
      <c r="A70" s="20" t="n">
        <v>45693</v>
      </c>
      <c r="B70" s="2" t="n">
        <v>5</v>
      </c>
      <c r="C70" s="2" t="s">
        <v>59</v>
      </c>
      <c r="D70" s="21" t="n">
        <v>156800</v>
      </c>
      <c r="E70" s="2" t="s">
        <v>52</v>
      </c>
      <c r="F70" s="2" t="s">
        <v>100</v>
      </c>
    </row>
    <row r="71" customFormat="false" ht="15" hidden="false" customHeight="false" outlineLevel="0" collapsed="false">
      <c r="A71" s="20" t="n">
        <v>45693</v>
      </c>
      <c r="B71" s="2" t="n">
        <v>15</v>
      </c>
      <c r="C71" s="2" t="s">
        <v>71</v>
      </c>
      <c r="D71" s="21" t="n">
        <v>113100</v>
      </c>
      <c r="E71" s="2" t="s">
        <v>52</v>
      </c>
      <c r="F71" s="2" t="s">
        <v>100</v>
      </c>
    </row>
    <row r="72" customFormat="false" ht="15" hidden="false" customHeight="false" outlineLevel="0" collapsed="false">
      <c r="A72" s="20" t="n">
        <v>45694</v>
      </c>
      <c r="B72" s="2" t="n">
        <v>3</v>
      </c>
      <c r="C72" s="2" t="s">
        <v>56</v>
      </c>
      <c r="D72" s="21" t="n">
        <v>140100</v>
      </c>
      <c r="E72" s="2" t="s">
        <v>52</v>
      </c>
      <c r="F72" s="2" t="s">
        <v>100</v>
      </c>
    </row>
    <row r="73" customFormat="false" ht="15" hidden="false" customHeight="false" outlineLevel="0" collapsed="false">
      <c r="A73" s="20" t="n">
        <v>45694</v>
      </c>
      <c r="B73" s="2" t="n">
        <v>17</v>
      </c>
      <c r="C73" s="2" t="s">
        <v>73</v>
      </c>
      <c r="D73" s="21" t="n">
        <v>52400</v>
      </c>
      <c r="E73" s="2" t="s">
        <v>52</v>
      </c>
      <c r="F73" s="2" t="s">
        <v>100</v>
      </c>
    </row>
    <row r="74" customFormat="false" ht="15" hidden="false" customHeight="false" outlineLevel="0" collapsed="false">
      <c r="A74" s="20" t="n">
        <v>45694</v>
      </c>
      <c r="B74" s="2" t="n">
        <v>19</v>
      </c>
      <c r="C74" s="2" t="s">
        <v>75</v>
      </c>
      <c r="D74" s="21" t="n">
        <v>103900</v>
      </c>
      <c r="E74" s="2" t="s">
        <v>52</v>
      </c>
      <c r="F74" s="2" t="s">
        <v>100</v>
      </c>
    </row>
    <row r="75" customFormat="false" ht="15" hidden="false" customHeight="false" outlineLevel="0" collapsed="false">
      <c r="A75" s="20" t="n">
        <v>45694</v>
      </c>
      <c r="B75" s="2" t="n">
        <v>20</v>
      </c>
      <c r="C75" s="2" t="s">
        <v>76</v>
      </c>
      <c r="D75" s="21" t="n">
        <v>161500</v>
      </c>
      <c r="E75" s="2" t="s">
        <v>52</v>
      </c>
      <c r="F75" s="2" t="s">
        <v>100</v>
      </c>
    </row>
    <row r="76" customFormat="false" ht="15" hidden="false" customHeight="false" outlineLevel="0" collapsed="false">
      <c r="A76" s="20" t="n">
        <v>45694</v>
      </c>
      <c r="B76" s="2" t="n">
        <v>21</v>
      </c>
      <c r="C76" s="2" t="s">
        <v>77</v>
      </c>
      <c r="D76" s="21" t="n">
        <v>55500</v>
      </c>
      <c r="E76" s="2" t="s">
        <v>52</v>
      </c>
      <c r="F76" s="2" t="s">
        <v>100</v>
      </c>
    </row>
    <row r="77" customFormat="false" ht="15" hidden="false" customHeight="false" outlineLevel="0" collapsed="false">
      <c r="A77" s="20" t="n">
        <v>45695</v>
      </c>
      <c r="B77" s="2" t="n">
        <v>7</v>
      </c>
      <c r="C77" s="2" t="s">
        <v>62</v>
      </c>
      <c r="D77" s="21" t="n">
        <v>39000</v>
      </c>
      <c r="E77" s="2" t="s">
        <v>52</v>
      </c>
      <c r="F77" s="2" t="s">
        <v>100</v>
      </c>
    </row>
    <row r="78" customFormat="false" ht="15" hidden="false" customHeight="false" outlineLevel="0" collapsed="false">
      <c r="A78" s="20" t="n">
        <v>45695</v>
      </c>
      <c r="B78" s="2" t="n">
        <v>10</v>
      </c>
      <c r="C78" s="2" t="s">
        <v>65</v>
      </c>
      <c r="D78" s="21" t="n">
        <v>42800</v>
      </c>
      <c r="E78" s="2" t="s">
        <v>52</v>
      </c>
      <c r="F78" s="2" t="s">
        <v>100</v>
      </c>
    </row>
    <row r="79" customFormat="false" ht="15" hidden="false" customHeight="false" outlineLevel="0" collapsed="false">
      <c r="A79" s="20" t="n">
        <v>45696</v>
      </c>
      <c r="B79" s="2" t="n">
        <v>1</v>
      </c>
      <c r="C79" s="2" t="s">
        <v>51</v>
      </c>
      <c r="D79" s="21" t="n">
        <v>120500</v>
      </c>
      <c r="E79" s="2" t="s">
        <v>52</v>
      </c>
      <c r="F79" s="2" t="s">
        <v>100</v>
      </c>
    </row>
    <row r="80" customFormat="false" ht="15" hidden="false" customHeight="false" outlineLevel="0" collapsed="false">
      <c r="A80" s="20" t="n">
        <v>45696</v>
      </c>
      <c r="B80" s="2" t="n">
        <v>4</v>
      </c>
      <c r="C80" s="2" t="s">
        <v>58</v>
      </c>
      <c r="D80" s="21" t="n">
        <v>117000</v>
      </c>
      <c r="E80" s="2" t="s">
        <v>52</v>
      </c>
      <c r="F80" s="2" t="s">
        <v>100</v>
      </c>
    </row>
    <row r="81" customFormat="false" ht="15" hidden="false" customHeight="false" outlineLevel="0" collapsed="false">
      <c r="A81" s="20" t="n">
        <v>45696</v>
      </c>
      <c r="B81" s="2" t="n">
        <v>19</v>
      </c>
      <c r="C81" s="2" t="s">
        <v>75</v>
      </c>
      <c r="D81" s="21" t="n">
        <v>92800</v>
      </c>
      <c r="E81" s="2" t="s">
        <v>52</v>
      </c>
      <c r="F81" s="2" t="s">
        <v>100</v>
      </c>
    </row>
    <row r="82" customFormat="false" ht="15" hidden="false" customHeight="false" outlineLevel="0" collapsed="false">
      <c r="A82" s="20" t="n">
        <v>45697</v>
      </c>
      <c r="B82" s="2" t="n">
        <v>14</v>
      </c>
      <c r="C82" s="2" t="s">
        <v>70</v>
      </c>
      <c r="D82" s="21" t="n">
        <v>60900</v>
      </c>
      <c r="E82" s="2" t="s">
        <v>52</v>
      </c>
      <c r="F82" s="2" t="s">
        <v>100</v>
      </c>
    </row>
    <row r="83" customFormat="false" ht="15" hidden="false" customHeight="false" outlineLevel="0" collapsed="false">
      <c r="A83" s="20" t="n">
        <v>45699</v>
      </c>
      <c r="B83" s="2" t="n">
        <v>3</v>
      </c>
      <c r="C83" s="2" t="s">
        <v>56</v>
      </c>
      <c r="D83" s="21" t="n">
        <v>160500</v>
      </c>
      <c r="E83" s="2" t="s">
        <v>52</v>
      </c>
      <c r="F83" s="2" t="s">
        <v>100</v>
      </c>
    </row>
    <row r="84" customFormat="false" ht="15" hidden="false" customHeight="false" outlineLevel="0" collapsed="false">
      <c r="A84" s="20" t="n">
        <v>45699</v>
      </c>
      <c r="B84" s="2" t="n">
        <v>15</v>
      </c>
      <c r="C84" s="2" t="s">
        <v>71</v>
      </c>
      <c r="D84" s="21" t="n">
        <v>82800</v>
      </c>
      <c r="E84" s="2" t="s">
        <v>52</v>
      </c>
      <c r="F84" s="2" t="s">
        <v>100</v>
      </c>
    </row>
    <row r="85" customFormat="false" ht="15" hidden="false" customHeight="false" outlineLevel="0" collapsed="false">
      <c r="A85" s="20" t="n">
        <v>45700</v>
      </c>
      <c r="B85" s="2" t="n">
        <v>5</v>
      </c>
      <c r="C85" s="2" t="s">
        <v>59</v>
      </c>
      <c r="D85" s="21" t="n">
        <v>138200</v>
      </c>
      <c r="E85" s="2" t="s">
        <v>52</v>
      </c>
      <c r="F85" s="2" t="s">
        <v>100</v>
      </c>
    </row>
    <row r="86" customFormat="false" ht="15" hidden="false" customHeight="false" outlineLevel="0" collapsed="false">
      <c r="A86" s="20" t="n">
        <v>45700</v>
      </c>
      <c r="B86" s="2" t="n">
        <v>19</v>
      </c>
      <c r="C86" s="2" t="s">
        <v>75</v>
      </c>
      <c r="D86" s="21" t="n">
        <v>90200</v>
      </c>
      <c r="E86" s="2" t="s">
        <v>52</v>
      </c>
      <c r="F86" s="2" t="s">
        <v>100</v>
      </c>
    </row>
    <row r="87" customFormat="false" ht="15" hidden="false" customHeight="false" outlineLevel="0" collapsed="false">
      <c r="A87" s="20" t="n">
        <v>45700</v>
      </c>
      <c r="B87" s="2" t="n">
        <v>21</v>
      </c>
      <c r="C87" s="2" t="s">
        <v>77</v>
      </c>
      <c r="D87" s="21" t="n">
        <v>86500</v>
      </c>
      <c r="E87" s="2" t="s">
        <v>52</v>
      </c>
      <c r="F87" s="2" t="s">
        <v>100</v>
      </c>
    </row>
    <row r="88" customFormat="false" ht="15" hidden="false" customHeight="false" outlineLevel="0" collapsed="false">
      <c r="A88" s="20" t="n">
        <v>45701</v>
      </c>
      <c r="B88" s="2" t="n">
        <v>4</v>
      </c>
      <c r="C88" s="2" t="s">
        <v>58</v>
      </c>
      <c r="D88" s="21" t="n">
        <v>97800</v>
      </c>
      <c r="E88" s="2" t="s">
        <v>52</v>
      </c>
      <c r="F88" s="2" t="s">
        <v>100</v>
      </c>
    </row>
    <row r="89" customFormat="false" ht="15" hidden="false" customHeight="false" outlineLevel="0" collapsed="false">
      <c r="A89" s="20" t="n">
        <v>45701</v>
      </c>
      <c r="B89" s="2" t="n">
        <v>17</v>
      </c>
      <c r="C89" s="2" t="s">
        <v>73</v>
      </c>
      <c r="D89" s="21" t="n">
        <v>59600</v>
      </c>
      <c r="E89" s="2" t="s">
        <v>52</v>
      </c>
      <c r="F89" s="2" t="s">
        <v>100</v>
      </c>
    </row>
    <row r="90" customFormat="false" ht="15" hidden="false" customHeight="false" outlineLevel="0" collapsed="false">
      <c r="A90" s="20" t="n">
        <v>45702</v>
      </c>
      <c r="B90" s="2" t="n">
        <v>7</v>
      </c>
      <c r="C90" s="2" t="s">
        <v>62</v>
      </c>
      <c r="D90" s="21" t="n">
        <v>34500</v>
      </c>
      <c r="E90" s="2" t="s">
        <v>52</v>
      </c>
      <c r="F90" s="2" t="s">
        <v>100</v>
      </c>
    </row>
    <row r="91" customFormat="false" ht="15" hidden="false" customHeight="false" outlineLevel="0" collapsed="false">
      <c r="A91" s="20" t="n">
        <v>45702</v>
      </c>
      <c r="B91" s="2" t="n">
        <v>10</v>
      </c>
      <c r="C91" s="2" t="s">
        <v>65</v>
      </c>
      <c r="D91" s="21" t="n">
        <v>56900</v>
      </c>
      <c r="E91" s="2" t="s">
        <v>52</v>
      </c>
      <c r="F91" s="2" t="s">
        <v>100</v>
      </c>
    </row>
    <row r="92" customFormat="false" ht="15" hidden="false" customHeight="false" outlineLevel="0" collapsed="false">
      <c r="A92" s="20" t="n">
        <v>45703</v>
      </c>
      <c r="B92" s="2" t="n">
        <v>14</v>
      </c>
      <c r="C92" s="2" t="s">
        <v>70</v>
      </c>
      <c r="D92" s="21" t="n">
        <v>63700</v>
      </c>
      <c r="E92" s="2" t="s">
        <v>52</v>
      </c>
      <c r="F92" s="2" t="s">
        <v>100</v>
      </c>
    </row>
    <row r="93" customFormat="false" ht="15" hidden="false" customHeight="false" outlineLevel="0" collapsed="false">
      <c r="A93" s="20" t="n">
        <v>45703</v>
      </c>
      <c r="B93" s="2" t="n">
        <v>19</v>
      </c>
      <c r="C93" s="2" t="s">
        <v>75</v>
      </c>
      <c r="D93" s="21" t="n">
        <v>76800</v>
      </c>
      <c r="E93" s="2" t="s">
        <v>52</v>
      </c>
      <c r="F93" s="2" t="s">
        <v>100</v>
      </c>
    </row>
    <row r="94" customFormat="false" ht="15" hidden="false" customHeight="false" outlineLevel="0" collapsed="false">
      <c r="A94" s="20" t="n">
        <v>45703</v>
      </c>
      <c r="B94" s="2" t="n">
        <v>20</v>
      </c>
      <c r="C94" s="2" t="s">
        <v>76</v>
      </c>
      <c r="D94" s="21" t="n">
        <v>114200</v>
      </c>
      <c r="E94" s="2" t="s">
        <v>52</v>
      </c>
      <c r="F94" s="2" t="s">
        <v>100</v>
      </c>
    </row>
    <row r="95" customFormat="false" ht="15" hidden="false" customHeight="false" outlineLevel="0" collapsed="false">
      <c r="A95" s="20" t="n">
        <v>45704</v>
      </c>
      <c r="B95" s="2" t="n">
        <v>1</v>
      </c>
      <c r="C95" s="2" t="s">
        <v>51</v>
      </c>
      <c r="D95" s="21" t="n">
        <v>111900</v>
      </c>
      <c r="E95" s="2" t="s">
        <v>52</v>
      </c>
      <c r="F95" s="2" t="s">
        <v>100</v>
      </c>
    </row>
    <row r="96" customFormat="false" ht="15" hidden="false" customHeight="false" outlineLevel="0" collapsed="false">
      <c r="A96" s="20" t="n">
        <v>45704</v>
      </c>
      <c r="B96" s="2" t="n">
        <v>3</v>
      </c>
      <c r="C96" s="2" t="s">
        <v>56</v>
      </c>
      <c r="D96" s="21" t="n">
        <v>103600</v>
      </c>
      <c r="E96" s="2" t="s">
        <v>52</v>
      </c>
      <c r="F96" s="2" t="s">
        <v>100</v>
      </c>
    </row>
    <row r="97" customFormat="false" ht="15" hidden="false" customHeight="false" outlineLevel="0" collapsed="false">
      <c r="A97" s="20" t="n">
        <v>45704</v>
      </c>
      <c r="B97" s="2" t="n">
        <v>15</v>
      </c>
      <c r="C97" s="2" t="s">
        <v>71</v>
      </c>
      <c r="D97" s="21" t="n">
        <v>109000</v>
      </c>
      <c r="E97" s="2" t="s">
        <v>52</v>
      </c>
      <c r="F97" s="2" t="s">
        <v>100</v>
      </c>
    </row>
    <row r="98" customFormat="false" ht="15" hidden="false" customHeight="false" outlineLevel="0" collapsed="false">
      <c r="A98" s="20" t="n">
        <v>45706</v>
      </c>
      <c r="B98" s="2" t="n">
        <v>13</v>
      </c>
      <c r="C98" s="2" t="s">
        <v>68</v>
      </c>
      <c r="D98" s="21" t="n">
        <v>60600</v>
      </c>
      <c r="E98" s="2" t="s">
        <v>52</v>
      </c>
      <c r="F98" s="2" t="s">
        <v>100</v>
      </c>
    </row>
    <row r="99" customFormat="false" ht="15" hidden="false" customHeight="false" outlineLevel="0" collapsed="false">
      <c r="A99" s="20" t="n">
        <v>45707</v>
      </c>
      <c r="B99" s="2" t="n">
        <v>5</v>
      </c>
      <c r="C99" s="2" t="s">
        <v>59</v>
      </c>
      <c r="D99" s="21" t="n">
        <v>194300</v>
      </c>
      <c r="E99" s="2" t="s">
        <v>52</v>
      </c>
      <c r="F99" s="2" t="s">
        <v>100</v>
      </c>
    </row>
    <row r="100" customFormat="false" ht="15" hidden="false" customHeight="false" outlineLevel="0" collapsed="false">
      <c r="A100" s="20" t="n">
        <v>45707</v>
      </c>
      <c r="B100" s="2" t="n">
        <v>19</v>
      </c>
      <c r="C100" s="2" t="s">
        <v>75</v>
      </c>
      <c r="D100" s="21" t="n">
        <v>80100</v>
      </c>
      <c r="E100" s="2" t="s">
        <v>52</v>
      </c>
      <c r="F100" s="2" t="s">
        <v>100</v>
      </c>
    </row>
    <row r="101" customFormat="false" ht="15" hidden="false" customHeight="false" outlineLevel="0" collapsed="false">
      <c r="A101" s="20" t="n">
        <v>45707</v>
      </c>
      <c r="B101" s="2" t="n">
        <v>21</v>
      </c>
      <c r="C101" s="2" t="s">
        <v>77</v>
      </c>
      <c r="D101" s="21" t="n">
        <v>54800</v>
      </c>
      <c r="E101" s="2" t="s">
        <v>52</v>
      </c>
      <c r="F101" s="2" t="s">
        <v>100</v>
      </c>
    </row>
    <row r="102" customFormat="false" ht="15" hidden="false" customHeight="false" outlineLevel="0" collapsed="false">
      <c r="A102" s="20" t="n">
        <v>45708</v>
      </c>
      <c r="B102" s="2" t="n">
        <v>4</v>
      </c>
      <c r="C102" s="2" t="s">
        <v>58</v>
      </c>
      <c r="D102" s="21" t="n">
        <v>89900</v>
      </c>
      <c r="E102" s="2" t="s">
        <v>52</v>
      </c>
      <c r="F102" s="2" t="s">
        <v>100</v>
      </c>
    </row>
    <row r="103" customFormat="false" ht="15" hidden="false" customHeight="false" outlineLevel="0" collapsed="false">
      <c r="A103" s="20" t="n">
        <v>45708</v>
      </c>
      <c r="B103" s="2" t="n">
        <v>14</v>
      </c>
      <c r="C103" s="2" t="s">
        <v>70</v>
      </c>
      <c r="D103" s="21" t="n">
        <v>73800</v>
      </c>
      <c r="E103" s="2" t="s">
        <v>52</v>
      </c>
      <c r="F103" s="2" t="s">
        <v>100</v>
      </c>
    </row>
    <row r="104" customFormat="false" ht="15" hidden="false" customHeight="false" outlineLevel="0" collapsed="false">
      <c r="A104" s="20" t="n">
        <v>45708</v>
      </c>
      <c r="B104" s="2" t="n">
        <v>17</v>
      </c>
      <c r="C104" s="2" t="s">
        <v>73</v>
      </c>
      <c r="D104" s="21" t="n">
        <v>53500</v>
      </c>
      <c r="E104" s="2" t="s">
        <v>52</v>
      </c>
      <c r="F104" s="2" t="s">
        <v>100</v>
      </c>
    </row>
    <row r="105" customFormat="false" ht="15" hidden="false" customHeight="false" outlineLevel="0" collapsed="false">
      <c r="A105" s="20" t="n">
        <v>45709</v>
      </c>
      <c r="B105" s="2" t="n">
        <v>7</v>
      </c>
      <c r="C105" s="2" t="s">
        <v>62</v>
      </c>
      <c r="D105" s="21" t="n">
        <v>50400</v>
      </c>
      <c r="E105" s="2" t="s">
        <v>52</v>
      </c>
      <c r="F105" s="2" t="s">
        <v>100</v>
      </c>
    </row>
    <row r="106" customFormat="false" ht="15" hidden="false" customHeight="false" outlineLevel="0" collapsed="false">
      <c r="A106" s="20" t="n">
        <v>45709</v>
      </c>
      <c r="B106" s="2" t="n">
        <v>10</v>
      </c>
      <c r="C106" s="2" t="s">
        <v>65</v>
      </c>
      <c r="D106" s="21" t="n">
        <v>65400</v>
      </c>
      <c r="E106" s="2" t="s">
        <v>52</v>
      </c>
      <c r="F106" s="2" t="s">
        <v>100</v>
      </c>
    </row>
    <row r="107" customFormat="false" ht="15" hidden="false" customHeight="false" outlineLevel="0" collapsed="false">
      <c r="A107" s="20" t="n">
        <v>45710</v>
      </c>
      <c r="B107" s="2" t="n">
        <v>3</v>
      </c>
      <c r="C107" s="2" t="s">
        <v>56</v>
      </c>
      <c r="D107" s="21" t="n">
        <v>100400</v>
      </c>
      <c r="E107" s="2" t="s">
        <v>52</v>
      </c>
      <c r="F107" s="2" t="s">
        <v>100</v>
      </c>
    </row>
    <row r="108" customFormat="false" ht="15" hidden="false" customHeight="false" outlineLevel="0" collapsed="false">
      <c r="A108" s="20" t="n">
        <v>45710</v>
      </c>
      <c r="B108" s="2" t="n">
        <v>15</v>
      </c>
      <c r="C108" s="2" t="s">
        <v>71</v>
      </c>
      <c r="D108" s="21" t="n">
        <v>130500</v>
      </c>
      <c r="E108" s="2" t="s">
        <v>52</v>
      </c>
      <c r="F108" s="2" t="s">
        <v>100</v>
      </c>
    </row>
    <row r="109" customFormat="false" ht="15" hidden="false" customHeight="false" outlineLevel="0" collapsed="false">
      <c r="A109" s="20" t="n">
        <v>45711</v>
      </c>
      <c r="B109" s="2" t="n">
        <v>19</v>
      </c>
      <c r="C109" s="2" t="s">
        <v>75</v>
      </c>
      <c r="D109" s="21" t="n">
        <v>70900</v>
      </c>
      <c r="E109" s="2" t="s">
        <v>52</v>
      </c>
      <c r="F109" s="2" t="s">
        <v>100</v>
      </c>
    </row>
    <row r="110" customFormat="false" ht="15" hidden="false" customHeight="false" outlineLevel="0" collapsed="false">
      <c r="A110" s="20" t="n">
        <v>45711</v>
      </c>
      <c r="B110" s="2" t="n">
        <v>20</v>
      </c>
      <c r="C110" s="2" t="s">
        <v>76</v>
      </c>
      <c r="D110" s="21" t="n">
        <v>141200</v>
      </c>
      <c r="E110" s="2" t="s">
        <v>52</v>
      </c>
      <c r="F110" s="2" t="s">
        <v>100</v>
      </c>
    </row>
    <row r="111" customFormat="false" ht="15" hidden="false" customHeight="false" outlineLevel="0" collapsed="false">
      <c r="A111" s="20" t="n">
        <v>45713</v>
      </c>
      <c r="B111" s="2" t="n">
        <v>6</v>
      </c>
      <c r="C111" s="2" t="s">
        <v>60</v>
      </c>
      <c r="D111" s="21" t="n">
        <v>52600</v>
      </c>
      <c r="E111" s="2" t="s">
        <v>52</v>
      </c>
      <c r="F111" s="2" t="s">
        <v>100</v>
      </c>
    </row>
    <row r="112" customFormat="false" ht="15" hidden="false" customHeight="false" outlineLevel="0" collapsed="false">
      <c r="A112" s="20" t="n">
        <v>45714</v>
      </c>
      <c r="B112" s="2" t="n">
        <v>4</v>
      </c>
      <c r="C112" s="2" t="s">
        <v>58</v>
      </c>
      <c r="D112" s="21" t="n">
        <v>109000</v>
      </c>
      <c r="E112" s="2" t="s">
        <v>52</v>
      </c>
      <c r="F112" s="2" t="s">
        <v>100</v>
      </c>
    </row>
    <row r="113" customFormat="false" ht="15" hidden="false" customHeight="false" outlineLevel="0" collapsed="false">
      <c r="A113" s="20" t="n">
        <v>45714</v>
      </c>
      <c r="B113" s="2" t="n">
        <v>13</v>
      </c>
      <c r="C113" s="2" t="s">
        <v>68</v>
      </c>
      <c r="D113" s="21" t="n">
        <v>47100</v>
      </c>
      <c r="E113" s="2" t="s">
        <v>52</v>
      </c>
      <c r="F113" s="2" t="s">
        <v>100</v>
      </c>
    </row>
    <row r="114" customFormat="false" ht="15" hidden="false" customHeight="false" outlineLevel="0" collapsed="false">
      <c r="A114" s="20" t="n">
        <v>45715</v>
      </c>
      <c r="B114" s="2" t="n">
        <v>5</v>
      </c>
      <c r="C114" s="2" t="s">
        <v>59</v>
      </c>
      <c r="D114" s="21" t="n">
        <v>164100</v>
      </c>
      <c r="E114" s="2" t="s">
        <v>52</v>
      </c>
      <c r="F114" s="2" t="s">
        <v>100</v>
      </c>
    </row>
    <row r="115" customFormat="false" ht="15" hidden="false" customHeight="false" outlineLevel="0" collapsed="false">
      <c r="A115" s="20" t="n">
        <v>45715</v>
      </c>
      <c r="B115" s="2" t="n">
        <v>7</v>
      </c>
      <c r="C115" s="2" t="s">
        <v>62</v>
      </c>
      <c r="D115" s="21" t="n">
        <v>41800</v>
      </c>
      <c r="E115" s="2" t="s">
        <v>52</v>
      </c>
      <c r="F115" s="2" t="s">
        <v>100</v>
      </c>
    </row>
    <row r="116" customFormat="false" ht="15" hidden="false" customHeight="false" outlineLevel="0" collapsed="false">
      <c r="A116" s="20" t="n">
        <v>45715</v>
      </c>
      <c r="B116" s="2" t="n">
        <v>15</v>
      </c>
      <c r="C116" s="2" t="s">
        <v>71</v>
      </c>
      <c r="D116" s="21" t="n">
        <v>117800</v>
      </c>
      <c r="E116" s="2" t="s">
        <v>52</v>
      </c>
      <c r="F116" s="2" t="s">
        <v>100</v>
      </c>
    </row>
    <row r="117" customFormat="false" ht="15" hidden="false" customHeight="false" outlineLevel="0" collapsed="false">
      <c r="A117" s="20" t="n">
        <v>45715</v>
      </c>
      <c r="B117" s="2" t="n">
        <v>17</v>
      </c>
      <c r="C117" s="2" t="s">
        <v>73</v>
      </c>
      <c r="D117" s="21" t="n">
        <v>40400</v>
      </c>
      <c r="E117" s="2" t="s">
        <v>52</v>
      </c>
      <c r="F117" s="2" t="s">
        <v>100</v>
      </c>
    </row>
    <row r="118" customFormat="false" ht="15" hidden="false" customHeight="false" outlineLevel="0" collapsed="false">
      <c r="A118" s="20" t="n">
        <v>45715</v>
      </c>
      <c r="B118" s="2" t="n">
        <v>19</v>
      </c>
      <c r="C118" s="2" t="s">
        <v>75</v>
      </c>
      <c r="D118" s="21" t="n">
        <v>96900</v>
      </c>
      <c r="E118" s="2" t="s">
        <v>52</v>
      </c>
      <c r="F118" s="2" t="s">
        <v>100</v>
      </c>
    </row>
    <row r="119" customFormat="false" ht="15" hidden="false" customHeight="false" outlineLevel="0" collapsed="false">
      <c r="A119" s="20" t="n">
        <v>45715</v>
      </c>
      <c r="B119" s="2" t="n">
        <v>21</v>
      </c>
      <c r="C119" s="2" t="s">
        <v>77</v>
      </c>
      <c r="D119" s="21" t="n">
        <v>85600</v>
      </c>
      <c r="E119" s="2" t="s">
        <v>52</v>
      </c>
      <c r="F119" s="2" t="s">
        <v>100</v>
      </c>
    </row>
    <row r="120" customFormat="false" ht="15" hidden="false" customHeight="false" outlineLevel="0" collapsed="false">
      <c r="A120" s="20" t="n">
        <v>45716</v>
      </c>
      <c r="B120" s="2" t="n">
        <v>10</v>
      </c>
      <c r="C120" s="2" t="s">
        <v>65</v>
      </c>
      <c r="D120" s="21" t="n">
        <v>54200</v>
      </c>
      <c r="E120" s="2" t="s">
        <v>52</v>
      </c>
      <c r="F120" s="2" t="s">
        <v>100</v>
      </c>
    </row>
    <row r="121" customFormat="false" ht="15" hidden="false" customHeight="false" outlineLevel="0" collapsed="false">
      <c r="A121" s="20" t="n">
        <v>45717</v>
      </c>
      <c r="B121" s="2" t="n">
        <v>3</v>
      </c>
      <c r="C121" s="2" t="s">
        <v>56</v>
      </c>
      <c r="D121" s="21" t="n">
        <v>135400</v>
      </c>
      <c r="E121" s="2" t="s">
        <v>52</v>
      </c>
      <c r="F121" s="2" t="s">
        <v>100</v>
      </c>
    </row>
    <row r="122" customFormat="false" ht="15" hidden="false" customHeight="false" outlineLevel="0" collapsed="false">
      <c r="A122" s="20" t="n">
        <v>45718</v>
      </c>
      <c r="B122" s="2" t="n">
        <v>14</v>
      </c>
      <c r="C122" s="2" t="s">
        <v>70</v>
      </c>
      <c r="D122" s="21" t="n">
        <v>92100</v>
      </c>
      <c r="E122" s="2" t="s">
        <v>52</v>
      </c>
      <c r="F122" s="2" t="s">
        <v>100</v>
      </c>
    </row>
    <row r="123" customFormat="false" ht="15" hidden="false" customHeight="false" outlineLevel="0" collapsed="false">
      <c r="A123" s="20" t="n">
        <v>45718</v>
      </c>
      <c r="B123" s="2" t="n">
        <v>20</v>
      </c>
      <c r="C123" s="2" t="s">
        <v>76</v>
      </c>
      <c r="D123" s="21" t="n">
        <v>177800</v>
      </c>
      <c r="E123" s="2" t="s">
        <v>52</v>
      </c>
      <c r="F123" s="2" t="s">
        <v>100</v>
      </c>
    </row>
    <row r="124" customFormat="false" ht="15" hidden="false" customHeight="false" outlineLevel="0" collapsed="false">
      <c r="A124" s="20" t="n">
        <v>45720</v>
      </c>
      <c r="B124" s="2" t="n">
        <v>1</v>
      </c>
      <c r="C124" s="2" t="s">
        <v>51</v>
      </c>
      <c r="D124" s="21" t="n">
        <v>107600</v>
      </c>
      <c r="E124" s="2" t="s">
        <v>52</v>
      </c>
      <c r="F124" s="2" t="s">
        <v>100</v>
      </c>
    </row>
    <row r="125" customFormat="false" ht="15" hidden="false" customHeight="false" outlineLevel="0" collapsed="false">
      <c r="A125" s="20" t="n">
        <v>45720</v>
      </c>
      <c r="B125" s="2" t="n">
        <v>4</v>
      </c>
      <c r="C125" s="2" t="s">
        <v>58</v>
      </c>
      <c r="D125" s="21" t="n">
        <v>85200</v>
      </c>
      <c r="E125" s="2" t="s">
        <v>52</v>
      </c>
      <c r="F125" s="2" t="s">
        <v>100</v>
      </c>
    </row>
    <row r="126" customFormat="false" ht="15" hidden="false" customHeight="false" outlineLevel="0" collapsed="false">
      <c r="A126" s="20" t="n">
        <v>45721</v>
      </c>
      <c r="B126" s="2" t="n">
        <v>13</v>
      </c>
      <c r="C126" s="2" t="s">
        <v>68</v>
      </c>
      <c r="D126" s="21" t="n">
        <v>42000</v>
      </c>
      <c r="E126" s="2" t="s">
        <v>52</v>
      </c>
      <c r="F126" s="2" t="s">
        <v>100</v>
      </c>
    </row>
    <row r="127" customFormat="false" ht="15" hidden="false" customHeight="false" outlineLevel="0" collapsed="false">
      <c r="A127" s="20" t="n">
        <v>45722</v>
      </c>
      <c r="B127" s="2" t="n">
        <v>3</v>
      </c>
      <c r="C127" s="2" t="s">
        <v>56</v>
      </c>
      <c r="D127" s="21" t="n">
        <v>160200</v>
      </c>
      <c r="E127" s="2" t="s">
        <v>52</v>
      </c>
      <c r="F127" s="2" t="s">
        <v>100</v>
      </c>
    </row>
    <row r="128" customFormat="false" ht="15" hidden="false" customHeight="false" outlineLevel="0" collapsed="false">
      <c r="A128" s="20" t="n">
        <v>45722</v>
      </c>
      <c r="B128" s="2" t="n">
        <v>6</v>
      </c>
      <c r="C128" s="2" t="s">
        <v>60</v>
      </c>
      <c r="D128" s="21" t="n">
        <v>51200</v>
      </c>
      <c r="E128" s="2" t="s">
        <v>52</v>
      </c>
      <c r="F128" s="2" t="s">
        <v>100</v>
      </c>
    </row>
    <row r="129" customFormat="false" ht="15" hidden="false" customHeight="false" outlineLevel="0" collapsed="false">
      <c r="A129" s="20" t="n">
        <v>45722</v>
      </c>
      <c r="B129" s="2" t="n">
        <v>15</v>
      </c>
      <c r="C129" s="2" t="s">
        <v>71</v>
      </c>
      <c r="D129" s="21" t="n">
        <v>93700</v>
      </c>
      <c r="E129" s="2" t="s">
        <v>52</v>
      </c>
      <c r="F129" s="2" t="s">
        <v>100</v>
      </c>
    </row>
    <row r="130" customFormat="false" ht="15" hidden="false" customHeight="false" outlineLevel="0" collapsed="false">
      <c r="A130" s="20" t="n">
        <v>45722</v>
      </c>
      <c r="B130" s="2" t="n">
        <v>17</v>
      </c>
      <c r="C130" s="2" t="s">
        <v>73</v>
      </c>
      <c r="D130" s="21" t="n">
        <v>52300</v>
      </c>
      <c r="E130" s="2" t="s">
        <v>52</v>
      </c>
      <c r="F130" s="2" t="s">
        <v>100</v>
      </c>
    </row>
    <row r="131" customFormat="false" ht="15" hidden="false" customHeight="false" outlineLevel="0" collapsed="false">
      <c r="A131" s="20" t="n">
        <v>45723</v>
      </c>
      <c r="B131" s="2" t="n">
        <v>5</v>
      </c>
      <c r="C131" s="2" t="s">
        <v>59</v>
      </c>
      <c r="D131" s="21" t="n">
        <v>187400</v>
      </c>
      <c r="E131" s="2" t="s">
        <v>52</v>
      </c>
      <c r="F131" s="2" t="s">
        <v>100</v>
      </c>
    </row>
    <row r="132" customFormat="false" ht="15" hidden="false" customHeight="false" outlineLevel="0" collapsed="false">
      <c r="A132" s="20" t="n">
        <v>45723</v>
      </c>
      <c r="B132" s="2" t="n">
        <v>7</v>
      </c>
      <c r="C132" s="2" t="s">
        <v>62</v>
      </c>
      <c r="D132" s="21" t="n">
        <v>36600</v>
      </c>
      <c r="E132" s="2" t="s">
        <v>52</v>
      </c>
      <c r="F132" s="2" t="s">
        <v>100</v>
      </c>
    </row>
    <row r="133" customFormat="false" ht="15" hidden="false" customHeight="false" outlineLevel="0" collapsed="false">
      <c r="A133" s="20" t="n">
        <v>45723</v>
      </c>
      <c r="B133" s="2" t="n">
        <v>10</v>
      </c>
      <c r="C133" s="2" t="s">
        <v>65</v>
      </c>
      <c r="D133" s="21" t="n">
        <v>51300</v>
      </c>
      <c r="E133" s="2" t="s">
        <v>52</v>
      </c>
      <c r="F133" s="2" t="s">
        <v>100</v>
      </c>
    </row>
    <row r="134" customFormat="false" ht="15" hidden="false" customHeight="false" outlineLevel="0" collapsed="false">
      <c r="A134" s="20" t="n">
        <v>45723</v>
      </c>
      <c r="B134" s="2" t="n">
        <v>19</v>
      </c>
      <c r="C134" s="2" t="s">
        <v>75</v>
      </c>
      <c r="D134" s="21" t="n">
        <v>113900</v>
      </c>
      <c r="E134" s="2" t="s">
        <v>52</v>
      </c>
      <c r="F134" s="2" t="s">
        <v>100</v>
      </c>
    </row>
    <row r="135" customFormat="false" ht="15" hidden="false" customHeight="false" outlineLevel="0" collapsed="false">
      <c r="A135" s="20" t="n">
        <v>45723</v>
      </c>
      <c r="B135" s="2" t="n">
        <v>21</v>
      </c>
      <c r="C135" s="2" t="s">
        <v>77</v>
      </c>
      <c r="D135" s="21" t="n">
        <v>89000</v>
      </c>
      <c r="E135" s="2" t="s">
        <v>52</v>
      </c>
      <c r="F135" s="2" t="s">
        <v>100</v>
      </c>
    </row>
    <row r="136" customFormat="false" ht="15" hidden="false" customHeight="false" outlineLevel="0" collapsed="false">
      <c r="A136" s="20" t="n">
        <v>45724</v>
      </c>
      <c r="B136" s="2" t="n">
        <v>14</v>
      </c>
      <c r="C136" s="2" t="s">
        <v>70</v>
      </c>
      <c r="D136" s="21" t="n">
        <v>95900</v>
      </c>
      <c r="E136" s="2" t="s">
        <v>52</v>
      </c>
      <c r="F136" s="2" t="s">
        <v>100</v>
      </c>
    </row>
    <row r="137" customFormat="false" ht="15" hidden="false" customHeight="false" outlineLevel="0" collapsed="false">
      <c r="A137" s="20" t="n">
        <v>45725</v>
      </c>
      <c r="B137" s="2" t="n">
        <v>20</v>
      </c>
      <c r="C137" s="2" t="s">
        <v>76</v>
      </c>
      <c r="D137" s="21" t="n">
        <v>177300</v>
      </c>
      <c r="E137" s="2" t="s">
        <v>52</v>
      </c>
      <c r="F137" s="2" t="s">
        <v>100</v>
      </c>
    </row>
    <row r="138" customFormat="false" ht="15" hidden="false" customHeight="false" outlineLevel="0" collapsed="false">
      <c r="A138" s="20" t="n">
        <v>45727</v>
      </c>
      <c r="B138" s="2" t="n">
        <v>1</v>
      </c>
      <c r="C138" s="2" t="s">
        <v>51</v>
      </c>
      <c r="D138" s="21" t="n">
        <v>81700</v>
      </c>
      <c r="E138" s="2" t="s">
        <v>52</v>
      </c>
      <c r="F138" s="2" t="s">
        <v>100</v>
      </c>
    </row>
    <row r="139" customFormat="false" ht="15" hidden="false" customHeight="false" outlineLevel="0" collapsed="false">
      <c r="A139" s="20" t="n">
        <v>45727</v>
      </c>
      <c r="B139" s="2" t="n">
        <v>3</v>
      </c>
      <c r="C139" s="2" t="s">
        <v>56</v>
      </c>
      <c r="D139" s="21" t="n">
        <v>146900</v>
      </c>
      <c r="E139" s="2" t="s">
        <v>52</v>
      </c>
      <c r="F139" s="2" t="s">
        <v>100</v>
      </c>
    </row>
    <row r="140" customFormat="false" ht="15" hidden="false" customHeight="false" outlineLevel="0" collapsed="false">
      <c r="A140" s="20" t="n">
        <v>45727</v>
      </c>
      <c r="B140" s="2" t="n">
        <v>4</v>
      </c>
      <c r="C140" s="2" t="s">
        <v>58</v>
      </c>
      <c r="D140" s="21" t="n">
        <v>127600</v>
      </c>
      <c r="E140" s="2" t="s">
        <v>52</v>
      </c>
      <c r="F140" s="2" t="s">
        <v>100</v>
      </c>
    </row>
    <row r="141" customFormat="false" ht="15" hidden="false" customHeight="false" outlineLevel="0" collapsed="false">
      <c r="A141" s="20" t="n">
        <v>45728</v>
      </c>
      <c r="B141" s="2" t="n">
        <v>13</v>
      </c>
      <c r="C141" s="2" t="s">
        <v>68</v>
      </c>
      <c r="D141" s="21" t="n">
        <v>62400</v>
      </c>
      <c r="E141" s="2" t="s">
        <v>52</v>
      </c>
      <c r="F141" s="2" t="s">
        <v>100</v>
      </c>
    </row>
    <row r="142" customFormat="false" ht="15" hidden="false" customHeight="false" outlineLevel="0" collapsed="false">
      <c r="A142" s="20" t="n">
        <v>45728</v>
      </c>
      <c r="B142" s="2" t="n">
        <v>14</v>
      </c>
      <c r="C142" s="2" t="s">
        <v>70</v>
      </c>
      <c r="D142" s="21" t="n">
        <v>73700</v>
      </c>
      <c r="E142" s="2" t="s">
        <v>52</v>
      </c>
      <c r="F142" s="2" t="s">
        <v>100</v>
      </c>
    </row>
    <row r="143" customFormat="false" ht="15" hidden="false" customHeight="false" outlineLevel="0" collapsed="false">
      <c r="A143" s="20" t="n">
        <v>45729</v>
      </c>
      <c r="B143" s="2" t="n">
        <v>5</v>
      </c>
      <c r="C143" s="2" t="s">
        <v>59</v>
      </c>
      <c r="D143" s="21" t="n">
        <v>176600</v>
      </c>
      <c r="E143" s="2" t="s">
        <v>52</v>
      </c>
      <c r="F143" s="2" t="s">
        <v>100</v>
      </c>
    </row>
    <row r="144" customFormat="false" ht="15" hidden="false" customHeight="false" outlineLevel="0" collapsed="false">
      <c r="A144" s="20" t="n">
        <v>45729</v>
      </c>
      <c r="B144" s="2" t="n">
        <v>15</v>
      </c>
      <c r="C144" s="2" t="s">
        <v>71</v>
      </c>
      <c r="D144" s="21" t="n">
        <v>98300</v>
      </c>
      <c r="E144" s="2" t="s">
        <v>52</v>
      </c>
      <c r="F144" s="2" t="s">
        <v>100</v>
      </c>
    </row>
    <row r="145" customFormat="false" ht="15" hidden="false" customHeight="false" outlineLevel="0" collapsed="false">
      <c r="A145" s="20" t="n">
        <v>45729</v>
      </c>
      <c r="B145" s="2" t="n">
        <v>17</v>
      </c>
      <c r="C145" s="2" t="s">
        <v>73</v>
      </c>
      <c r="D145" s="21" t="n">
        <v>59000</v>
      </c>
      <c r="E145" s="2" t="s">
        <v>52</v>
      </c>
      <c r="F145" s="2" t="s">
        <v>100</v>
      </c>
    </row>
    <row r="146" customFormat="false" ht="15" hidden="false" customHeight="false" outlineLevel="0" collapsed="false">
      <c r="A146" s="20" t="n">
        <v>45729</v>
      </c>
      <c r="B146" s="2" t="n">
        <v>21</v>
      </c>
      <c r="C146" s="2" t="s">
        <v>77</v>
      </c>
      <c r="D146" s="21" t="n">
        <v>62300</v>
      </c>
      <c r="E146" s="2" t="s">
        <v>52</v>
      </c>
      <c r="F146" s="2" t="s">
        <v>100</v>
      </c>
    </row>
    <row r="147" customFormat="false" ht="15" hidden="false" customHeight="false" outlineLevel="0" collapsed="false">
      <c r="A147" s="20" t="n">
        <v>45730</v>
      </c>
      <c r="B147" s="2" t="n">
        <v>10</v>
      </c>
      <c r="C147" s="2" t="s">
        <v>65</v>
      </c>
      <c r="D147" s="21" t="n">
        <v>68700</v>
      </c>
      <c r="E147" s="2" t="s">
        <v>52</v>
      </c>
      <c r="F147" s="2" t="s">
        <v>100</v>
      </c>
    </row>
    <row r="148" customFormat="false" ht="15" hidden="false" customHeight="false" outlineLevel="0" collapsed="false">
      <c r="A148" s="20" t="n">
        <v>45730</v>
      </c>
      <c r="B148" s="2" t="n">
        <v>19</v>
      </c>
      <c r="C148" s="2" t="s">
        <v>75</v>
      </c>
      <c r="D148" s="21" t="n">
        <v>69700</v>
      </c>
      <c r="E148" s="2" t="s">
        <v>52</v>
      </c>
      <c r="F148" s="2" t="s">
        <v>100</v>
      </c>
    </row>
    <row r="149" customFormat="false" ht="15" hidden="false" customHeight="false" outlineLevel="0" collapsed="false">
      <c r="A149" s="20" t="n">
        <v>45731</v>
      </c>
      <c r="B149" s="2" t="n">
        <v>6</v>
      </c>
      <c r="C149" s="2" t="s">
        <v>60</v>
      </c>
      <c r="D149" s="21" t="n">
        <v>64600</v>
      </c>
      <c r="E149" s="2" t="s">
        <v>52</v>
      </c>
      <c r="F149" s="2" t="s">
        <v>100</v>
      </c>
    </row>
    <row r="150" customFormat="false" ht="15" hidden="false" customHeight="false" outlineLevel="0" collapsed="false">
      <c r="A150" s="20" t="n">
        <v>45731</v>
      </c>
      <c r="B150" s="2" t="n">
        <v>7</v>
      </c>
      <c r="C150" s="2" t="s">
        <v>62</v>
      </c>
      <c r="D150" s="21" t="n">
        <v>36000</v>
      </c>
      <c r="E150" s="2" t="s">
        <v>52</v>
      </c>
      <c r="F150" s="2" t="s">
        <v>100</v>
      </c>
    </row>
    <row r="151" customFormat="false" ht="15" hidden="false" customHeight="false" outlineLevel="0" collapsed="false">
      <c r="A151" s="20" t="n">
        <v>45732</v>
      </c>
      <c r="B151" s="2" t="n">
        <v>4</v>
      </c>
      <c r="C151" s="2" t="s">
        <v>58</v>
      </c>
      <c r="D151" s="21" t="n">
        <v>119200</v>
      </c>
      <c r="E151" s="2" t="s">
        <v>52</v>
      </c>
      <c r="F151" s="2" t="s">
        <v>100</v>
      </c>
    </row>
    <row r="152" customFormat="false" ht="15" hidden="false" customHeight="false" outlineLevel="0" collapsed="false">
      <c r="A152" s="20" t="n">
        <v>45732</v>
      </c>
      <c r="B152" s="2" t="n">
        <v>14</v>
      </c>
      <c r="C152" s="2" t="s">
        <v>70</v>
      </c>
      <c r="D152" s="21" t="n">
        <v>89600</v>
      </c>
      <c r="E152" s="2" t="s">
        <v>52</v>
      </c>
      <c r="F152" s="2" t="s">
        <v>100</v>
      </c>
    </row>
    <row r="153" customFormat="false" ht="15" hidden="false" customHeight="false" outlineLevel="0" collapsed="false">
      <c r="A153" s="20" t="n">
        <v>45732</v>
      </c>
      <c r="B153" s="2" t="n">
        <v>19</v>
      </c>
      <c r="C153" s="2" t="s">
        <v>75</v>
      </c>
      <c r="D153" s="21" t="n">
        <v>70100</v>
      </c>
      <c r="E153" s="2" t="s">
        <v>52</v>
      </c>
      <c r="F153" s="2" t="s">
        <v>100</v>
      </c>
    </row>
    <row r="154" customFormat="false" ht="15" hidden="false" customHeight="false" outlineLevel="0" collapsed="false">
      <c r="A154" s="20" t="n">
        <v>45734</v>
      </c>
      <c r="B154" s="2" t="n">
        <v>3</v>
      </c>
      <c r="C154" s="2" t="s">
        <v>56</v>
      </c>
      <c r="D154" s="21" t="n">
        <v>115900</v>
      </c>
      <c r="E154" s="2" t="s">
        <v>52</v>
      </c>
      <c r="F154" s="2" t="s">
        <v>100</v>
      </c>
    </row>
    <row r="155" customFormat="false" ht="15" hidden="false" customHeight="false" outlineLevel="0" collapsed="false">
      <c r="A155" s="20" t="n">
        <v>45734</v>
      </c>
      <c r="B155" s="2" t="n">
        <v>19</v>
      </c>
      <c r="C155" s="2" t="s">
        <v>75</v>
      </c>
      <c r="D155" s="21" t="n">
        <v>90100</v>
      </c>
      <c r="E155" s="2" t="s">
        <v>52</v>
      </c>
      <c r="F155" s="2" t="s">
        <v>100</v>
      </c>
    </row>
    <row r="156" customFormat="false" ht="15" hidden="false" customHeight="false" outlineLevel="0" collapsed="false">
      <c r="A156" s="20" t="n">
        <v>45734</v>
      </c>
      <c r="B156" s="2" t="n">
        <v>20</v>
      </c>
      <c r="C156" s="2" t="s">
        <v>76</v>
      </c>
      <c r="D156" s="21" t="n">
        <v>168000</v>
      </c>
      <c r="E156" s="2" t="s">
        <v>52</v>
      </c>
      <c r="F156" s="2" t="s">
        <v>100</v>
      </c>
    </row>
    <row r="157" customFormat="false" ht="15" hidden="false" customHeight="false" outlineLevel="0" collapsed="false">
      <c r="A157" s="20" t="n">
        <v>45735</v>
      </c>
      <c r="B157" s="2" t="n">
        <v>5</v>
      </c>
      <c r="C157" s="2" t="s">
        <v>59</v>
      </c>
      <c r="D157" s="21" t="n">
        <v>167200</v>
      </c>
      <c r="E157" s="2" t="s">
        <v>52</v>
      </c>
      <c r="F157" s="2" t="s">
        <v>100</v>
      </c>
    </row>
    <row r="158" customFormat="false" ht="15" hidden="false" customHeight="false" outlineLevel="0" collapsed="false">
      <c r="A158" s="20" t="n">
        <v>45735</v>
      </c>
      <c r="B158" s="2" t="n">
        <v>13</v>
      </c>
      <c r="C158" s="2" t="s">
        <v>68</v>
      </c>
      <c r="D158" s="21" t="n">
        <v>42500</v>
      </c>
      <c r="E158" s="2" t="s">
        <v>52</v>
      </c>
      <c r="F158" s="2" t="s">
        <v>100</v>
      </c>
    </row>
    <row r="159" customFormat="false" ht="15" hidden="false" customHeight="false" outlineLevel="0" collapsed="false">
      <c r="A159" s="20" t="n">
        <v>45735</v>
      </c>
      <c r="B159" s="2" t="n">
        <v>21</v>
      </c>
      <c r="C159" s="2" t="s">
        <v>77</v>
      </c>
      <c r="D159" s="21" t="n">
        <v>81100</v>
      </c>
      <c r="E159" s="2" t="s">
        <v>52</v>
      </c>
      <c r="F159" s="2" t="s">
        <v>100</v>
      </c>
    </row>
    <row r="160" customFormat="false" ht="15" hidden="false" customHeight="false" outlineLevel="0" collapsed="false">
      <c r="A160" s="20" t="n">
        <v>45736</v>
      </c>
      <c r="B160" s="2" t="n">
        <v>15</v>
      </c>
      <c r="C160" s="2" t="s">
        <v>71</v>
      </c>
      <c r="D160" s="21" t="n">
        <v>121100</v>
      </c>
      <c r="E160" s="2" t="s">
        <v>52</v>
      </c>
      <c r="F160" s="2" t="s">
        <v>100</v>
      </c>
    </row>
    <row r="161" customFormat="false" ht="15" hidden="false" customHeight="false" outlineLevel="0" collapsed="false">
      <c r="A161" s="20" t="n">
        <v>45737</v>
      </c>
      <c r="B161" s="2" t="n">
        <v>7</v>
      </c>
      <c r="C161" s="2" t="s">
        <v>62</v>
      </c>
      <c r="D161" s="21" t="n">
        <v>40600</v>
      </c>
      <c r="E161" s="2" t="s">
        <v>52</v>
      </c>
      <c r="F161" s="2" t="s">
        <v>100</v>
      </c>
    </row>
    <row r="162" customFormat="false" ht="15" hidden="false" customHeight="false" outlineLevel="0" collapsed="false">
      <c r="A162" s="20" t="n">
        <v>45737</v>
      </c>
      <c r="B162" s="2" t="n">
        <v>14</v>
      </c>
      <c r="C162" s="2" t="s">
        <v>70</v>
      </c>
      <c r="D162" s="21" t="n">
        <v>84600</v>
      </c>
      <c r="E162" s="2" t="s">
        <v>52</v>
      </c>
      <c r="F162" s="2" t="s">
        <v>100</v>
      </c>
    </row>
    <row r="163" customFormat="false" ht="15" hidden="false" customHeight="false" outlineLevel="0" collapsed="false">
      <c r="A163" s="20" t="n">
        <v>45737</v>
      </c>
      <c r="B163" s="2" t="n">
        <v>17</v>
      </c>
      <c r="C163" s="2" t="s">
        <v>73</v>
      </c>
      <c r="D163" s="21" t="n">
        <v>45700</v>
      </c>
      <c r="E163" s="2" t="s">
        <v>52</v>
      </c>
      <c r="F163" s="2" t="s">
        <v>100</v>
      </c>
    </row>
    <row r="164" customFormat="false" ht="15" hidden="false" customHeight="false" outlineLevel="0" collapsed="false">
      <c r="A164" s="20" t="n">
        <v>45738</v>
      </c>
      <c r="B164" s="2" t="n">
        <v>10</v>
      </c>
      <c r="C164" s="2" t="s">
        <v>65</v>
      </c>
      <c r="D164" s="21" t="n">
        <v>55800</v>
      </c>
      <c r="E164" s="2" t="s">
        <v>52</v>
      </c>
      <c r="F164" s="2" t="s">
        <v>100</v>
      </c>
    </row>
    <row r="165" customFormat="false" ht="15" hidden="false" customHeight="false" outlineLevel="0" collapsed="false">
      <c r="A165" s="20" t="n">
        <v>45738</v>
      </c>
      <c r="B165" s="2" t="n">
        <v>19</v>
      </c>
      <c r="C165" s="2" t="s">
        <v>75</v>
      </c>
      <c r="D165" s="21" t="n">
        <v>76600</v>
      </c>
      <c r="E165" s="2" t="s">
        <v>52</v>
      </c>
      <c r="F165" s="2" t="s">
        <v>100</v>
      </c>
    </row>
    <row r="166" customFormat="false" ht="15" hidden="false" customHeight="false" outlineLevel="0" collapsed="false">
      <c r="A166" s="20" t="n">
        <v>45739</v>
      </c>
      <c r="B166" s="2" t="n">
        <v>3</v>
      </c>
      <c r="C166" s="2" t="s">
        <v>56</v>
      </c>
      <c r="D166" s="21" t="n">
        <v>132600</v>
      </c>
      <c r="E166" s="2" t="s">
        <v>52</v>
      </c>
      <c r="F166" s="2" t="s">
        <v>100</v>
      </c>
    </row>
    <row r="167" customFormat="false" ht="15" hidden="false" customHeight="false" outlineLevel="0" collapsed="false">
      <c r="A167" s="20" t="n">
        <v>45739</v>
      </c>
      <c r="B167" s="2" t="n">
        <v>4</v>
      </c>
      <c r="C167" s="2" t="s">
        <v>58</v>
      </c>
      <c r="D167" s="21" t="n">
        <v>133500</v>
      </c>
      <c r="E167" s="2" t="s">
        <v>52</v>
      </c>
      <c r="F167" s="2" t="s">
        <v>100</v>
      </c>
    </row>
    <row r="168" customFormat="false" ht="15" hidden="false" customHeight="false" outlineLevel="0" collapsed="false">
      <c r="A168" s="20" t="n">
        <v>45739</v>
      </c>
      <c r="B168" s="2" t="n">
        <v>6</v>
      </c>
      <c r="C168" s="2" t="s">
        <v>60</v>
      </c>
      <c r="D168" s="21" t="n">
        <v>42000</v>
      </c>
      <c r="E168" s="2" t="s">
        <v>52</v>
      </c>
      <c r="F168" s="2" t="s">
        <v>100</v>
      </c>
    </row>
    <row r="169" customFormat="false" ht="15" hidden="false" customHeight="false" outlineLevel="0" collapsed="false">
      <c r="A169" s="20" t="n">
        <v>45741</v>
      </c>
      <c r="B169" s="2" t="n">
        <v>1</v>
      </c>
      <c r="C169" s="2" t="s">
        <v>51</v>
      </c>
      <c r="D169" s="21" t="n">
        <v>113700</v>
      </c>
      <c r="E169" s="2" t="s">
        <v>52</v>
      </c>
      <c r="F169" s="2" t="s">
        <v>100</v>
      </c>
    </row>
    <row r="170" customFormat="false" ht="15" hidden="false" customHeight="false" outlineLevel="0" collapsed="false">
      <c r="A170" s="20" t="n">
        <v>45741</v>
      </c>
      <c r="B170" s="2" t="n">
        <v>20</v>
      </c>
      <c r="C170" s="2" t="s">
        <v>76</v>
      </c>
      <c r="D170" s="21" t="n">
        <v>137100</v>
      </c>
      <c r="E170" s="2" t="s">
        <v>52</v>
      </c>
      <c r="F170" s="2" t="s">
        <v>100</v>
      </c>
    </row>
    <row r="171" customFormat="false" ht="15" hidden="false" customHeight="false" outlineLevel="0" collapsed="false">
      <c r="A171" s="20" t="n">
        <v>45742</v>
      </c>
      <c r="B171" s="2" t="n">
        <v>21</v>
      </c>
      <c r="C171" s="2" t="s">
        <v>77</v>
      </c>
      <c r="D171" s="21" t="n">
        <v>69400</v>
      </c>
      <c r="E171" s="2" t="s">
        <v>52</v>
      </c>
      <c r="F171" s="2" t="s">
        <v>100</v>
      </c>
    </row>
    <row r="172" customFormat="false" ht="15" hidden="false" customHeight="false" outlineLevel="0" collapsed="false">
      <c r="A172" s="20" t="n">
        <v>45743</v>
      </c>
      <c r="B172" s="2" t="n">
        <v>5</v>
      </c>
      <c r="C172" s="2" t="s">
        <v>59</v>
      </c>
      <c r="D172" s="21" t="n">
        <v>194600</v>
      </c>
      <c r="E172" s="2" t="s">
        <v>52</v>
      </c>
      <c r="F172" s="2" t="s">
        <v>100</v>
      </c>
    </row>
    <row r="173" customFormat="false" ht="15" hidden="false" customHeight="false" outlineLevel="0" collapsed="false">
      <c r="A173" s="20" t="n">
        <v>45743</v>
      </c>
      <c r="B173" s="2" t="n">
        <v>7</v>
      </c>
      <c r="C173" s="2" t="s">
        <v>62</v>
      </c>
      <c r="D173" s="21" t="n">
        <v>56000</v>
      </c>
      <c r="E173" s="2" t="s">
        <v>52</v>
      </c>
      <c r="F173" s="2" t="s">
        <v>100</v>
      </c>
    </row>
    <row r="174" customFormat="false" ht="15" hidden="false" customHeight="false" outlineLevel="0" collapsed="false">
      <c r="A174" s="20" t="n">
        <v>45743</v>
      </c>
      <c r="B174" s="2" t="n">
        <v>13</v>
      </c>
      <c r="C174" s="2" t="s">
        <v>68</v>
      </c>
      <c r="D174" s="21" t="n">
        <v>54300</v>
      </c>
      <c r="E174" s="2" t="s">
        <v>52</v>
      </c>
      <c r="F174" s="2" t="s">
        <v>100</v>
      </c>
    </row>
    <row r="175" customFormat="false" ht="15" hidden="false" customHeight="false" outlineLevel="0" collapsed="false">
      <c r="A175" s="20" t="n">
        <v>45743</v>
      </c>
      <c r="B175" s="2" t="n">
        <v>14</v>
      </c>
      <c r="C175" s="2" t="s">
        <v>70</v>
      </c>
      <c r="D175" s="21" t="n">
        <v>66100</v>
      </c>
      <c r="E175" s="2" t="s">
        <v>52</v>
      </c>
      <c r="F175" s="2" t="s">
        <v>100</v>
      </c>
    </row>
    <row r="176" customFormat="false" ht="15" hidden="false" customHeight="false" outlineLevel="0" collapsed="false">
      <c r="A176" s="20" t="n">
        <v>45743</v>
      </c>
      <c r="B176" s="2" t="n">
        <v>15</v>
      </c>
      <c r="C176" s="2" t="s">
        <v>71</v>
      </c>
      <c r="D176" s="21" t="n">
        <v>118900</v>
      </c>
      <c r="E176" s="2" t="s">
        <v>52</v>
      </c>
      <c r="F176" s="2" t="s">
        <v>100</v>
      </c>
    </row>
    <row r="177" customFormat="false" ht="15" hidden="false" customHeight="false" outlineLevel="0" collapsed="false">
      <c r="A177" s="20" t="n">
        <v>45744</v>
      </c>
      <c r="B177" s="2" t="n">
        <v>19</v>
      </c>
      <c r="C177" s="2" t="s">
        <v>75</v>
      </c>
      <c r="D177" s="21" t="n">
        <v>115300</v>
      </c>
      <c r="E177" s="2" t="s">
        <v>52</v>
      </c>
      <c r="F177" s="2" t="s">
        <v>100</v>
      </c>
    </row>
    <row r="178" customFormat="false" ht="15" hidden="false" customHeight="false" outlineLevel="0" collapsed="false">
      <c r="A178" s="20" t="n">
        <v>45745</v>
      </c>
      <c r="B178" s="2" t="n">
        <v>10</v>
      </c>
      <c r="C178" s="2" t="s">
        <v>65</v>
      </c>
      <c r="D178" s="21" t="n">
        <v>52500</v>
      </c>
      <c r="E178" s="2" t="s">
        <v>52</v>
      </c>
      <c r="F178" s="2" t="s">
        <v>100</v>
      </c>
    </row>
    <row r="179" customFormat="false" ht="15" hidden="false" customHeight="false" outlineLevel="0" collapsed="false">
      <c r="A179" s="20" t="n">
        <v>45745</v>
      </c>
      <c r="B179" s="2" t="n">
        <v>17</v>
      </c>
      <c r="C179" s="2" t="s">
        <v>73</v>
      </c>
      <c r="D179" s="21" t="n">
        <v>52200</v>
      </c>
      <c r="E179" s="2" t="s">
        <v>52</v>
      </c>
      <c r="F179" s="2" t="s">
        <v>100</v>
      </c>
    </row>
    <row r="180" customFormat="false" ht="15" hidden="false" customHeight="false" outlineLevel="0" collapsed="false">
      <c r="A180" s="20" t="n">
        <v>45746</v>
      </c>
      <c r="B180" s="2" t="n">
        <v>3</v>
      </c>
      <c r="C180" s="2" t="s">
        <v>56</v>
      </c>
      <c r="D180" s="21" t="n">
        <v>138400</v>
      </c>
      <c r="E180" s="2" t="s">
        <v>52</v>
      </c>
      <c r="F180" s="2" t="s">
        <v>100</v>
      </c>
    </row>
    <row r="181" customFormat="false" ht="15" hidden="false" customHeight="false" outlineLevel="0" collapsed="false">
      <c r="A181" s="20" t="n">
        <v>45746</v>
      </c>
      <c r="B181" s="2" t="n">
        <v>4</v>
      </c>
      <c r="C181" s="2" t="s">
        <v>58</v>
      </c>
      <c r="D181" s="21" t="n">
        <v>109000</v>
      </c>
      <c r="E181" s="2" t="s">
        <v>52</v>
      </c>
      <c r="F181" s="2" t="s">
        <v>100</v>
      </c>
    </row>
    <row r="182" customFormat="false" ht="15" hidden="false" customHeight="false" outlineLevel="0" collapsed="false">
      <c r="A182" s="20" t="n">
        <v>45748</v>
      </c>
      <c r="B182" s="2" t="n">
        <v>1</v>
      </c>
      <c r="C182" s="2" t="s">
        <v>51</v>
      </c>
      <c r="D182" s="21" t="n">
        <v>103400</v>
      </c>
      <c r="E182" s="2" t="s">
        <v>52</v>
      </c>
      <c r="F182" s="2" t="s">
        <v>100</v>
      </c>
    </row>
    <row r="183" customFormat="false" ht="15" hidden="false" customHeight="false" outlineLevel="0" collapsed="false">
      <c r="A183" s="20" t="n">
        <v>45748</v>
      </c>
      <c r="B183" s="2" t="n">
        <v>6</v>
      </c>
      <c r="C183" s="2" t="s">
        <v>60</v>
      </c>
      <c r="D183" s="21" t="n">
        <v>62100</v>
      </c>
      <c r="E183" s="2" t="s">
        <v>52</v>
      </c>
      <c r="F183" s="2" t="s">
        <v>100</v>
      </c>
    </row>
    <row r="184" customFormat="false" ht="15" hidden="false" customHeight="false" outlineLevel="0" collapsed="false">
      <c r="A184" s="20" t="n">
        <v>45748</v>
      </c>
      <c r="B184" s="2" t="n">
        <v>19</v>
      </c>
      <c r="C184" s="2" t="s">
        <v>75</v>
      </c>
      <c r="D184" s="21" t="n">
        <v>86800</v>
      </c>
      <c r="E184" s="2" t="s">
        <v>52</v>
      </c>
      <c r="F184" s="2" t="s">
        <v>100</v>
      </c>
    </row>
    <row r="185" customFormat="false" ht="15" hidden="false" customHeight="false" outlineLevel="0" collapsed="false">
      <c r="A185" s="20" t="n">
        <v>45749</v>
      </c>
      <c r="B185" s="2" t="n">
        <v>7</v>
      </c>
      <c r="C185" s="2" t="s">
        <v>62</v>
      </c>
      <c r="D185" s="21" t="n">
        <v>40900</v>
      </c>
      <c r="E185" s="2" t="s">
        <v>52</v>
      </c>
      <c r="F185" s="2" t="s">
        <v>100</v>
      </c>
    </row>
    <row r="186" customFormat="false" ht="15" hidden="false" customHeight="false" outlineLevel="0" collapsed="false">
      <c r="A186" s="20" t="n">
        <v>45749</v>
      </c>
      <c r="B186" s="2" t="n">
        <v>14</v>
      </c>
      <c r="C186" s="2" t="s">
        <v>70</v>
      </c>
      <c r="D186" s="21" t="n">
        <v>97400</v>
      </c>
      <c r="E186" s="2" t="s">
        <v>52</v>
      </c>
      <c r="F186" s="2" t="s">
        <v>100</v>
      </c>
    </row>
    <row r="187" customFormat="false" ht="15" hidden="false" customHeight="false" outlineLevel="0" collapsed="false">
      <c r="A187" s="20" t="n">
        <v>45749</v>
      </c>
      <c r="B187" s="2" t="n">
        <v>20</v>
      </c>
      <c r="C187" s="2" t="s">
        <v>76</v>
      </c>
      <c r="D187" s="21" t="n">
        <v>117500</v>
      </c>
      <c r="E187" s="2" t="s">
        <v>52</v>
      </c>
      <c r="F187" s="2" t="s">
        <v>100</v>
      </c>
    </row>
    <row r="188" customFormat="false" ht="15" hidden="false" customHeight="false" outlineLevel="0" collapsed="false">
      <c r="A188" s="20" t="n">
        <v>45749</v>
      </c>
      <c r="B188" s="2" t="n">
        <v>21</v>
      </c>
      <c r="C188" s="2" t="s">
        <v>77</v>
      </c>
      <c r="D188" s="21" t="n">
        <v>75100</v>
      </c>
      <c r="E188" s="2" t="s">
        <v>52</v>
      </c>
      <c r="F188" s="2" t="s">
        <v>100</v>
      </c>
    </row>
    <row r="189" customFormat="false" ht="15" hidden="false" customHeight="false" outlineLevel="0" collapsed="false">
      <c r="A189" s="20" t="n">
        <v>45750</v>
      </c>
      <c r="B189" s="2" t="n">
        <v>15</v>
      </c>
      <c r="C189" s="2" t="s">
        <v>71</v>
      </c>
      <c r="D189" s="21" t="n">
        <v>138300</v>
      </c>
      <c r="E189" s="2" t="s">
        <v>52</v>
      </c>
      <c r="F189" s="2" t="s">
        <v>100</v>
      </c>
    </row>
    <row r="190" customFormat="false" ht="15" hidden="false" customHeight="false" outlineLevel="0" collapsed="false">
      <c r="A190" s="20" t="n">
        <v>45751</v>
      </c>
      <c r="B190" s="2" t="n">
        <v>3</v>
      </c>
      <c r="C190" s="2" t="s">
        <v>56</v>
      </c>
      <c r="D190" s="21" t="n">
        <v>160400</v>
      </c>
      <c r="E190" s="2" t="s">
        <v>52</v>
      </c>
      <c r="F190" s="2" t="s">
        <v>100</v>
      </c>
    </row>
    <row r="191" customFormat="false" ht="15" hidden="false" customHeight="false" outlineLevel="0" collapsed="false">
      <c r="A191" s="20" t="n">
        <v>45751</v>
      </c>
      <c r="B191" s="2" t="n">
        <v>5</v>
      </c>
      <c r="C191" s="2" t="s">
        <v>59</v>
      </c>
      <c r="D191" s="21" t="n">
        <v>152700</v>
      </c>
      <c r="E191" s="2" t="s">
        <v>52</v>
      </c>
      <c r="F191" s="2" t="s">
        <v>100</v>
      </c>
    </row>
    <row r="192" customFormat="false" ht="15" hidden="false" customHeight="false" outlineLevel="0" collapsed="false">
      <c r="A192" s="20" t="n">
        <v>45752</v>
      </c>
      <c r="B192" s="2" t="n">
        <v>4</v>
      </c>
      <c r="C192" s="2" t="s">
        <v>58</v>
      </c>
      <c r="D192" s="21" t="n">
        <v>138000</v>
      </c>
      <c r="E192" s="2" t="s">
        <v>52</v>
      </c>
      <c r="F192" s="2" t="s">
        <v>100</v>
      </c>
    </row>
    <row r="193" customFormat="false" ht="15" hidden="false" customHeight="false" outlineLevel="0" collapsed="false">
      <c r="A193" s="20" t="n">
        <v>45752</v>
      </c>
      <c r="B193" s="2" t="n">
        <v>13</v>
      </c>
      <c r="C193" s="2" t="s">
        <v>68</v>
      </c>
      <c r="D193" s="21" t="n">
        <v>44600</v>
      </c>
      <c r="E193" s="2" t="s">
        <v>52</v>
      </c>
      <c r="F193" s="2" t="s">
        <v>100</v>
      </c>
    </row>
    <row r="194" customFormat="false" ht="15" hidden="false" customHeight="false" outlineLevel="0" collapsed="false">
      <c r="A194" s="20" t="n">
        <v>45752</v>
      </c>
      <c r="B194" s="2" t="n">
        <v>19</v>
      </c>
      <c r="C194" s="2" t="s">
        <v>75</v>
      </c>
      <c r="D194" s="21" t="n">
        <v>77700</v>
      </c>
      <c r="E194" s="2" t="s">
        <v>52</v>
      </c>
      <c r="F194" s="2" t="s">
        <v>100</v>
      </c>
    </row>
    <row r="195" customFormat="false" ht="15" hidden="false" customHeight="false" outlineLevel="0" collapsed="false">
      <c r="A195" s="20" t="n">
        <v>45753</v>
      </c>
      <c r="B195" s="2" t="n">
        <v>10</v>
      </c>
      <c r="C195" s="2" t="s">
        <v>65</v>
      </c>
      <c r="D195" s="21" t="n">
        <v>54500</v>
      </c>
      <c r="E195" s="2" t="s">
        <v>52</v>
      </c>
      <c r="F195" s="2" t="s">
        <v>100</v>
      </c>
    </row>
    <row r="196" customFormat="false" ht="15" hidden="false" customHeight="false" outlineLevel="0" collapsed="false">
      <c r="A196" s="20" t="n">
        <v>45753</v>
      </c>
      <c r="B196" s="2" t="n">
        <v>14</v>
      </c>
      <c r="C196" s="2" t="s">
        <v>70</v>
      </c>
      <c r="D196" s="21" t="n">
        <v>62600</v>
      </c>
      <c r="E196" s="2" t="s">
        <v>52</v>
      </c>
      <c r="F196" s="2" t="s">
        <v>100</v>
      </c>
    </row>
    <row r="197" customFormat="false" ht="15" hidden="false" customHeight="false" outlineLevel="0" collapsed="false">
      <c r="A197" s="20" t="n">
        <v>45753</v>
      </c>
      <c r="B197" s="2" t="n">
        <v>17</v>
      </c>
      <c r="C197" s="2" t="s">
        <v>73</v>
      </c>
      <c r="D197" s="21" t="n">
        <v>42200</v>
      </c>
      <c r="E197" s="2" t="s">
        <v>52</v>
      </c>
      <c r="F197" s="2" t="s">
        <v>100</v>
      </c>
    </row>
    <row r="198" customFormat="false" ht="15" hidden="false" customHeight="false" outlineLevel="0" collapsed="false">
      <c r="A198" s="20" t="n">
        <v>45755</v>
      </c>
      <c r="B198" s="2" t="n">
        <v>1</v>
      </c>
      <c r="C198" s="2" t="s">
        <v>51</v>
      </c>
      <c r="D198" s="21" t="n">
        <v>89300</v>
      </c>
      <c r="E198" s="2" t="s">
        <v>52</v>
      </c>
      <c r="F198" s="2" t="s">
        <v>100</v>
      </c>
    </row>
    <row r="199" customFormat="false" ht="15" hidden="false" customHeight="false" outlineLevel="0" collapsed="false">
      <c r="A199" s="20" t="n">
        <v>45755</v>
      </c>
      <c r="B199" s="2" t="n">
        <v>6</v>
      </c>
      <c r="C199" s="2" t="s">
        <v>60</v>
      </c>
      <c r="D199" s="21" t="n">
        <v>63800</v>
      </c>
      <c r="E199" s="2" t="s">
        <v>52</v>
      </c>
      <c r="F199" s="2" t="s">
        <v>100</v>
      </c>
    </row>
    <row r="200" customFormat="false" ht="15" hidden="false" customHeight="false" outlineLevel="0" collapsed="false">
      <c r="A200" s="20" t="n">
        <v>45755</v>
      </c>
      <c r="B200" s="2" t="n">
        <v>19</v>
      </c>
      <c r="C200" s="2" t="s">
        <v>75</v>
      </c>
      <c r="D200" s="21" t="n">
        <v>118400</v>
      </c>
      <c r="E200" s="2" t="s">
        <v>52</v>
      </c>
      <c r="F200" s="2" t="s">
        <v>100</v>
      </c>
    </row>
    <row r="201" customFormat="false" ht="15" hidden="false" customHeight="false" outlineLevel="0" collapsed="false">
      <c r="A201" s="20" t="n">
        <v>45756</v>
      </c>
      <c r="B201" s="2" t="n">
        <v>21</v>
      </c>
      <c r="C201" s="2" t="s">
        <v>77</v>
      </c>
      <c r="D201" s="21" t="n">
        <v>80900</v>
      </c>
      <c r="E201" s="2" t="s">
        <v>52</v>
      </c>
      <c r="F201" s="2" t="s">
        <v>100</v>
      </c>
    </row>
    <row r="202" customFormat="false" ht="15" hidden="false" customHeight="false" outlineLevel="0" collapsed="false">
      <c r="A202" s="20" t="n">
        <v>45757</v>
      </c>
      <c r="B202" s="2" t="n">
        <v>7</v>
      </c>
      <c r="C202" s="2" t="s">
        <v>62</v>
      </c>
      <c r="D202" s="21" t="n">
        <v>53900</v>
      </c>
      <c r="E202" s="2" t="s">
        <v>52</v>
      </c>
      <c r="F202" s="2" t="s">
        <v>100</v>
      </c>
    </row>
    <row r="203" customFormat="false" ht="15" hidden="false" customHeight="false" outlineLevel="0" collapsed="false">
      <c r="A203" s="20" t="n">
        <v>45757</v>
      </c>
      <c r="B203" s="2" t="n">
        <v>15</v>
      </c>
      <c r="C203" s="2" t="s">
        <v>71</v>
      </c>
      <c r="D203" s="21" t="n">
        <v>117400</v>
      </c>
      <c r="E203" s="2" t="s">
        <v>52</v>
      </c>
      <c r="F203" s="2" t="s">
        <v>100</v>
      </c>
    </row>
    <row r="204" customFormat="false" ht="15" hidden="false" customHeight="false" outlineLevel="0" collapsed="false">
      <c r="A204" s="20" t="n">
        <v>45758</v>
      </c>
      <c r="B204" s="2" t="n">
        <v>3</v>
      </c>
      <c r="C204" s="2" t="s">
        <v>56</v>
      </c>
      <c r="D204" s="21" t="n">
        <v>156500</v>
      </c>
      <c r="E204" s="2" t="s">
        <v>52</v>
      </c>
      <c r="F204" s="2" t="s">
        <v>100</v>
      </c>
    </row>
    <row r="205" customFormat="false" ht="15" hidden="false" customHeight="false" outlineLevel="0" collapsed="false">
      <c r="A205" s="20" t="n">
        <v>45758</v>
      </c>
      <c r="B205" s="2" t="n">
        <v>14</v>
      </c>
      <c r="C205" s="2" t="s">
        <v>70</v>
      </c>
      <c r="D205" s="21" t="n">
        <v>62100</v>
      </c>
      <c r="E205" s="2" t="s">
        <v>52</v>
      </c>
      <c r="F205" s="2" t="s">
        <v>100</v>
      </c>
    </row>
    <row r="206" customFormat="false" ht="15" hidden="false" customHeight="false" outlineLevel="0" collapsed="false">
      <c r="A206" s="20" t="n">
        <v>45758</v>
      </c>
      <c r="B206" s="2" t="n">
        <v>19</v>
      </c>
      <c r="C206" s="2" t="s">
        <v>75</v>
      </c>
      <c r="D206" s="21" t="n">
        <v>84300</v>
      </c>
      <c r="E206" s="2" t="s">
        <v>52</v>
      </c>
      <c r="F206" s="2" t="s">
        <v>100</v>
      </c>
    </row>
    <row r="207" customFormat="false" ht="15" hidden="false" customHeight="false" outlineLevel="0" collapsed="false">
      <c r="A207" s="20" t="n">
        <v>45758</v>
      </c>
      <c r="B207" s="2" t="n">
        <v>20</v>
      </c>
      <c r="C207" s="2" t="s">
        <v>76</v>
      </c>
      <c r="D207" s="21" t="n">
        <v>114800</v>
      </c>
      <c r="E207" s="2" t="s">
        <v>52</v>
      </c>
      <c r="F207" s="2" t="s">
        <v>100</v>
      </c>
    </row>
    <row r="208" customFormat="false" ht="15" hidden="false" customHeight="false" outlineLevel="0" collapsed="false">
      <c r="A208" s="20" t="n">
        <v>45759</v>
      </c>
      <c r="B208" s="2" t="n">
        <v>4</v>
      </c>
      <c r="C208" s="2" t="s">
        <v>58</v>
      </c>
      <c r="D208" s="21" t="n">
        <v>108100</v>
      </c>
      <c r="E208" s="2" t="s">
        <v>52</v>
      </c>
      <c r="F208" s="2" t="s">
        <v>100</v>
      </c>
    </row>
    <row r="209" customFormat="false" ht="15" hidden="false" customHeight="false" outlineLevel="0" collapsed="false">
      <c r="A209" s="20" t="n">
        <v>45759</v>
      </c>
      <c r="B209" s="2" t="n">
        <v>5</v>
      </c>
      <c r="C209" s="2" t="s">
        <v>59</v>
      </c>
      <c r="D209" s="21" t="n">
        <v>172000</v>
      </c>
      <c r="E209" s="2" t="s">
        <v>52</v>
      </c>
      <c r="F209" s="2" t="s">
        <v>100</v>
      </c>
    </row>
    <row r="210" customFormat="false" ht="15" hidden="false" customHeight="false" outlineLevel="0" collapsed="false">
      <c r="A210" s="20" t="n">
        <v>45759</v>
      </c>
      <c r="B210" s="2" t="n">
        <v>10</v>
      </c>
      <c r="C210" s="2" t="s">
        <v>65</v>
      </c>
      <c r="D210" s="21" t="n">
        <v>65700</v>
      </c>
      <c r="E210" s="2" t="s">
        <v>52</v>
      </c>
      <c r="F210" s="2" t="s">
        <v>100</v>
      </c>
    </row>
    <row r="211" customFormat="false" ht="15" hidden="false" customHeight="false" outlineLevel="0" collapsed="false">
      <c r="A211" s="20" t="n">
        <v>45759</v>
      </c>
      <c r="B211" s="2" t="n">
        <v>13</v>
      </c>
      <c r="C211" s="2" t="s">
        <v>68</v>
      </c>
      <c r="D211" s="21" t="n">
        <v>57200</v>
      </c>
      <c r="E211" s="2" t="s">
        <v>52</v>
      </c>
      <c r="F211" s="2" t="s">
        <v>100</v>
      </c>
    </row>
    <row r="212" customFormat="false" ht="15" hidden="false" customHeight="false" outlineLevel="0" collapsed="false">
      <c r="A212" s="20" t="n">
        <v>45760</v>
      </c>
      <c r="B212" s="2" t="n">
        <v>19</v>
      </c>
      <c r="C212" s="2" t="s">
        <v>75</v>
      </c>
      <c r="D212" s="21" t="n">
        <v>102100</v>
      </c>
      <c r="E212" s="2" t="s">
        <v>52</v>
      </c>
      <c r="F212" s="2" t="s">
        <v>100</v>
      </c>
    </row>
    <row r="213" customFormat="false" ht="15" hidden="false" customHeight="false" outlineLevel="0" collapsed="false">
      <c r="A213" s="20" t="n">
        <v>45762</v>
      </c>
      <c r="B213" s="2" t="n">
        <v>14</v>
      </c>
      <c r="C213" s="2" t="s">
        <v>70</v>
      </c>
      <c r="D213" s="21" t="n">
        <v>84100</v>
      </c>
      <c r="E213" s="2" t="s">
        <v>52</v>
      </c>
      <c r="F213" s="2" t="s">
        <v>100</v>
      </c>
    </row>
    <row r="214" customFormat="false" ht="15" hidden="false" customHeight="false" outlineLevel="0" collapsed="false">
      <c r="A214" s="20" t="n">
        <v>45762</v>
      </c>
      <c r="B214" s="2" t="n">
        <v>19</v>
      </c>
      <c r="C214" s="2" t="s">
        <v>75</v>
      </c>
      <c r="D214" s="21" t="n">
        <v>99700</v>
      </c>
      <c r="E214" s="2" t="s">
        <v>52</v>
      </c>
      <c r="F214" s="2" t="s">
        <v>100</v>
      </c>
    </row>
    <row r="215" customFormat="false" ht="15" hidden="false" customHeight="false" outlineLevel="0" collapsed="false">
      <c r="A215" s="20" t="n">
        <v>45763</v>
      </c>
      <c r="B215" s="2" t="n">
        <v>7</v>
      </c>
      <c r="C215" s="2" t="s">
        <v>62</v>
      </c>
      <c r="D215" s="21" t="n">
        <v>35700</v>
      </c>
      <c r="E215" s="2" t="s">
        <v>52</v>
      </c>
      <c r="F215" s="2" t="s">
        <v>100</v>
      </c>
    </row>
    <row r="216" customFormat="false" ht="15" hidden="false" customHeight="false" outlineLevel="0" collapsed="false">
      <c r="A216" s="20" t="n">
        <v>45763</v>
      </c>
      <c r="B216" s="2" t="n">
        <v>15</v>
      </c>
      <c r="C216" s="2" t="s">
        <v>71</v>
      </c>
      <c r="D216" s="21" t="n">
        <v>109800</v>
      </c>
      <c r="E216" s="2" t="s">
        <v>52</v>
      </c>
      <c r="F216" s="2" t="s">
        <v>100</v>
      </c>
    </row>
    <row r="217" customFormat="false" ht="15" hidden="false" customHeight="false" outlineLevel="0" collapsed="false">
      <c r="A217" s="20" t="n">
        <v>45764</v>
      </c>
      <c r="B217" s="2" t="n">
        <v>3</v>
      </c>
      <c r="C217" s="2" t="s">
        <v>56</v>
      </c>
      <c r="D217" s="21" t="n">
        <v>127600</v>
      </c>
      <c r="E217" s="2" t="s">
        <v>52</v>
      </c>
      <c r="F217" s="2" t="s">
        <v>100</v>
      </c>
    </row>
    <row r="218" customFormat="false" ht="15" hidden="false" customHeight="false" outlineLevel="0" collapsed="false">
      <c r="A218" s="20" t="n">
        <v>45764</v>
      </c>
      <c r="B218" s="2" t="n">
        <v>6</v>
      </c>
      <c r="C218" s="2" t="s">
        <v>60</v>
      </c>
      <c r="D218" s="21" t="n">
        <v>48500</v>
      </c>
      <c r="E218" s="2" t="s">
        <v>52</v>
      </c>
      <c r="F218" s="2" t="s">
        <v>100</v>
      </c>
    </row>
    <row r="219" customFormat="false" ht="15" hidden="false" customHeight="false" outlineLevel="0" collapsed="false">
      <c r="A219" s="20" t="n">
        <v>45764</v>
      </c>
      <c r="B219" s="2" t="n">
        <v>21</v>
      </c>
      <c r="C219" s="2" t="s">
        <v>77</v>
      </c>
      <c r="D219" s="21" t="n">
        <v>69000</v>
      </c>
      <c r="E219" s="2" t="s">
        <v>52</v>
      </c>
      <c r="F219" s="2" t="s">
        <v>100</v>
      </c>
    </row>
    <row r="220" customFormat="false" ht="15" hidden="false" customHeight="false" outlineLevel="0" collapsed="false">
      <c r="A220" s="20" t="n">
        <v>45765</v>
      </c>
      <c r="B220" s="2" t="n">
        <v>4</v>
      </c>
      <c r="C220" s="2" t="s">
        <v>58</v>
      </c>
      <c r="D220" s="21" t="n">
        <v>87800</v>
      </c>
      <c r="E220" s="2" t="s">
        <v>52</v>
      </c>
      <c r="F220" s="2" t="s">
        <v>100</v>
      </c>
    </row>
    <row r="221" customFormat="false" ht="15" hidden="false" customHeight="false" outlineLevel="0" collapsed="false">
      <c r="A221" s="20" t="n">
        <v>45765</v>
      </c>
      <c r="B221" s="2" t="n">
        <v>5</v>
      </c>
      <c r="C221" s="2" t="s">
        <v>59</v>
      </c>
      <c r="D221" s="21" t="n">
        <v>152300</v>
      </c>
      <c r="E221" s="2" t="s">
        <v>52</v>
      </c>
      <c r="F221" s="2" t="s">
        <v>100</v>
      </c>
    </row>
    <row r="222" customFormat="false" ht="15" hidden="false" customHeight="false" outlineLevel="0" collapsed="false">
      <c r="A222" s="20" t="n">
        <v>45765</v>
      </c>
      <c r="B222" s="2" t="n">
        <v>19</v>
      </c>
      <c r="C222" s="2" t="s">
        <v>75</v>
      </c>
      <c r="D222" s="21" t="n">
        <v>112500</v>
      </c>
      <c r="E222" s="2" t="s">
        <v>52</v>
      </c>
      <c r="F222" s="2" t="s">
        <v>100</v>
      </c>
    </row>
    <row r="223" customFormat="false" ht="15" hidden="false" customHeight="false" outlineLevel="0" collapsed="false">
      <c r="A223" s="20" t="n">
        <v>45766</v>
      </c>
      <c r="B223" s="2" t="n">
        <v>10</v>
      </c>
      <c r="C223" s="2" t="s">
        <v>65</v>
      </c>
      <c r="D223" s="21" t="n">
        <v>64100</v>
      </c>
      <c r="E223" s="2" t="s">
        <v>52</v>
      </c>
      <c r="F223" s="2" t="s">
        <v>100</v>
      </c>
    </row>
    <row r="224" customFormat="false" ht="15" hidden="false" customHeight="false" outlineLevel="0" collapsed="false">
      <c r="A224" s="20" t="n">
        <v>45766</v>
      </c>
      <c r="B224" s="2" t="n">
        <v>13</v>
      </c>
      <c r="C224" s="2" t="s">
        <v>68</v>
      </c>
      <c r="D224" s="21" t="n">
        <v>54600</v>
      </c>
      <c r="E224" s="2" t="s">
        <v>52</v>
      </c>
      <c r="F224" s="2" t="s">
        <v>100</v>
      </c>
    </row>
    <row r="225" customFormat="false" ht="15" hidden="false" customHeight="false" outlineLevel="0" collapsed="false">
      <c r="A225" s="20" t="n">
        <v>45766</v>
      </c>
      <c r="B225" s="2" t="n">
        <v>20</v>
      </c>
      <c r="C225" s="2" t="s">
        <v>76</v>
      </c>
      <c r="D225" s="21" t="n">
        <v>163500</v>
      </c>
      <c r="E225" s="2" t="s">
        <v>52</v>
      </c>
      <c r="F225" s="2" t="s">
        <v>100</v>
      </c>
    </row>
    <row r="226" customFormat="false" ht="15" hidden="false" customHeight="false" outlineLevel="0" collapsed="false">
      <c r="A226" s="20" t="n">
        <v>45767</v>
      </c>
      <c r="B226" s="2" t="n">
        <v>17</v>
      </c>
      <c r="C226" s="2" t="s">
        <v>73</v>
      </c>
      <c r="D226" s="21" t="n">
        <v>56800</v>
      </c>
      <c r="E226" s="2" t="s">
        <v>52</v>
      </c>
      <c r="F226" s="2" t="s">
        <v>100</v>
      </c>
    </row>
    <row r="227" customFormat="false" ht="15" hidden="false" customHeight="false" outlineLevel="0" collapsed="false">
      <c r="A227" s="20" t="n">
        <v>45769</v>
      </c>
      <c r="B227" s="2" t="n">
        <v>7</v>
      </c>
      <c r="C227" s="2" t="s">
        <v>62</v>
      </c>
      <c r="D227" s="21" t="n">
        <v>52000</v>
      </c>
      <c r="E227" s="2" t="s">
        <v>52</v>
      </c>
      <c r="F227" s="2" t="s">
        <v>100</v>
      </c>
    </row>
    <row r="228" customFormat="false" ht="15" hidden="false" customHeight="false" outlineLevel="0" collapsed="false">
      <c r="A228" s="20" t="n">
        <v>45769</v>
      </c>
      <c r="B228" s="2" t="n">
        <v>15</v>
      </c>
      <c r="C228" s="2" t="s">
        <v>71</v>
      </c>
      <c r="D228" s="21" t="n">
        <v>142600</v>
      </c>
      <c r="E228" s="2" t="s">
        <v>52</v>
      </c>
      <c r="F228" s="2" t="s">
        <v>100</v>
      </c>
    </row>
    <row r="229" customFormat="false" ht="15" hidden="false" customHeight="false" outlineLevel="0" collapsed="false">
      <c r="A229" s="20" t="n">
        <v>45770</v>
      </c>
      <c r="B229" s="2" t="n">
        <v>3</v>
      </c>
      <c r="C229" s="2" t="s">
        <v>56</v>
      </c>
      <c r="D229" s="21" t="n">
        <v>170800</v>
      </c>
      <c r="E229" s="2" t="s">
        <v>52</v>
      </c>
      <c r="F229" s="2" t="s">
        <v>100</v>
      </c>
    </row>
    <row r="230" customFormat="false" ht="15" hidden="false" customHeight="false" outlineLevel="0" collapsed="false">
      <c r="A230" s="20" t="n">
        <v>45771</v>
      </c>
      <c r="B230" s="2" t="n">
        <v>4</v>
      </c>
      <c r="C230" s="2" t="s">
        <v>58</v>
      </c>
      <c r="D230" s="21" t="n">
        <v>124000</v>
      </c>
      <c r="E230" s="2" t="s">
        <v>52</v>
      </c>
      <c r="F230" s="2" t="s">
        <v>100</v>
      </c>
    </row>
    <row r="231" customFormat="false" ht="15" hidden="false" customHeight="false" outlineLevel="0" collapsed="false">
      <c r="A231" s="20" t="n">
        <v>45771</v>
      </c>
      <c r="B231" s="2" t="n">
        <v>19</v>
      </c>
      <c r="C231" s="2" t="s">
        <v>75</v>
      </c>
      <c r="D231" s="21" t="n">
        <v>71400</v>
      </c>
      <c r="E231" s="2" t="s">
        <v>52</v>
      </c>
      <c r="F231" s="2" t="s">
        <v>100</v>
      </c>
    </row>
    <row r="232" customFormat="false" ht="15" hidden="false" customHeight="false" outlineLevel="0" collapsed="false">
      <c r="A232" s="20" t="n">
        <v>45772</v>
      </c>
      <c r="B232" s="2" t="n">
        <v>5</v>
      </c>
      <c r="C232" s="2" t="s">
        <v>59</v>
      </c>
      <c r="D232" s="21" t="n">
        <v>173100</v>
      </c>
      <c r="E232" s="2" t="s">
        <v>52</v>
      </c>
      <c r="F232" s="2" t="s">
        <v>100</v>
      </c>
    </row>
    <row r="233" customFormat="false" ht="15" hidden="false" customHeight="false" outlineLevel="0" collapsed="false">
      <c r="A233" s="20" t="n">
        <v>45772</v>
      </c>
      <c r="B233" s="2" t="n">
        <v>21</v>
      </c>
      <c r="C233" s="2" t="s">
        <v>77</v>
      </c>
      <c r="D233" s="21" t="n">
        <v>75200</v>
      </c>
      <c r="E233" s="2" t="s">
        <v>52</v>
      </c>
      <c r="F233" s="2" t="s">
        <v>100</v>
      </c>
    </row>
    <row r="234" customFormat="false" ht="15" hidden="false" customHeight="false" outlineLevel="0" collapsed="false">
      <c r="A234" s="20" t="n">
        <v>45773</v>
      </c>
      <c r="B234" s="2" t="n">
        <v>6</v>
      </c>
      <c r="C234" s="2" t="s">
        <v>60</v>
      </c>
      <c r="D234" s="21" t="n">
        <v>61000</v>
      </c>
      <c r="E234" s="2" t="s">
        <v>52</v>
      </c>
      <c r="F234" s="2" t="s">
        <v>100</v>
      </c>
    </row>
    <row r="235" customFormat="false" ht="15" hidden="false" customHeight="false" outlineLevel="0" collapsed="false">
      <c r="A235" s="20" t="n">
        <v>45773</v>
      </c>
      <c r="B235" s="2" t="n">
        <v>14</v>
      </c>
      <c r="C235" s="2" t="s">
        <v>70</v>
      </c>
      <c r="D235" s="21" t="n">
        <v>85200</v>
      </c>
      <c r="E235" s="2" t="s">
        <v>52</v>
      </c>
      <c r="F235" s="2" t="s">
        <v>100</v>
      </c>
    </row>
    <row r="236" customFormat="false" ht="15" hidden="false" customHeight="false" outlineLevel="0" collapsed="false">
      <c r="A236" s="20" t="n">
        <v>45773</v>
      </c>
      <c r="B236" s="2" t="n">
        <v>17</v>
      </c>
      <c r="C236" s="2" t="s">
        <v>73</v>
      </c>
      <c r="D236" s="21" t="n">
        <v>62000</v>
      </c>
      <c r="E236" s="2" t="s">
        <v>52</v>
      </c>
      <c r="F236" s="2" t="s">
        <v>100</v>
      </c>
    </row>
    <row r="237" customFormat="false" ht="15" hidden="false" customHeight="false" outlineLevel="0" collapsed="false">
      <c r="A237" s="20" t="n">
        <v>45774</v>
      </c>
      <c r="B237" s="2" t="n">
        <v>10</v>
      </c>
      <c r="C237" s="2" t="s">
        <v>65</v>
      </c>
      <c r="D237" s="21" t="n">
        <v>49500</v>
      </c>
      <c r="E237" s="2" t="s">
        <v>52</v>
      </c>
      <c r="F237" s="2" t="s">
        <v>100</v>
      </c>
    </row>
    <row r="238" customFormat="false" ht="15" hidden="false" customHeight="false" outlineLevel="0" collapsed="false">
      <c r="A238" s="20" t="n">
        <v>45774</v>
      </c>
      <c r="B238" s="2" t="n">
        <v>15</v>
      </c>
      <c r="C238" s="2" t="s">
        <v>71</v>
      </c>
      <c r="D238" s="21" t="n">
        <v>143700</v>
      </c>
      <c r="E238" s="2" t="s">
        <v>52</v>
      </c>
      <c r="F238" s="2" t="s">
        <v>100</v>
      </c>
    </row>
    <row r="239" customFormat="false" ht="15" hidden="false" customHeight="false" outlineLevel="0" collapsed="false">
      <c r="A239" s="20" t="n">
        <v>45774</v>
      </c>
      <c r="B239" s="2" t="n">
        <v>20</v>
      </c>
      <c r="C239" s="2" t="s">
        <v>76</v>
      </c>
      <c r="D239" s="21" t="n">
        <v>175000</v>
      </c>
      <c r="E239" s="2" t="s">
        <v>52</v>
      </c>
      <c r="F239" s="2" t="s">
        <v>100</v>
      </c>
    </row>
    <row r="240" customFormat="false" ht="15" hidden="false" customHeight="false" outlineLevel="0" collapsed="false">
      <c r="A240" s="20" t="n">
        <v>45777</v>
      </c>
      <c r="B240" s="2" t="n">
        <v>3</v>
      </c>
      <c r="C240" s="2" t="s">
        <v>56</v>
      </c>
      <c r="D240" s="21" t="n">
        <v>138300</v>
      </c>
      <c r="E240" s="2" t="s">
        <v>52</v>
      </c>
      <c r="F240" s="2" t="s">
        <v>100</v>
      </c>
    </row>
    <row r="241" customFormat="false" ht="15" hidden="false" customHeight="false" outlineLevel="0" collapsed="false">
      <c r="A241" s="20" t="n">
        <v>45777</v>
      </c>
      <c r="B241" s="2" t="n">
        <v>19</v>
      </c>
      <c r="C241" s="2" t="s">
        <v>75</v>
      </c>
      <c r="D241" s="21" t="n">
        <v>94800</v>
      </c>
      <c r="E241" s="2" t="s">
        <v>52</v>
      </c>
      <c r="F241" s="2" t="s">
        <v>100</v>
      </c>
    </row>
    <row r="242" customFormat="false" ht="15" hidden="false" customHeight="false" outlineLevel="0" collapsed="false">
      <c r="A242" s="20" t="n">
        <v>45778</v>
      </c>
      <c r="B242" s="2" t="n">
        <v>4</v>
      </c>
      <c r="C242" s="2" t="s">
        <v>58</v>
      </c>
      <c r="D242" s="21" t="n">
        <v>122200</v>
      </c>
      <c r="E242" s="2" t="s">
        <v>52</v>
      </c>
      <c r="F242" s="2" t="s">
        <v>100</v>
      </c>
    </row>
    <row r="243" customFormat="false" ht="15" hidden="false" customHeight="false" outlineLevel="0" collapsed="false">
      <c r="A243" s="20" t="n">
        <v>45779</v>
      </c>
      <c r="B243" s="2" t="n">
        <v>5</v>
      </c>
      <c r="C243" s="2" t="s">
        <v>59</v>
      </c>
      <c r="D243" s="21" t="n">
        <v>169900</v>
      </c>
      <c r="E243" s="2" t="s">
        <v>52</v>
      </c>
      <c r="F243" s="2" t="s">
        <v>100</v>
      </c>
    </row>
    <row r="244" customFormat="false" ht="15" hidden="false" customHeight="false" outlineLevel="0" collapsed="false">
      <c r="A244" s="20" t="n">
        <v>45779</v>
      </c>
      <c r="B244" s="2" t="n">
        <v>14</v>
      </c>
      <c r="C244" s="2" t="s">
        <v>70</v>
      </c>
      <c r="D244" s="21" t="n">
        <v>76500</v>
      </c>
      <c r="E244" s="2" t="s">
        <v>52</v>
      </c>
      <c r="F244" s="2" t="s">
        <v>100</v>
      </c>
    </row>
    <row r="245" customFormat="false" ht="15" hidden="false" customHeight="false" outlineLevel="0" collapsed="false">
      <c r="A245" s="20" t="n">
        <v>45779</v>
      </c>
      <c r="B245" s="2" t="n">
        <v>21</v>
      </c>
      <c r="C245" s="2" t="s">
        <v>77</v>
      </c>
      <c r="D245" s="21" t="n">
        <v>90000</v>
      </c>
      <c r="E245" s="2" t="s">
        <v>52</v>
      </c>
      <c r="F245" s="2" t="s">
        <v>100</v>
      </c>
    </row>
    <row r="246" customFormat="false" ht="15" hidden="false" customHeight="false" outlineLevel="0" collapsed="false">
      <c r="A246" s="20" t="n">
        <v>45780</v>
      </c>
      <c r="B246" s="2" t="n">
        <v>6</v>
      </c>
      <c r="C246" s="2" t="s">
        <v>60</v>
      </c>
      <c r="D246" s="21" t="n">
        <v>64700</v>
      </c>
      <c r="E246" s="2" t="s">
        <v>52</v>
      </c>
      <c r="F246" s="2" t="s">
        <v>100</v>
      </c>
    </row>
    <row r="247" customFormat="false" ht="15" hidden="false" customHeight="false" outlineLevel="0" collapsed="false">
      <c r="A247" s="20" t="n">
        <v>45780</v>
      </c>
      <c r="B247" s="2" t="n">
        <v>17</v>
      </c>
      <c r="C247" s="2" t="s">
        <v>73</v>
      </c>
      <c r="D247" s="21" t="n">
        <v>50000</v>
      </c>
      <c r="E247" s="2" t="s">
        <v>52</v>
      </c>
      <c r="F247" s="2" t="s">
        <v>100</v>
      </c>
    </row>
    <row r="248" customFormat="false" ht="15" hidden="false" customHeight="false" outlineLevel="0" collapsed="false">
      <c r="A248" s="20" t="n">
        <v>45781</v>
      </c>
      <c r="B248" s="2" t="n">
        <v>15</v>
      </c>
      <c r="C248" s="2" t="s">
        <v>71</v>
      </c>
      <c r="D248" s="21" t="n">
        <v>111700</v>
      </c>
      <c r="E248" s="2" t="s">
        <v>52</v>
      </c>
      <c r="F248" s="2" t="s">
        <v>100</v>
      </c>
    </row>
    <row r="249" customFormat="false" ht="15" hidden="false" customHeight="false" outlineLevel="0" collapsed="false">
      <c r="A249" s="20" t="n">
        <v>45781</v>
      </c>
      <c r="B249" s="2" t="n">
        <v>19</v>
      </c>
      <c r="C249" s="2" t="s">
        <v>75</v>
      </c>
      <c r="D249" s="21" t="n">
        <v>85900</v>
      </c>
      <c r="E249" s="2" t="s">
        <v>52</v>
      </c>
      <c r="F249" s="2" t="s">
        <v>100</v>
      </c>
    </row>
    <row r="250" customFormat="false" ht="15" hidden="false" customHeight="false" outlineLevel="0" collapsed="false">
      <c r="A250" s="20" t="n">
        <v>45783</v>
      </c>
      <c r="B250" s="2" t="n">
        <v>1</v>
      </c>
      <c r="C250" s="2" t="s">
        <v>51</v>
      </c>
      <c r="D250" s="21" t="n">
        <v>115700</v>
      </c>
      <c r="E250" s="2" t="s">
        <v>52</v>
      </c>
      <c r="F250" s="2" t="s">
        <v>100</v>
      </c>
    </row>
    <row r="251" customFormat="false" ht="15" hidden="false" customHeight="false" outlineLevel="0" collapsed="false">
      <c r="A251" s="20" t="n">
        <v>45783</v>
      </c>
      <c r="B251" s="2" t="n">
        <v>4</v>
      </c>
      <c r="C251" s="2" t="s">
        <v>58</v>
      </c>
      <c r="D251" s="21" t="n">
        <v>123400</v>
      </c>
      <c r="E251" s="2" t="s">
        <v>52</v>
      </c>
      <c r="F251" s="2" t="s">
        <v>100</v>
      </c>
    </row>
    <row r="252" customFormat="false" ht="15" hidden="false" customHeight="false" outlineLevel="0" collapsed="false">
      <c r="A252" s="20" t="n">
        <v>45783</v>
      </c>
      <c r="B252" s="2" t="n">
        <v>7</v>
      </c>
      <c r="C252" s="2" t="s">
        <v>62</v>
      </c>
      <c r="D252" s="21" t="n">
        <v>50300</v>
      </c>
      <c r="E252" s="2" t="s">
        <v>52</v>
      </c>
      <c r="F252" s="2" t="s">
        <v>100</v>
      </c>
    </row>
    <row r="253" customFormat="false" ht="15" hidden="false" customHeight="false" outlineLevel="0" collapsed="false">
      <c r="A253" s="20" t="n">
        <v>45783</v>
      </c>
      <c r="B253" s="2" t="n">
        <v>20</v>
      </c>
      <c r="C253" s="2" t="s">
        <v>76</v>
      </c>
      <c r="D253" s="21" t="n">
        <v>183000</v>
      </c>
      <c r="E253" s="2" t="s">
        <v>52</v>
      </c>
      <c r="F253" s="2" t="s">
        <v>100</v>
      </c>
    </row>
    <row r="254" customFormat="false" ht="15" hidden="false" customHeight="false" outlineLevel="0" collapsed="false">
      <c r="A254" s="20" t="n">
        <v>45784</v>
      </c>
      <c r="B254" s="2" t="n">
        <v>19</v>
      </c>
      <c r="C254" s="2" t="s">
        <v>75</v>
      </c>
      <c r="D254" s="21" t="n">
        <v>97500</v>
      </c>
      <c r="E254" s="2" t="s">
        <v>52</v>
      </c>
      <c r="F254" s="2" t="s">
        <v>100</v>
      </c>
    </row>
    <row r="255" customFormat="false" ht="15" hidden="false" customHeight="false" outlineLevel="0" collapsed="false">
      <c r="A255" s="20" t="n">
        <v>45785</v>
      </c>
      <c r="B255" s="2" t="n">
        <v>14</v>
      </c>
      <c r="C255" s="2" t="s">
        <v>70</v>
      </c>
      <c r="D255" s="21" t="n">
        <v>60900</v>
      </c>
      <c r="E255" s="2" t="s">
        <v>52</v>
      </c>
      <c r="F255" s="2" t="s">
        <v>100</v>
      </c>
    </row>
    <row r="256" customFormat="false" ht="15" hidden="false" customHeight="false" outlineLevel="0" collapsed="false">
      <c r="A256" s="20" t="n">
        <v>45786</v>
      </c>
      <c r="B256" s="2" t="n">
        <v>5</v>
      </c>
      <c r="C256" s="2" t="s">
        <v>59</v>
      </c>
      <c r="D256" s="21" t="n">
        <v>134300</v>
      </c>
      <c r="E256" s="2" t="s">
        <v>52</v>
      </c>
      <c r="F256" s="2" t="s">
        <v>100</v>
      </c>
    </row>
    <row r="257" customFormat="false" ht="15" hidden="false" customHeight="false" outlineLevel="0" collapsed="false">
      <c r="A257" s="20" t="n">
        <v>45786</v>
      </c>
      <c r="B257" s="2" t="n">
        <v>15</v>
      </c>
      <c r="C257" s="2" t="s">
        <v>71</v>
      </c>
      <c r="D257" s="21" t="n">
        <v>107500</v>
      </c>
      <c r="E257" s="2" t="s">
        <v>52</v>
      </c>
      <c r="F257" s="2" t="s">
        <v>100</v>
      </c>
    </row>
    <row r="258" customFormat="false" ht="15" hidden="false" customHeight="false" outlineLevel="0" collapsed="false">
      <c r="A258" s="20" t="n">
        <v>45787</v>
      </c>
      <c r="B258" s="2" t="n">
        <v>6</v>
      </c>
      <c r="C258" s="2" t="s">
        <v>60</v>
      </c>
      <c r="D258" s="21" t="n">
        <v>69900</v>
      </c>
      <c r="E258" s="2" t="s">
        <v>52</v>
      </c>
      <c r="F258" s="2" t="s">
        <v>100</v>
      </c>
    </row>
    <row r="259" customFormat="false" ht="15" hidden="false" customHeight="false" outlineLevel="0" collapsed="false">
      <c r="A259" s="20" t="n">
        <v>45787</v>
      </c>
      <c r="B259" s="2" t="n">
        <v>19</v>
      </c>
      <c r="C259" s="2" t="s">
        <v>75</v>
      </c>
      <c r="D259" s="21" t="n">
        <v>97300</v>
      </c>
      <c r="E259" s="2" t="s">
        <v>52</v>
      </c>
      <c r="F259" s="2" t="s">
        <v>100</v>
      </c>
    </row>
    <row r="260" customFormat="false" ht="15" hidden="false" customHeight="false" outlineLevel="0" collapsed="false">
      <c r="A260" s="20" t="n">
        <v>45787</v>
      </c>
      <c r="B260" s="2" t="n">
        <v>21</v>
      </c>
      <c r="C260" s="2" t="s">
        <v>77</v>
      </c>
      <c r="D260" s="21" t="n">
        <v>83300</v>
      </c>
      <c r="E260" s="2" t="s">
        <v>52</v>
      </c>
      <c r="F260" s="2" t="s">
        <v>100</v>
      </c>
    </row>
    <row r="261" customFormat="false" ht="15" hidden="false" customHeight="false" outlineLevel="0" collapsed="false">
      <c r="A261" s="20" t="n">
        <v>45788</v>
      </c>
      <c r="B261" s="2" t="n">
        <v>10</v>
      </c>
      <c r="C261" s="2" t="s">
        <v>65</v>
      </c>
      <c r="D261" s="21" t="n">
        <v>52400</v>
      </c>
      <c r="E261" s="2" t="s">
        <v>52</v>
      </c>
      <c r="F261" s="2" t="s">
        <v>100</v>
      </c>
    </row>
    <row r="262" customFormat="false" ht="15" hidden="false" customHeight="false" outlineLevel="0" collapsed="false">
      <c r="A262" s="20" t="n">
        <v>45788</v>
      </c>
      <c r="B262" s="2" t="n">
        <v>17</v>
      </c>
      <c r="C262" s="2" t="s">
        <v>73</v>
      </c>
      <c r="D262" s="21" t="n">
        <v>62300</v>
      </c>
      <c r="E262" s="2" t="s">
        <v>52</v>
      </c>
      <c r="F262" s="2" t="s">
        <v>100</v>
      </c>
    </row>
    <row r="263" customFormat="false" ht="15" hidden="false" customHeight="false" outlineLevel="0" collapsed="false">
      <c r="A263" s="20" t="n">
        <v>45790</v>
      </c>
      <c r="B263" s="2" t="n">
        <v>7</v>
      </c>
      <c r="C263" s="2" t="s">
        <v>62</v>
      </c>
      <c r="D263" s="21" t="n">
        <v>43500</v>
      </c>
      <c r="E263" s="2" t="s">
        <v>52</v>
      </c>
      <c r="F263" s="2" t="s">
        <v>100</v>
      </c>
    </row>
    <row r="264" customFormat="false" ht="15" hidden="false" customHeight="false" outlineLevel="0" collapsed="false">
      <c r="A264" s="20" t="n">
        <v>45790</v>
      </c>
      <c r="B264" s="2" t="n">
        <v>14</v>
      </c>
      <c r="C264" s="2" t="s">
        <v>70</v>
      </c>
      <c r="D264" s="21" t="n">
        <v>89200</v>
      </c>
      <c r="E264" s="2" t="s">
        <v>52</v>
      </c>
      <c r="F264" s="2" t="s">
        <v>100</v>
      </c>
    </row>
    <row r="265" customFormat="false" ht="15" hidden="false" customHeight="false" outlineLevel="0" collapsed="false">
      <c r="A265" s="20" t="n">
        <v>45790</v>
      </c>
      <c r="B265" s="2" t="n">
        <v>19</v>
      </c>
      <c r="C265" s="2" t="s">
        <v>75</v>
      </c>
      <c r="D265" s="21" t="n">
        <v>81600</v>
      </c>
      <c r="E265" s="2" t="s">
        <v>52</v>
      </c>
      <c r="F265" s="2" t="s">
        <v>100</v>
      </c>
    </row>
    <row r="266" customFormat="false" ht="15" hidden="false" customHeight="false" outlineLevel="0" collapsed="false">
      <c r="A266" s="20" t="n">
        <v>45790</v>
      </c>
      <c r="B266" s="2" t="n">
        <v>20</v>
      </c>
      <c r="C266" s="2" t="s">
        <v>76</v>
      </c>
      <c r="D266" s="21" t="n">
        <v>162900</v>
      </c>
      <c r="E266" s="2" t="s">
        <v>52</v>
      </c>
      <c r="F266" s="2" t="s">
        <v>100</v>
      </c>
    </row>
    <row r="267" customFormat="false" ht="15" hidden="false" customHeight="false" outlineLevel="0" collapsed="false">
      <c r="A267" s="20" t="n">
        <v>45791</v>
      </c>
      <c r="B267" s="2" t="n">
        <v>1</v>
      </c>
      <c r="C267" s="2" t="s">
        <v>51</v>
      </c>
      <c r="D267" s="21" t="n">
        <v>121900</v>
      </c>
      <c r="E267" s="2" t="s">
        <v>52</v>
      </c>
      <c r="F267" s="2" t="s">
        <v>100</v>
      </c>
    </row>
    <row r="268" customFormat="false" ht="15" hidden="false" customHeight="false" outlineLevel="0" collapsed="false">
      <c r="A268" s="20" t="n">
        <v>45791</v>
      </c>
      <c r="B268" s="2" t="n">
        <v>15</v>
      </c>
      <c r="C268" s="2" t="s">
        <v>71</v>
      </c>
      <c r="D268" s="21" t="n">
        <v>106200</v>
      </c>
      <c r="E268" s="2" t="s">
        <v>52</v>
      </c>
      <c r="F268" s="2" t="s">
        <v>100</v>
      </c>
    </row>
    <row r="269" customFormat="false" ht="15" hidden="false" customHeight="false" outlineLevel="0" collapsed="false">
      <c r="A269" s="20" t="n">
        <v>45792</v>
      </c>
      <c r="B269" s="2" t="n">
        <v>5</v>
      </c>
      <c r="C269" s="2" t="s">
        <v>59</v>
      </c>
      <c r="D269" s="21" t="n">
        <v>129900</v>
      </c>
      <c r="E269" s="2" t="s">
        <v>52</v>
      </c>
      <c r="F269" s="2" t="s">
        <v>100</v>
      </c>
    </row>
    <row r="270" customFormat="false" ht="15" hidden="false" customHeight="false" outlineLevel="0" collapsed="false">
      <c r="A270" s="20" t="n">
        <v>45793</v>
      </c>
      <c r="B270" s="2" t="n">
        <v>19</v>
      </c>
      <c r="C270" s="2" t="s">
        <v>75</v>
      </c>
      <c r="D270" s="21" t="n">
        <v>113200</v>
      </c>
      <c r="E270" s="2" t="s">
        <v>52</v>
      </c>
      <c r="F270" s="2" t="s">
        <v>100</v>
      </c>
    </row>
    <row r="271" customFormat="false" ht="15" hidden="false" customHeight="false" outlineLevel="0" collapsed="false">
      <c r="A271" s="20" t="n">
        <v>45794</v>
      </c>
      <c r="B271" s="2" t="n">
        <v>3</v>
      </c>
      <c r="C271" s="2" t="s">
        <v>56</v>
      </c>
      <c r="D271" s="21" t="n">
        <v>120200</v>
      </c>
      <c r="E271" s="2" t="s">
        <v>52</v>
      </c>
      <c r="F271" s="2" t="s">
        <v>100</v>
      </c>
    </row>
    <row r="272" customFormat="false" ht="15" hidden="false" customHeight="false" outlineLevel="0" collapsed="false">
      <c r="A272" s="20" t="n">
        <v>45794</v>
      </c>
      <c r="B272" s="2" t="n">
        <v>17</v>
      </c>
      <c r="C272" s="2" t="s">
        <v>73</v>
      </c>
      <c r="D272" s="21" t="n">
        <v>50500</v>
      </c>
      <c r="E272" s="2" t="s">
        <v>52</v>
      </c>
      <c r="F272" s="2" t="s">
        <v>100</v>
      </c>
    </row>
    <row r="273" customFormat="false" ht="15" hidden="false" customHeight="false" outlineLevel="0" collapsed="false">
      <c r="A273" s="20" t="n">
        <v>45795</v>
      </c>
      <c r="B273" s="2" t="n">
        <v>4</v>
      </c>
      <c r="C273" s="2" t="s">
        <v>58</v>
      </c>
      <c r="D273" s="21" t="n">
        <v>93000</v>
      </c>
      <c r="E273" s="2" t="s">
        <v>52</v>
      </c>
      <c r="F273" s="2" t="s">
        <v>100</v>
      </c>
    </row>
    <row r="274" customFormat="false" ht="15" hidden="false" customHeight="false" outlineLevel="0" collapsed="false">
      <c r="A274" s="20" t="n">
        <v>45795</v>
      </c>
      <c r="B274" s="2" t="n">
        <v>14</v>
      </c>
      <c r="C274" s="2" t="s">
        <v>70</v>
      </c>
      <c r="D274" s="21" t="n">
        <v>81600</v>
      </c>
      <c r="E274" s="2" t="s">
        <v>52</v>
      </c>
      <c r="F274" s="2" t="s">
        <v>100</v>
      </c>
    </row>
    <row r="275" customFormat="false" ht="15" hidden="false" customHeight="false" outlineLevel="0" collapsed="false">
      <c r="A275" s="20" t="n">
        <v>45795</v>
      </c>
      <c r="B275" s="2" t="n">
        <v>19</v>
      </c>
      <c r="C275" s="2" t="s">
        <v>75</v>
      </c>
      <c r="D275" s="21" t="n">
        <v>101600</v>
      </c>
      <c r="E275" s="2" t="s">
        <v>52</v>
      </c>
      <c r="F275" s="2" t="s">
        <v>100</v>
      </c>
    </row>
    <row r="276" customFormat="false" ht="15" hidden="false" customHeight="false" outlineLevel="0" collapsed="false">
      <c r="A276" s="20" t="n">
        <v>45795</v>
      </c>
      <c r="B276" s="2" t="n">
        <v>21</v>
      </c>
      <c r="C276" s="2" t="s">
        <v>77</v>
      </c>
      <c r="D276" s="21" t="n">
        <v>79400</v>
      </c>
      <c r="E276" s="2" t="s">
        <v>52</v>
      </c>
      <c r="F276" s="2" t="s">
        <v>100</v>
      </c>
    </row>
    <row r="277" customFormat="false" ht="15" hidden="false" customHeight="false" outlineLevel="0" collapsed="false">
      <c r="A277" s="20" t="n">
        <v>45797</v>
      </c>
      <c r="B277" s="2" t="n">
        <v>7</v>
      </c>
      <c r="C277" s="2" t="s">
        <v>62</v>
      </c>
      <c r="D277" s="21" t="n">
        <v>49500</v>
      </c>
      <c r="E277" s="2" t="s">
        <v>52</v>
      </c>
      <c r="F277" s="2" t="s">
        <v>100</v>
      </c>
    </row>
    <row r="278" customFormat="false" ht="15" hidden="false" customHeight="false" outlineLevel="0" collapsed="false">
      <c r="A278" s="20" t="n">
        <v>45797</v>
      </c>
      <c r="B278" s="2" t="n">
        <v>13</v>
      </c>
      <c r="C278" s="2" t="s">
        <v>68</v>
      </c>
      <c r="D278" s="21" t="n">
        <v>63700</v>
      </c>
      <c r="E278" s="2" t="s">
        <v>52</v>
      </c>
      <c r="F278" s="2" t="s">
        <v>100</v>
      </c>
    </row>
    <row r="279" customFormat="false" ht="15" hidden="false" customHeight="false" outlineLevel="0" collapsed="false">
      <c r="A279" s="20" t="n">
        <v>45797</v>
      </c>
      <c r="B279" s="2" t="n">
        <v>15</v>
      </c>
      <c r="C279" s="2" t="s">
        <v>71</v>
      </c>
      <c r="D279" s="21" t="n">
        <v>89900</v>
      </c>
      <c r="E279" s="2" t="s">
        <v>52</v>
      </c>
      <c r="F279" s="2" t="s">
        <v>100</v>
      </c>
    </row>
    <row r="280" customFormat="false" ht="15" hidden="false" customHeight="false" outlineLevel="0" collapsed="false">
      <c r="A280" s="20" t="n">
        <v>45797</v>
      </c>
      <c r="B280" s="2" t="n">
        <v>19</v>
      </c>
      <c r="C280" s="2" t="s">
        <v>75</v>
      </c>
      <c r="D280" s="21" t="n">
        <v>92800</v>
      </c>
      <c r="E280" s="2" t="s">
        <v>52</v>
      </c>
      <c r="F280" s="2" t="s">
        <v>100</v>
      </c>
    </row>
    <row r="281" customFormat="false" ht="15" hidden="false" customHeight="false" outlineLevel="0" collapsed="false">
      <c r="A281" s="20" t="n">
        <v>45799</v>
      </c>
      <c r="B281" s="2" t="n">
        <v>1</v>
      </c>
      <c r="C281" s="2" t="s">
        <v>51</v>
      </c>
      <c r="D281" s="21" t="n">
        <v>78900</v>
      </c>
      <c r="E281" s="2" t="s">
        <v>52</v>
      </c>
      <c r="F281" s="2" t="s">
        <v>100</v>
      </c>
    </row>
    <row r="282" customFormat="false" ht="15" hidden="false" customHeight="false" outlineLevel="0" collapsed="false">
      <c r="A282" s="20" t="n">
        <v>45799</v>
      </c>
      <c r="B282" s="2" t="n">
        <v>5</v>
      </c>
      <c r="C282" s="2" t="s">
        <v>59</v>
      </c>
      <c r="D282" s="21" t="n">
        <v>196900</v>
      </c>
      <c r="E282" s="2" t="s">
        <v>52</v>
      </c>
      <c r="F282" s="2" t="s">
        <v>100</v>
      </c>
    </row>
    <row r="283" customFormat="false" ht="15" hidden="false" customHeight="false" outlineLevel="0" collapsed="false">
      <c r="A283" s="20" t="n">
        <v>45799</v>
      </c>
      <c r="B283" s="2" t="n">
        <v>14</v>
      </c>
      <c r="C283" s="2" t="s">
        <v>70</v>
      </c>
      <c r="D283" s="21" t="n">
        <v>80400</v>
      </c>
      <c r="E283" s="2" t="s">
        <v>52</v>
      </c>
      <c r="F283" s="2" t="s">
        <v>100</v>
      </c>
    </row>
    <row r="284" customFormat="false" ht="15" hidden="false" customHeight="false" outlineLevel="0" collapsed="false">
      <c r="A284" s="20" t="n">
        <v>45799</v>
      </c>
      <c r="B284" s="2" t="n">
        <v>20</v>
      </c>
      <c r="C284" s="2" t="s">
        <v>76</v>
      </c>
      <c r="D284" s="21" t="n">
        <v>183300</v>
      </c>
      <c r="E284" s="2" t="s">
        <v>52</v>
      </c>
      <c r="F284" s="2" t="s">
        <v>100</v>
      </c>
    </row>
    <row r="285" customFormat="false" ht="15" hidden="false" customHeight="false" outlineLevel="0" collapsed="false">
      <c r="A285" s="20" t="n">
        <v>45800</v>
      </c>
      <c r="B285" s="2" t="n">
        <v>3</v>
      </c>
      <c r="C285" s="2" t="s">
        <v>56</v>
      </c>
      <c r="D285" s="21" t="n">
        <v>112100</v>
      </c>
      <c r="E285" s="2" t="s">
        <v>52</v>
      </c>
      <c r="F285" s="2" t="s">
        <v>100</v>
      </c>
    </row>
    <row r="286" customFormat="false" ht="15" hidden="false" customHeight="false" outlineLevel="0" collapsed="false">
      <c r="A286" s="20" t="n">
        <v>45801</v>
      </c>
      <c r="B286" s="2" t="n">
        <v>17</v>
      </c>
      <c r="C286" s="2" t="s">
        <v>73</v>
      </c>
      <c r="D286" s="21" t="n">
        <v>52100</v>
      </c>
      <c r="E286" s="2" t="s">
        <v>52</v>
      </c>
      <c r="F286" s="2" t="s">
        <v>100</v>
      </c>
    </row>
    <row r="287" customFormat="false" ht="15" hidden="false" customHeight="false" outlineLevel="0" collapsed="false">
      <c r="A287" s="20" t="n">
        <v>45801</v>
      </c>
      <c r="B287" s="2" t="n">
        <v>19</v>
      </c>
      <c r="C287" s="2" t="s">
        <v>75</v>
      </c>
      <c r="D287" s="21" t="n">
        <v>98100</v>
      </c>
      <c r="E287" s="2" t="s">
        <v>52</v>
      </c>
      <c r="F287" s="2" t="s">
        <v>100</v>
      </c>
    </row>
    <row r="288" customFormat="false" ht="15" hidden="false" customHeight="false" outlineLevel="0" collapsed="false">
      <c r="A288" s="20" t="n">
        <v>45802</v>
      </c>
      <c r="B288" s="2" t="n">
        <v>4</v>
      </c>
      <c r="C288" s="2" t="s">
        <v>58</v>
      </c>
      <c r="D288" s="21" t="n">
        <v>113000</v>
      </c>
      <c r="E288" s="2" t="s">
        <v>52</v>
      </c>
      <c r="F288" s="2" t="s">
        <v>100</v>
      </c>
    </row>
    <row r="289" customFormat="false" ht="15" hidden="false" customHeight="false" outlineLevel="0" collapsed="false">
      <c r="A289" s="20" t="n">
        <v>45802</v>
      </c>
      <c r="B289" s="2" t="n">
        <v>10</v>
      </c>
      <c r="C289" s="2" t="s">
        <v>65</v>
      </c>
      <c r="D289" s="21" t="n">
        <v>54400</v>
      </c>
      <c r="E289" s="2" t="s">
        <v>52</v>
      </c>
      <c r="F289" s="2" t="s">
        <v>100</v>
      </c>
    </row>
    <row r="290" customFormat="false" ht="15" hidden="false" customHeight="false" outlineLevel="0" collapsed="false">
      <c r="A290" s="20" t="n">
        <v>45804</v>
      </c>
      <c r="B290" s="2" t="n">
        <v>14</v>
      </c>
      <c r="C290" s="2" t="s">
        <v>70</v>
      </c>
      <c r="D290" s="21" t="n">
        <v>97500</v>
      </c>
      <c r="E290" s="2" t="s">
        <v>52</v>
      </c>
      <c r="F290" s="2" t="s">
        <v>100</v>
      </c>
    </row>
    <row r="291" customFormat="false" ht="15" hidden="false" customHeight="false" outlineLevel="0" collapsed="false">
      <c r="A291" s="20" t="n">
        <v>45804</v>
      </c>
      <c r="B291" s="2" t="n">
        <v>15</v>
      </c>
      <c r="C291" s="2" t="s">
        <v>71</v>
      </c>
      <c r="D291" s="21" t="n">
        <v>89100</v>
      </c>
      <c r="E291" s="2" t="s">
        <v>52</v>
      </c>
      <c r="F291" s="2" t="s">
        <v>100</v>
      </c>
    </row>
    <row r="292" customFormat="false" ht="15" hidden="false" customHeight="false" outlineLevel="0" collapsed="false">
      <c r="A292" s="20" t="n">
        <v>45805</v>
      </c>
      <c r="B292" s="2" t="n">
        <v>1</v>
      </c>
      <c r="C292" s="2" t="s">
        <v>51</v>
      </c>
      <c r="D292" s="21" t="n">
        <v>90300</v>
      </c>
      <c r="E292" s="2" t="s">
        <v>52</v>
      </c>
      <c r="F292" s="2" t="s">
        <v>100</v>
      </c>
    </row>
    <row r="293" customFormat="false" ht="15" hidden="false" customHeight="false" outlineLevel="0" collapsed="false">
      <c r="A293" s="20" t="n">
        <v>45805</v>
      </c>
      <c r="B293" s="2" t="n">
        <v>3</v>
      </c>
      <c r="C293" s="2" t="s">
        <v>56</v>
      </c>
      <c r="D293" s="21" t="n">
        <v>163700</v>
      </c>
      <c r="E293" s="2" t="s">
        <v>52</v>
      </c>
      <c r="F293" s="2" t="s">
        <v>100</v>
      </c>
    </row>
    <row r="294" customFormat="false" ht="15" hidden="false" customHeight="false" outlineLevel="0" collapsed="false">
      <c r="A294" s="20" t="n">
        <v>45805</v>
      </c>
      <c r="B294" s="2" t="n">
        <v>6</v>
      </c>
      <c r="C294" s="2" t="s">
        <v>60</v>
      </c>
      <c r="D294" s="21" t="n">
        <v>70300</v>
      </c>
      <c r="E294" s="2" t="s">
        <v>52</v>
      </c>
      <c r="F294" s="2" t="s">
        <v>100</v>
      </c>
    </row>
    <row r="295" customFormat="false" ht="15" hidden="false" customHeight="false" outlineLevel="0" collapsed="false">
      <c r="A295" s="20" t="n">
        <v>45805</v>
      </c>
      <c r="B295" s="2" t="n">
        <v>7</v>
      </c>
      <c r="C295" s="2" t="s">
        <v>62</v>
      </c>
      <c r="D295" s="21" t="n">
        <v>44100</v>
      </c>
      <c r="E295" s="2" t="s">
        <v>52</v>
      </c>
      <c r="F295" s="2" t="s">
        <v>100</v>
      </c>
    </row>
    <row r="296" customFormat="false" ht="15" hidden="false" customHeight="false" outlineLevel="0" collapsed="false">
      <c r="A296" s="20" t="n">
        <v>45806</v>
      </c>
      <c r="B296" s="2" t="n">
        <v>13</v>
      </c>
      <c r="C296" s="2" t="s">
        <v>68</v>
      </c>
      <c r="D296" s="21" t="n">
        <v>60000</v>
      </c>
      <c r="E296" s="2" t="s">
        <v>52</v>
      </c>
      <c r="F296" s="2" t="s">
        <v>100</v>
      </c>
    </row>
    <row r="297" customFormat="false" ht="15" hidden="false" customHeight="false" outlineLevel="0" collapsed="false">
      <c r="A297" s="20" t="n">
        <v>45807</v>
      </c>
      <c r="B297" s="2" t="n">
        <v>4</v>
      </c>
      <c r="C297" s="2" t="s">
        <v>58</v>
      </c>
      <c r="D297" s="21" t="n">
        <v>102400</v>
      </c>
      <c r="E297" s="2" t="s">
        <v>52</v>
      </c>
      <c r="F297" s="2" t="s">
        <v>100</v>
      </c>
    </row>
    <row r="298" customFormat="false" ht="15" hidden="false" customHeight="false" outlineLevel="0" collapsed="false">
      <c r="A298" s="20" t="n">
        <v>45807</v>
      </c>
      <c r="B298" s="2" t="n">
        <v>5</v>
      </c>
      <c r="C298" s="2" t="s">
        <v>59</v>
      </c>
      <c r="D298" s="21" t="n">
        <v>161200</v>
      </c>
      <c r="E298" s="2" t="s">
        <v>52</v>
      </c>
      <c r="F298" s="2" t="s">
        <v>100</v>
      </c>
    </row>
    <row r="299" customFormat="false" ht="15" hidden="false" customHeight="false" outlineLevel="0" collapsed="false">
      <c r="A299" s="20" t="n">
        <v>45807</v>
      </c>
      <c r="B299" s="2" t="n">
        <v>17</v>
      </c>
      <c r="C299" s="2" t="s">
        <v>73</v>
      </c>
      <c r="D299" s="21" t="n">
        <v>49100</v>
      </c>
      <c r="E299" s="2" t="s">
        <v>52</v>
      </c>
      <c r="F299" s="2" t="s">
        <v>100</v>
      </c>
    </row>
    <row r="300" customFormat="false" ht="15" hidden="false" customHeight="false" outlineLevel="0" collapsed="false">
      <c r="A300" s="20" t="n">
        <v>45807</v>
      </c>
      <c r="B300" s="2" t="n">
        <v>19</v>
      </c>
      <c r="C300" s="2" t="s">
        <v>75</v>
      </c>
      <c r="D300" s="21" t="n">
        <v>111300</v>
      </c>
      <c r="E300" s="2" t="s">
        <v>52</v>
      </c>
      <c r="F300" s="2" t="s">
        <v>100</v>
      </c>
    </row>
    <row r="301" customFormat="false" ht="15" hidden="false" customHeight="false" outlineLevel="0" collapsed="false">
      <c r="A301" s="20" t="n">
        <v>45807</v>
      </c>
      <c r="B301" s="2" t="n">
        <v>20</v>
      </c>
      <c r="C301" s="2" t="s">
        <v>76</v>
      </c>
      <c r="D301" s="21" t="n">
        <v>120300</v>
      </c>
      <c r="E301" s="2" t="s">
        <v>52</v>
      </c>
      <c r="F301" s="2" t="s">
        <v>100</v>
      </c>
    </row>
    <row r="302" customFormat="false" ht="15" hidden="false" customHeight="false" outlineLevel="0" collapsed="false">
      <c r="A302" s="20" t="n">
        <v>45808</v>
      </c>
      <c r="B302" s="2" t="n">
        <v>14</v>
      </c>
      <c r="C302" s="2" t="s">
        <v>70</v>
      </c>
      <c r="D302" s="21" t="n">
        <v>76900</v>
      </c>
      <c r="E302" s="2" t="s">
        <v>52</v>
      </c>
      <c r="F302" s="2" t="s">
        <v>100</v>
      </c>
    </row>
    <row r="303" customFormat="false" ht="15" hidden="false" customHeight="false" outlineLevel="0" collapsed="false">
      <c r="A303" s="20" t="n">
        <v>45809</v>
      </c>
      <c r="B303" s="2" t="n">
        <v>10</v>
      </c>
      <c r="C303" s="2" t="s">
        <v>65</v>
      </c>
      <c r="D303" s="21" t="n">
        <v>53800</v>
      </c>
      <c r="E303" s="2" t="s">
        <v>52</v>
      </c>
      <c r="F303" s="2" t="s">
        <v>108</v>
      </c>
    </row>
    <row r="304" customFormat="false" ht="15" hidden="false" customHeight="false" outlineLevel="0" collapsed="false">
      <c r="A304" s="20" t="n">
        <v>45809</v>
      </c>
      <c r="B304" s="2" t="n">
        <v>15</v>
      </c>
      <c r="C304" s="2" t="s">
        <v>71</v>
      </c>
      <c r="D304" s="21" t="n">
        <v>116800</v>
      </c>
      <c r="E304" s="2" t="s">
        <v>52</v>
      </c>
      <c r="F304" s="2" t="s">
        <v>108</v>
      </c>
    </row>
    <row r="305" customFormat="false" ht="15" hidden="false" customHeight="false" outlineLevel="0" collapsed="false">
      <c r="A305" s="20" t="n">
        <v>45809</v>
      </c>
      <c r="B305" s="2" t="n">
        <v>21</v>
      </c>
      <c r="C305" s="2" t="s">
        <v>77</v>
      </c>
      <c r="D305" s="21" t="n">
        <v>85800</v>
      </c>
      <c r="E305" s="2" t="s">
        <v>52</v>
      </c>
      <c r="F305" s="2" t="s">
        <v>108</v>
      </c>
    </row>
    <row r="306" customFormat="false" ht="15" hidden="false" customHeight="false" outlineLevel="0" collapsed="false">
      <c r="A306" s="20" t="n">
        <v>45809</v>
      </c>
      <c r="B306" s="2" t="n">
        <v>23</v>
      </c>
      <c r="C306" s="2" t="s">
        <v>80</v>
      </c>
      <c r="D306" s="21" t="n">
        <v>100300</v>
      </c>
      <c r="E306" s="2" t="s">
        <v>55</v>
      </c>
      <c r="F306" s="2" t="s">
        <v>108</v>
      </c>
    </row>
    <row r="307" customFormat="false" ht="15" hidden="false" customHeight="false" outlineLevel="0" collapsed="false">
      <c r="A307" s="20" t="n">
        <v>45811</v>
      </c>
      <c r="B307" s="2" t="n">
        <v>1</v>
      </c>
      <c r="C307" s="2" t="s">
        <v>51</v>
      </c>
      <c r="D307" s="21" t="n">
        <v>110800</v>
      </c>
      <c r="E307" s="2" t="s">
        <v>52</v>
      </c>
      <c r="F307" s="2" t="s">
        <v>108</v>
      </c>
    </row>
    <row r="308" customFormat="false" ht="15" hidden="false" customHeight="false" outlineLevel="0" collapsed="false">
      <c r="A308" s="20" t="n">
        <v>45811</v>
      </c>
      <c r="B308" s="2" t="n">
        <v>12</v>
      </c>
      <c r="C308" s="2" t="s">
        <v>67</v>
      </c>
      <c r="D308" s="21" t="n">
        <v>83200</v>
      </c>
      <c r="E308" s="2" t="s">
        <v>55</v>
      </c>
      <c r="F308" s="2" t="s">
        <v>108</v>
      </c>
    </row>
    <row r="309" customFormat="false" ht="15" hidden="false" customHeight="false" outlineLevel="0" collapsed="false">
      <c r="A309" s="20" t="n">
        <v>45812</v>
      </c>
      <c r="B309" s="2" t="n">
        <v>3</v>
      </c>
      <c r="C309" s="2" t="s">
        <v>56</v>
      </c>
      <c r="D309" s="21" t="n">
        <v>151200</v>
      </c>
      <c r="E309" s="2" t="s">
        <v>52</v>
      </c>
      <c r="F309" s="2" t="s">
        <v>108</v>
      </c>
    </row>
    <row r="310" customFormat="false" ht="15" hidden="false" customHeight="false" outlineLevel="0" collapsed="false">
      <c r="A310" s="20" t="n">
        <v>45812</v>
      </c>
      <c r="B310" s="2" t="n">
        <v>4</v>
      </c>
      <c r="C310" s="2" t="s">
        <v>58</v>
      </c>
      <c r="D310" s="21" t="n">
        <v>123000</v>
      </c>
      <c r="E310" s="2" t="s">
        <v>52</v>
      </c>
      <c r="F310" s="2" t="s">
        <v>108</v>
      </c>
    </row>
    <row r="311" customFormat="false" ht="15" hidden="false" customHeight="false" outlineLevel="0" collapsed="false">
      <c r="A311" s="20" t="n">
        <v>45812</v>
      </c>
      <c r="B311" s="2" t="n">
        <v>6</v>
      </c>
      <c r="C311" s="2" t="s">
        <v>60</v>
      </c>
      <c r="D311" s="21" t="n">
        <v>55100</v>
      </c>
      <c r="E311" s="2" t="s">
        <v>52</v>
      </c>
      <c r="F311" s="2" t="s">
        <v>108</v>
      </c>
    </row>
    <row r="312" customFormat="false" ht="15" hidden="false" customHeight="false" outlineLevel="0" collapsed="false">
      <c r="A312" s="20" t="n">
        <v>45812</v>
      </c>
      <c r="B312" s="2" t="n">
        <v>8</v>
      </c>
      <c r="C312" s="2" t="s">
        <v>63</v>
      </c>
      <c r="D312" s="21" t="n">
        <v>144300</v>
      </c>
      <c r="E312" s="2" t="s">
        <v>55</v>
      </c>
      <c r="F312" s="2" t="s">
        <v>108</v>
      </c>
    </row>
    <row r="313" customFormat="false" ht="15" hidden="false" customHeight="false" outlineLevel="0" collapsed="false">
      <c r="A313" s="20" t="n">
        <v>45812</v>
      </c>
      <c r="B313" s="2" t="n">
        <v>9</v>
      </c>
      <c r="C313" s="2" t="s">
        <v>64</v>
      </c>
      <c r="D313" s="21" t="n">
        <v>63600</v>
      </c>
      <c r="E313" s="2" t="s">
        <v>55</v>
      </c>
      <c r="F313" s="2" t="s">
        <v>108</v>
      </c>
    </row>
    <row r="314" customFormat="false" ht="15" hidden="false" customHeight="false" outlineLevel="0" collapsed="false">
      <c r="A314" s="20" t="n">
        <v>45812</v>
      </c>
      <c r="B314" s="2" t="n">
        <v>11</v>
      </c>
      <c r="C314" s="2" t="s">
        <v>66</v>
      </c>
      <c r="D314" s="21" t="n">
        <v>141900</v>
      </c>
      <c r="E314" s="2" t="s">
        <v>55</v>
      </c>
      <c r="F314" s="2" t="s">
        <v>108</v>
      </c>
    </row>
    <row r="315" customFormat="false" ht="15" hidden="false" customHeight="false" outlineLevel="0" collapsed="false">
      <c r="A315" s="20" t="n">
        <v>45812</v>
      </c>
      <c r="B315" s="2" t="n">
        <v>16</v>
      </c>
      <c r="C315" s="2" t="s">
        <v>72</v>
      </c>
      <c r="D315" s="21" t="n">
        <v>72100</v>
      </c>
      <c r="E315" s="2" t="s">
        <v>55</v>
      </c>
      <c r="F315" s="2" t="s">
        <v>108</v>
      </c>
    </row>
    <row r="316" customFormat="false" ht="15" hidden="false" customHeight="false" outlineLevel="0" collapsed="false">
      <c r="A316" s="20" t="n">
        <v>45812</v>
      </c>
      <c r="B316" s="2" t="n">
        <v>18</v>
      </c>
      <c r="C316" s="2" t="s">
        <v>74</v>
      </c>
      <c r="D316" s="21" t="n">
        <v>65900</v>
      </c>
      <c r="E316" s="2" t="s">
        <v>55</v>
      </c>
      <c r="F316" s="2" t="s">
        <v>108</v>
      </c>
    </row>
    <row r="317" customFormat="false" ht="15" hidden="false" customHeight="false" outlineLevel="0" collapsed="false">
      <c r="A317" s="20" t="n">
        <v>45813</v>
      </c>
      <c r="B317" s="2" t="n">
        <v>7</v>
      </c>
      <c r="C317" s="2" t="s">
        <v>62</v>
      </c>
      <c r="D317" s="21" t="n">
        <v>39800</v>
      </c>
      <c r="E317" s="2" t="s">
        <v>52</v>
      </c>
      <c r="F317" s="2" t="s">
        <v>108</v>
      </c>
    </row>
    <row r="318" customFormat="false" ht="15" hidden="false" customHeight="false" outlineLevel="0" collapsed="false">
      <c r="A318" s="20" t="n">
        <v>45813</v>
      </c>
      <c r="B318" s="2" t="n">
        <v>13</v>
      </c>
      <c r="C318" s="2" t="s">
        <v>68</v>
      </c>
      <c r="D318" s="21" t="n">
        <v>53300</v>
      </c>
      <c r="E318" s="2" t="s">
        <v>52</v>
      </c>
      <c r="F318" s="2" t="s">
        <v>108</v>
      </c>
    </row>
    <row r="319" customFormat="false" ht="15" hidden="false" customHeight="false" outlineLevel="0" collapsed="false">
      <c r="A319" s="20" t="n">
        <v>45813</v>
      </c>
      <c r="B319" s="2" t="n">
        <v>14</v>
      </c>
      <c r="C319" s="2" t="s">
        <v>70</v>
      </c>
      <c r="D319" s="21" t="n">
        <v>91900</v>
      </c>
      <c r="E319" s="2" t="s">
        <v>52</v>
      </c>
      <c r="F319" s="2" t="s">
        <v>108</v>
      </c>
    </row>
    <row r="320" customFormat="false" ht="15" hidden="false" customHeight="false" outlineLevel="0" collapsed="false">
      <c r="A320" s="20" t="n">
        <v>45813</v>
      </c>
      <c r="B320" s="2" t="n">
        <v>17</v>
      </c>
      <c r="C320" s="2" t="s">
        <v>73</v>
      </c>
      <c r="D320" s="21" t="n">
        <v>43900</v>
      </c>
      <c r="E320" s="2" t="s">
        <v>52</v>
      </c>
      <c r="F320" s="2" t="s">
        <v>108</v>
      </c>
    </row>
    <row r="321" customFormat="false" ht="15" hidden="false" customHeight="false" outlineLevel="0" collapsed="false">
      <c r="A321" s="20" t="n">
        <v>45814</v>
      </c>
      <c r="B321" s="2" t="n">
        <v>2</v>
      </c>
      <c r="C321" s="2" t="s">
        <v>54</v>
      </c>
      <c r="D321" s="21" t="n">
        <v>42100</v>
      </c>
      <c r="E321" s="2" t="s">
        <v>55</v>
      </c>
      <c r="F321" s="2" t="s">
        <v>108</v>
      </c>
    </row>
    <row r="322" customFormat="false" ht="15" hidden="false" customHeight="false" outlineLevel="0" collapsed="false">
      <c r="A322" s="20" t="n">
        <v>45814</v>
      </c>
      <c r="B322" s="2" t="n">
        <v>19</v>
      </c>
      <c r="C322" s="2" t="s">
        <v>75</v>
      </c>
      <c r="D322" s="21" t="n">
        <v>80100</v>
      </c>
      <c r="E322" s="2" t="s">
        <v>52</v>
      </c>
      <c r="F322" s="2" t="s">
        <v>108</v>
      </c>
    </row>
    <row r="323" customFormat="false" ht="15" hidden="false" customHeight="false" outlineLevel="0" collapsed="false">
      <c r="A323" s="20" t="n">
        <v>45814</v>
      </c>
      <c r="B323" s="2" t="n">
        <v>23</v>
      </c>
      <c r="C323" s="2" t="s">
        <v>80</v>
      </c>
      <c r="D323" s="21" t="n">
        <v>74900</v>
      </c>
      <c r="E323" s="2" t="s">
        <v>55</v>
      </c>
      <c r="F323" s="2" t="s">
        <v>108</v>
      </c>
    </row>
    <row r="324" customFormat="false" ht="15" hidden="false" customHeight="false" outlineLevel="0" collapsed="false">
      <c r="A324" s="20" t="n">
        <v>45815</v>
      </c>
      <c r="B324" s="2" t="n">
        <v>5</v>
      </c>
      <c r="C324" s="2" t="s">
        <v>59</v>
      </c>
      <c r="D324" s="21" t="n">
        <v>170900</v>
      </c>
      <c r="E324" s="2" t="s">
        <v>52</v>
      </c>
      <c r="F324" s="2" t="s">
        <v>108</v>
      </c>
    </row>
    <row r="325" customFormat="false" ht="15" hidden="false" customHeight="false" outlineLevel="0" collapsed="false">
      <c r="A325" s="20" t="n">
        <v>45815</v>
      </c>
      <c r="B325" s="2" t="n">
        <v>15</v>
      </c>
      <c r="C325" s="2" t="s">
        <v>71</v>
      </c>
      <c r="D325" s="21" t="n">
        <v>111400</v>
      </c>
      <c r="E325" s="2" t="s">
        <v>52</v>
      </c>
      <c r="F325" s="2" t="s">
        <v>108</v>
      </c>
    </row>
    <row r="326" customFormat="false" ht="15" hidden="false" customHeight="false" outlineLevel="0" collapsed="false">
      <c r="A326" s="20" t="n">
        <v>45815</v>
      </c>
      <c r="B326" s="2" t="n">
        <v>20</v>
      </c>
      <c r="C326" s="2" t="s">
        <v>76</v>
      </c>
      <c r="D326" s="21" t="n">
        <v>161500</v>
      </c>
      <c r="E326" s="2" t="s">
        <v>52</v>
      </c>
      <c r="F326" s="2" t="s">
        <v>108</v>
      </c>
    </row>
    <row r="327" customFormat="false" ht="15" hidden="false" customHeight="false" outlineLevel="0" collapsed="false">
      <c r="A327" s="20" t="n">
        <v>45815</v>
      </c>
      <c r="B327" s="2" t="n">
        <v>22</v>
      </c>
      <c r="C327" s="2" t="s">
        <v>79</v>
      </c>
      <c r="D327" s="21" t="n">
        <v>186900</v>
      </c>
      <c r="E327" s="2" t="s">
        <v>55</v>
      </c>
      <c r="F327" s="2" t="s">
        <v>108</v>
      </c>
    </row>
    <row r="328" customFormat="false" ht="15" hidden="false" customHeight="false" outlineLevel="0" collapsed="false">
      <c r="A328" s="20" t="n">
        <v>45816</v>
      </c>
      <c r="B328" s="2" t="n">
        <v>8</v>
      </c>
      <c r="C328" s="2" t="s">
        <v>63</v>
      </c>
      <c r="D328" s="21" t="n">
        <v>110700</v>
      </c>
      <c r="E328" s="2" t="s">
        <v>55</v>
      </c>
      <c r="F328" s="2" t="s">
        <v>108</v>
      </c>
    </row>
    <row r="329" customFormat="false" ht="15" hidden="false" customHeight="false" outlineLevel="0" collapsed="false">
      <c r="A329" s="20" t="n">
        <v>45816</v>
      </c>
      <c r="B329" s="2" t="n">
        <v>10</v>
      </c>
      <c r="C329" s="2" t="s">
        <v>65</v>
      </c>
      <c r="D329" s="21" t="n">
        <v>68500</v>
      </c>
      <c r="E329" s="2" t="s">
        <v>52</v>
      </c>
      <c r="F329" s="2" t="s">
        <v>108</v>
      </c>
    </row>
    <row r="330" customFormat="false" ht="15" hidden="false" customHeight="false" outlineLevel="0" collapsed="false">
      <c r="A330" s="20" t="n">
        <v>45816</v>
      </c>
      <c r="B330" s="2" t="n">
        <v>19</v>
      </c>
      <c r="C330" s="2" t="s">
        <v>75</v>
      </c>
      <c r="D330" s="21" t="n">
        <v>115100</v>
      </c>
      <c r="E330" s="2" t="s">
        <v>52</v>
      </c>
      <c r="F330" s="2" t="s">
        <v>108</v>
      </c>
    </row>
    <row r="331" customFormat="false" ht="15" hidden="false" customHeight="false" outlineLevel="0" collapsed="false">
      <c r="A331" s="20" t="n">
        <v>45816</v>
      </c>
      <c r="B331" s="2" t="n">
        <v>21</v>
      </c>
      <c r="C331" s="2" t="s">
        <v>77</v>
      </c>
      <c r="D331" s="21" t="n">
        <v>72400</v>
      </c>
      <c r="E331" s="2" t="s">
        <v>52</v>
      </c>
      <c r="F331" s="2" t="s">
        <v>108</v>
      </c>
    </row>
    <row r="332" customFormat="false" ht="15" hidden="false" customHeight="false" outlineLevel="0" collapsed="false">
      <c r="A332" s="20" t="n">
        <v>45818</v>
      </c>
      <c r="B332" s="2" t="n">
        <v>3</v>
      </c>
      <c r="C332" s="2" t="s">
        <v>56</v>
      </c>
      <c r="D332" s="21" t="n">
        <v>156700</v>
      </c>
      <c r="E332" s="2" t="s">
        <v>52</v>
      </c>
      <c r="F332" s="2" t="s">
        <v>108</v>
      </c>
    </row>
    <row r="333" customFormat="false" ht="15" hidden="false" customHeight="false" outlineLevel="0" collapsed="false">
      <c r="A333" s="20" t="n">
        <v>45818</v>
      </c>
      <c r="B333" s="2" t="n">
        <v>4</v>
      </c>
      <c r="C333" s="2" t="s">
        <v>58</v>
      </c>
      <c r="D333" s="21" t="n">
        <v>97400</v>
      </c>
      <c r="E333" s="2" t="s">
        <v>52</v>
      </c>
      <c r="F333" s="2" t="s">
        <v>108</v>
      </c>
    </row>
    <row r="334" customFormat="false" ht="15" hidden="false" customHeight="false" outlineLevel="0" collapsed="false">
      <c r="A334" s="20" t="n">
        <v>45818</v>
      </c>
      <c r="B334" s="2" t="n">
        <v>18</v>
      </c>
      <c r="C334" s="2" t="s">
        <v>74</v>
      </c>
      <c r="D334" s="21" t="n">
        <v>73100</v>
      </c>
      <c r="E334" s="2" t="s">
        <v>55</v>
      </c>
      <c r="F334" s="2" t="s">
        <v>108</v>
      </c>
    </row>
    <row r="335" customFormat="false" ht="15" hidden="false" customHeight="false" outlineLevel="0" collapsed="false">
      <c r="A335" s="20" t="n">
        <v>45818</v>
      </c>
      <c r="B335" s="2" t="n">
        <v>22</v>
      </c>
      <c r="C335" s="2" t="s">
        <v>79</v>
      </c>
      <c r="D335" s="21" t="n">
        <v>130700</v>
      </c>
      <c r="E335" s="2" t="s">
        <v>55</v>
      </c>
      <c r="F335" s="2" t="s">
        <v>108</v>
      </c>
    </row>
    <row r="336" customFormat="false" ht="15" hidden="false" customHeight="false" outlineLevel="0" collapsed="false">
      <c r="A336" s="20" t="n">
        <v>45819</v>
      </c>
      <c r="B336" s="2" t="n">
        <v>1</v>
      </c>
      <c r="C336" s="2" t="s">
        <v>51</v>
      </c>
      <c r="D336" s="21" t="n">
        <v>92300</v>
      </c>
      <c r="E336" s="2" t="s">
        <v>52</v>
      </c>
      <c r="F336" s="2" t="s">
        <v>108</v>
      </c>
    </row>
    <row r="337" customFormat="false" ht="15" hidden="false" customHeight="false" outlineLevel="0" collapsed="false">
      <c r="A337" s="20" t="n">
        <v>45819</v>
      </c>
      <c r="B337" s="2" t="n">
        <v>6</v>
      </c>
      <c r="C337" s="2" t="s">
        <v>60</v>
      </c>
      <c r="D337" s="21" t="n">
        <v>72600</v>
      </c>
      <c r="E337" s="2" t="s">
        <v>52</v>
      </c>
      <c r="F337" s="2" t="s">
        <v>108</v>
      </c>
    </row>
    <row r="338" customFormat="false" ht="15" hidden="false" customHeight="false" outlineLevel="0" collapsed="false">
      <c r="A338" s="20" t="n">
        <v>45819</v>
      </c>
      <c r="B338" s="2" t="n">
        <v>7</v>
      </c>
      <c r="C338" s="2" t="s">
        <v>62</v>
      </c>
      <c r="D338" s="21" t="n">
        <v>52200</v>
      </c>
      <c r="E338" s="2" t="s">
        <v>52</v>
      </c>
      <c r="F338" s="2" t="s">
        <v>108</v>
      </c>
    </row>
    <row r="339" customFormat="false" ht="15" hidden="false" customHeight="false" outlineLevel="0" collapsed="false">
      <c r="A339" s="20" t="n">
        <v>45819</v>
      </c>
      <c r="B339" s="2" t="n">
        <v>14</v>
      </c>
      <c r="C339" s="2" t="s">
        <v>70</v>
      </c>
      <c r="D339" s="21" t="n">
        <v>89500</v>
      </c>
      <c r="E339" s="2" t="s">
        <v>52</v>
      </c>
      <c r="F339" s="2" t="s">
        <v>108</v>
      </c>
    </row>
    <row r="340" customFormat="false" ht="15" hidden="false" customHeight="false" outlineLevel="0" collapsed="false">
      <c r="A340" s="20" t="n">
        <v>45819</v>
      </c>
      <c r="B340" s="2" t="n">
        <v>23</v>
      </c>
      <c r="C340" s="2" t="s">
        <v>80</v>
      </c>
      <c r="D340" s="21" t="n">
        <v>96300</v>
      </c>
      <c r="E340" s="2" t="s">
        <v>55</v>
      </c>
      <c r="F340" s="2" t="s">
        <v>108</v>
      </c>
    </row>
    <row r="341" customFormat="false" ht="15" hidden="false" customHeight="false" outlineLevel="0" collapsed="false">
      <c r="A341" s="20" t="n">
        <v>45820</v>
      </c>
      <c r="B341" s="2" t="n">
        <v>2</v>
      </c>
      <c r="C341" s="2" t="s">
        <v>54</v>
      </c>
      <c r="D341" s="21" t="n">
        <v>60500</v>
      </c>
      <c r="E341" s="2" t="s">
        <v>55</v>
      </c>
      <c r="F341" s="2" t="s">
        <v>108</v>
      </c>
    </row>
    <row r="342" customFormat="false" ht="15" hidden="false" customHeight="false" outlineLevel="0" collapsed="false">
      <c r="A342" s="20" t="n">
        <v>45820</v>
      </c>
      <c r="B342" s="2" t="n">
        <v>8</v>
      </c>
      <c r="C342" s="2" t="s">
        <v>63</v>
      </c>
      <c r="D342" s="21" t="n">
        <v>145200</v>
      </c>
      <c r="E342" s="2" t="s">
        <v>55</v>
      </c>
      <c r="F342" s="2" t="s">
        <v>108</v>
      </c>
    </row>
    <row r="343" customFormat="false" ht="15" hidden="false" customHeight="false" outlineLevel="0" collapsed="false">
      <c r="A343" s="20" t="n">
        <v>45820</v>
      </c>
      <c r="B343" s="2" t="n">
        <v>11</v>
      </c>
      <c r="C343" s="2" t="s">
        <v>66</v>
      </c>
      <c r="D343" s="21" t="n">
        <v>116500</v>
      </c>
      <c r="E343" s="2" t="s">
        <v>55</v>
      </c>
      <c r="F343" s="2" t="s">
        <v>108</v>
      </c>
    </row>
    <row r="344" customFormat="false" ht="15" hidden="false" customHeight="false" outlineLevel="0" collapsed="false">
      <c r="A344" s="20" t="n">
        <v>45820</v>
      </c>
      <c r="B344" s="2" t="n">
        <v>12</v>
      </c>
      <c r="C344" s="2" t="s">
        <v>67</v>
      </c>
      <c r="D344" s="21" t="n">
        <v>83700</v>
      </c>
      <c r="E344" s="2" t="s">
        <v>55</v>
      </c>
      <c r="F344" s="2" t="s">
        <v>108</v>
      </c>
    </row>
    <row r="345" customFormat="false" ht="15" hidden="false" customHeight="false" outlineLevel="0" collapsed="false">
      <c r="A345" s="20" t="n">
        <v>45820</v>
      </c>
      <c r="B345" s="2" t="n">
        <v>16</v>
      </c>
      <c r="C345" s="2" t="s">
        <v>72</v>
      </c>
      <c r="D345" s="21" t="n">
        <v>72300</v>
      </c>
      <c r="E345" s="2" t="s">
        <v>55</v>
      </c>
      <c r="F345" s="2" t="s">
        <v>108</v>
      </c>
    </row>
    <row r="346" customFormat="false" ht="15" hidden="false" customHeight="false" outlineLevel="0" collapsed="false">
      <c r="A346" s="20" t="n">
        <v>45820</v>
      </c>
      <c r="B346" s="2" t="n">
        <v>17</v>
      </c>
      <c r="C346" s="2" t="s">
        <v>73</v>
      </c>
      <c r="D346" s="21" t="n">
        <v>60200</v>
      </c>
      <c r="E346" s="2" t="s">
        <v>52</v>
      </c>
      <c r="F346" s="2" t="s">
        <v>108</v>
      </c>
    </row>
    <row r="347" customFormat="false" ht="15" hidden="false" customHeight="false" outlineLevel="0" collapsed="false">
      <c r="A347" s="20" t="n">
        <v>45820</v>
      </c>
      <c r="B347" s="2" t="n">
        <v>19</v>
      </c>
      <c r="C347" s="2" t="s">
        <v>75</v>
      </c>
      <c r="D347" s="21" t="n">
        <v>116900</v>
      </c>
      <c r="E347" s="2" t="s">
        <v>52</v>
      </c>
      <c r="F347" s="2" t="s">
        <v>108</v>
      </c>
    </row>
    <row r="348" customFormat="false" ht="15" hidden="false" customHeight="false" outlineLevel="0" collapsed="false">
      <c r="A348" s="20" t="n">
        <v>45821</v>
      </c>
      <c r="B348" s="2" t="n">
        <v>9</v>
      </c>
      <c r="C348" s="2" t="s">
        <v>64</v>
      </c>
      <c r="D348" s="21" t="n">
        <v>45800</v>
      </c>
      <c r="E348" s="2" t="s">
        <v>55</v>
      </c>
      <c r="F348" s="2" t="s">
        <v>108</v>
      </c>
    </row>
    <row r="349" customFormat="false" ht="15" hidden="false" customHeight="false" outlineLevel="0" collapsed="false">
      <c r="A349" s="20" t="n">
        <v>45821</v>
      </c>
      <c r="B349" s="2" t="n">
        <v>22</v>
      </c>
      <c r="C349" s="2" t="s">
        <v>79</v>
      </c>
      <c r="D349" s="21" t="n">
        <v>199100</v>
      </c>
      <c r="E349" s="2" t="s">
        <v>55</v>
      </c>
      <c r="F349" s="2" t="s">
        <v>108</v>
      </c>
    </row>
    <row r="350" customFormat="false" ht="15" hidden="false" customHeight="false" outlineLevel="0" collapsed="false">
      <c r="A350" s="20" t="n">
        <v>45822</v>
      </c>
      <c r="B350" s="2" t="n">
        <v>5</v>
      </c>
      <c r="C350" s="2" t="s">
        <v>59</v>
      </c>
      <c r="D350" s="21" t="n">
        <v>203600</v>
      </c>
      <c r="E350" s="2" t="s">
        <v>52</v>
      </c>
      <c r="F350" s="2" t="s">
        <v>108</v>
      </c>
    </row>
    <row r="351" customFormat="false" ht="15" hidden="false" customHeight="false" outlineLevel="0" collapsed="false">
      <c r="A351" s="20" t="n">
        <v>45822</v>
      </c>
      <c r="B351" s="2" t="n">
        <v>10</v>
      </c>
      <c r="C351" s="2" t="s">
        <v>65</v>
      </c>
      <c r="D351" s="21" t="n">
        <v>67100</v>
      </c>
      <c r="E351" s="2" t="s">
        <v>52</v>
      </c>
      <c r="F351" s="2" t="s">
        <v>108</v>
      </c>
    </row>
    <row r="352" customFormat="false" ht="15" hidden="false" customHeight="false" outlineLevel="0" collapsed="false">
      <c r="A352" s="20" t="n">
        <v>45822</v>
      </c>
      <c r="B352" s="2" t="n">
        <v>13</v>
      </c>
      <c r="C352" s="2" t="s">
        <v>68</v>
      </c>
      <c r="D352" s="21" t="n">
        <v>43900</v>
      </c>
      <c r="E352" s="2" t="s">
        <v>52</v>
      </c>
      <c r="F352" s="2" t="s">
        <v>108</v>
      </c>
    </row>
    <row r="353" customFormat="false" ht="15" hidden="false" customHeight="false" outlineLevel="0" collapsed="false">
      <c r="A353" s="20" t="n">
        <v>45822</v>
      </c>
      <c r="B353" s="2" t="n">
        <v>15</v>
      </c>
      <c r="C353" s="2" t="s">
        <v>71</v>
      </c>
      <c r="D353" s="21" t="n">
        <v>113500</v>
      </c>
      <c r="E353" s="2" t="s">
        <v>52</v>
      </c>
      <c r="F353" s="2" t="s">
        <v>108</v>
      </c>
    </row>
    <row r="354" customFormat="false" ht="15" hidden="false" customHeight="false" outlineLevel="0" collapsed="false">
      <c r="A354" s="20" t="n">
        <v>45822</v>
      </c>
      <c r="B354" s="2" t="n">
        <v>21</v>
      </c>
      <c r="C354" s="2" t="s">
        <v>77</v>
      </c>
      <c r="D354" s="21" t="n">
        <v>60700</v>
      </c>
      <c r="E354" s="2" t="s">
        <v>52</v>
      </c>
      <c r="F354" s="2" t="s">
        <v>108</v>
      </c>
    </row>
    <row r="355" customFormat="false" ht="15" hidden="false" customHeight="false" outlineLevel="0" collapsed="false">
      <c r="A355" s="20" t="n">
        <v>45823</v>
      </c>
      <c r="B355" s="2" t="n">
        <v>4</v>
      </c>
      <c r="C355" s="2" t="s">
        <v>58</v>
      </c>
      <c r="D355" s="21" t="n">
        <v>141300</v>
      </c>
      <c r="E355" s="2" t="s">
        <v>52</v>
      </c>
      <c r="F355" s="2" t="s">
        <v>108</v>
      </c>
    </row>
    <row r="356" customFormat="false" ht="15" hidden="false" customHeight="false" outlineLevel="0" collapsed="false">
      <c r="A356" s="20" t="n">
        <v>45823</v>
      </c>
      <c r="B356" s="2" t="n">
        <v>20</v>
      </c>
      <c r="C356" s="2" t="s">
        <v>76</v>
      </c>
      <c r="D356" s="21" t="n">
        <v>182500</v>
      </c>
      <c r="E356" s="2" t="s">
        <v>52</v>
      </c>
      <c r="F356" s="2" t="s">
        <v>108</v>
      </c>
    </row>
    <row r="357" customFormat="false" ht="15" hidden="false" customHeight="false" outlineLevel="0" collapsed="false">
      <c r="A357" s="20" t="n">
        <v>45825</v>
      </c>
      <c r="B357" s="2" t="n">
        <v>3</v>
      </c>
      <c r="C357" s="2" t="s">
        <v>56</v>
      </c>
      <c r="D357" s="21" t="n">
        <v>114100</v>
      </c>
      <c r="E357" s="2" t="s">
        <v>52</v>
      </c>
      <c r="F357" s="2" t="s">
        <v>108</v>
      </c>
    </row>
    <row r="358" customFormat="false" ht="15" hidden="false" customHeight="false" outlineLevel="0" collapsed="false">
      <c r="A358" s="20" t="n">
        <v>45825</v>
      </c>
      <c r="B358" s="2" t="n">
        <v>7</v>
      </c>
      <c r="C358" s="2" t="s">
        <v>62</v>
      </c>
      <c r="D358" s="21" t="n">
        <v>59200</v>
      </c>
      <c r="E358" s="2" t="s">
        <v>52</v>
      </c>
      <c r="F358" s="2" t="s">
        <v>108</v>
      </c>
    </row>
    <row r="359" customFormat="false" ht="15" hidden="false" customHeight="false" outlineLevel="0" collapsed="false">
      <c r="A359" s="20" t="n">
        <v>45826</v>
      </c>
      <c r="B359" s="2" t="n">
        <v>11</v>
      </c>
      <c r="C359" s="2" t="s">
        <v>66</v>
      </c>
      <c r="D359" s="21" t="n">
        <v>133100</v>
      </c>
      <c r="E359" s="2" t="s">
        <v>55</v>
      </c>
      <c r="F359" s="2" t="s">
        <v>108</v>
      </c>
    </row>
    <row r="360" customFormat="false" ht="15" hidden="false" customHeight="false" outlineLevel="0" collapsed="false">
      <c r="A360" s="20" t="n">
        <v>45826</v>
      </c>
      <c r="B360" s="2" t="n">
        <v>19</v>
      </c>
      <c r="C360" s="2" t="s">
        <v>75</v>
      </c>
      <c r="D360" s="21" t="n">
        <v>97300</v>
      </c>
      <c r="E360" s="2" t="s">
        <v>52</v>
      </c>
      <c r="F360" s="2" t="s">
        <v>108</v>
      </c>
    </row>
    <row r="361" customFormat="false" ht="15" hidden="false" customHeight="false" outlineLevel="0" collapsed="false">
      <c r="A361" s="20" t="n">
        <v>45827</v>
      </c>
      <c r="B361" s="2" t="n">
        <v>1</v>
      </c>
      <c r="C361" s="2" t="s">
        <v>51</v>
      </c>
      <c r="D361" s="21" t="n">
        <v>130700</v>
      </c>
      <c r="E361" s="2" t="s">
        <v>52</v>
      </c>
      <c r="F361" s="2" t="s">
        <v>108</v>
      </c>
    </row>
    <row r="362" customFormat="false" ht="15" hidden="false" customHeight="false" outlineLevel="0" collapsed="false">
      <c r="A362" s="20" t="n">
        <v>45827</v>
      </c>
      <c r="B362" s="2" t="n">
        <v>15</v>
      </c>
      <c r="C362" s="2" t="s">
        <v>71</v>
      </c>
      <c r="D362" s="21" t="n">
        <v>126300</v>
      </c>
      <c r="E362" s="2" t="s">
        <v>52</v>
      </c>
      <c r="F362" s="2" t="s">
        <v>108</v>
      </c>
    </row>
    <row r="363" customFormat="false" ht="15" hidden="false" customHeight="false" outlineLevel="0" collapsed="false">
      <c r="A363" s="20" t="n">
        <v>45827</v>
      </c>
      <c r="B363" s="2" t="n">
        <v>22</v>
      </c>
      <c r="C363" s="2" t="s">
        <v>79</v>
      </c>
      <c r="D363" s="21" t="n">
        <v>188500</v>
      </c>
      <c r="E363" s="2" t="s">
        <v>55</v>
      </c>
      <c r="F363" s="2" t="s">
        <v>108</v>
      </c>
    </row>
    <row r="364" customFormat="false" ht="15" hidden="false" customHeight="false" outlineLevel="0" collapsed="false">
      <c r="A364" s="20" t="n">
        <v>45827</v>
      </c>
      <c r="B364" s="2" t="n">
        <v>23</v>
      </c>
      <c r="C364" s="2" t="s">
        <v>80</v>
      </c>
      <c r="D364" s="21" t="n">
        <v>102800</v>
      </c>
      <c r="E364" s="2" t="s">
        <v>55</v>
      </c>
      <c r="F364" s="2" t="s">
        <v>108</v>
      </c>
    </row>
    <row r="365" customFormat="false" ht="15" hidden="false" customHeight="false" outlineLevel="0" collapsed="false">
      <c r="A365" s="20" t="n">
        <v>45828</v>
      </c>
      <c r="B365" s="2" t="n">
        <v>2</v>
      </c>
      <c r="C365" s="2" t="s">
        <v>54</v>
      </c>
      <c r="D365" s="21" t="n">
        <v>63700</v>
      </c>
      <c r="E365" s="2" t="s">
        <v>55</v>
      </c>
      <c r="F365" s="2" t="s">
        <v>108</v>
      </c>
    </row>
    <row r="366" customFormat="false" ht="15" hidden="false" customHeight="false" outlineLevel="0" collapsed="false">
      <c r="A366" s="20" t="n">
        <v>45828</v>
      </c>
      <c r="B366" s="2" t="n">
        <v>4</v>
      </c>
      <c r="C366" s="2" t="s">
        <v>58</v>
      </c>
      <c r="D366" s="21" t="n">
        <v>114900</v>
      </c>
      <c r="E366" s="2" t="s">
        <v>52</v>
      </c>
      <c r="F366" s="2" t="s">
        <v>108</v>
      </c>
    </row>
    <row r="367" customFormat="false" ht="15" hidden="false" customHeight="false" outlineLevel="0" collapsed="false">
      <c r="A367" s="20" t="n">
        <v>45828</v>
      </c>
      <c r="B367" s="2" t="n">
        <v>6</v>
      </c>
      <c r="C367" s="2" t="s">
        <v>60</v>
      </c>
      <c r="D367" s="21" t="n">
        <v>46900</v>
      </c>
      <c r="E367" s="2" t="s">
        <v>52</v>
      </c>
      <c r="F367" s="2" t="s">
        <v>108</v>
      </c>
    </row>
    <row r="368" customFormat="false" ht="15" hidden="false" customHeight="false" outlineLevel="0" collapsed="false">
      <c r="A368" s="20" t="n">
        <v>45828</v>
      </c>
      <c r="B368" s="2" t="n">
        <v>8</v>
      </c>
      <c r="C368" s="2" t="s">
        <v>63</v>
      </c>
      <c r="D368" s="21" t="n">
        <v>150000</v>
      </c>
      <c r="E368" s="2" t="s">
        <v>55</v>
      </c>
      <c r="F368" s="2" t="s">
        <v>108</v>
      </c>
    </row>
    <row r="369" customFormat="false" ht="15" hidden="false" customHeight="false" outlineLevel="0" collapsed="false">
      <c r="A369" s="20" t="n">
        <v>45828</v>
      </c>
      <c r="B369" s="2" t="n">
        <v>9</v>
      </c>
      <c r="C369" s="2" t="s">
        <v>64</v>
      </c>
      <c r="D369" s="21" t="n">
        <v>68200</v>
      </c>
      <c r="E369" s="2" t="s">
        <v>55</v>
      </c>
      <c r="F369" s="2" t="s">
        <v>108</v>
      </c>
    </row>
    <row r="370" customFormat="false" ht="15" hidden="false" customHeight="false" outlineLevel="0" collapsed="false">
      <c r="A370" s="20" t="n">
        <v>45828</v>
      </c>
      <c r="B370" s="2" t="n">
        <v>16</v>
      </c>
      <c r="C370" s="2" t="s">
        <v>72</v>
      </c>
      <c r="D370" s="21" t="n">
        <v>95300</v>
      </c>
      <c r="E370" s="2" t="s">
        <v>55</v>
      </c>
      <c r="F370" s="2" t="s">
        <v>108</v>
      </c>
    </row>
    <row r="371" customFormat="false" ht="15" hidden="false" customHeight="false" outlineLevel="0" collapsed="false">
      <c r="A371" s="20" t="n">
        <v>45828</v>
      </c>
      <c r="B371" s="2" t="n">
        <v>17</v>
      </c>
      <c r="C371" s="2" t="s">
        <v>73</v>
      </c>
      <c r="D371" s="21" t="n">
        <v>62900</v>
      </c>
      <c r="E371" s="2" t="s">
        <v>52</v>
      </c>
      <c r="F371" s="2" t="s">
        <v>108</v>
      </c>
    </row>
    <row r="372" customFormat="false" ht="15" hidden="false" customHeight="false" outlineLevel="0" collapsed="false">
      <c r="A372" s="20" t="n">
        <v>45828</v>
      </c>
      <c r="B372" s="2" t="n">
        <v>19</v>
      </c>
      <c r="C372" s="2" t="s">
        <v>75</v>
      </c>
      <c r="D372" s="21" t="n">
        <v>99900</v>
      </c>
      <c r="E372" s="2" t="s">
        <v>52</v>
      </c>
      <c r="F372" s="2" t="s">
        <v>108</v>
      </c>
    </row>
    <row r="373" customFormat="false" ht="15" hidden="false" customHeight="false" outlineLevel="0" collapsed="false">
      <c r="A373" s="20" t="n">
        <v>45828</v>
      </c>
      <c r="B373" s="2" t="n">
        <v>21</v>
      </c>
      <c r="C373" s="2" t="s">
        <v>77</v>
      </c>
      <c r="D373" s="21" t="n">
        <v>68900</v>
      </c>
      <c r="E373" s="2" t="s">
        <v>52</v>
      </c>
      <c r="F373" s="2" t="s">
        <v>108</v>
      </c>
    </row>
    <row r="374" customFormat="false" ht="15" hidden="false" customHeight="false" outlineLevel="0" collapsed="false">
      <c r="A374" s="20" t="n">
        <v>45829</v>
      </c>
      <c r="B374" s="2" t="n">
        <v>12</v>
      </c>
      <c r="C374" s="2" t="s">
        <v>67</v>
      </c>
      <c r="D374" s="21" t="n">
        <v>107500</v>
      </c>
      <c r="E374" s="2" t="s">
        <v>55</v>
      </c>
      <c r="F374" s="2" t="s">
        <v>108</v>
      </c>
    </row>
    <row r="375" customFormat="false" ht="15" hidden="false" customHeight="false" outlineLevel="0" collapsed="false">
      <c r="A375" s="20" t="n">
        <v>45830</v>
      </c>
      <c r="B375" s="2" t="n">
        <v>3</v>
      </c>
      <c r="C375" s="2" t="s">
        <v>56</v>
      </c>
      <c r="D375" s="21" t="n">
        <v>112500</v>
      </c>
      <c r="E375" s="2" t="s">
        <v>52</v>
      </c>
      <c r="F375" s="2" t="s">
        <v>108</v>
      </c>
    </row>
    <row r="376" customFormat="false" ht="15" hidden="false" customHeight="false" outlineLevel="0" collapsed="false">
      <c r="A376" s="20" t="n">
        <v>45830</v>
      </c>
      <c r="B376" s="2" t="n">
        <v>5</v>
      </c>
      <c r="C376" s="2" t="s">
        <v>59</v>
      </c>
      <c r="D376" s="21" t="n">
        <v>145600</v>
      </c>
      <c r="E376" s="2" t="s">
        <v>52</v>
      </c>
      <c r="F376" s="2" t="s">
        <v>108</v>
      </c>
    </row>
    <row r="377" customFormat="false" ht="15" hidden="false" customHeight="false" outlineLevel="0" collapsed="false">
      <c r="A377" s="20" t="n">
        <v>45830</v>
      </c>
      <c r="B377" s="2" t="n">
        <v>10</v>
      </c>
      <c r="C377" s="2" t="s">
        <v>65</v>
      </c>
      <c r="D377" s="21" t="n">
        <v>64900</v>
      </c>
      <c r="E377" s="2" t="s">
        <v>52</v>
      </c>
      <c r="F377" s="2" t="s">
        <v>108</v>
      </c>
    </row>
    <row r="378" customFormat="false" ht="15" hidden="false" customHeight="false" outlineLevel="0" collapsed="false">
      <c r="A378" s="20" t="n">
        <v>45830</v>
      </c>
      <c r="B378" s="2" t="n">
        <v>13</v>
      </c>
      <c r="C378" s="2" t="s">
        <v>68</v>
      </c>
      <c r="D378" s="21" t="n">
        <v>42900</v>
      </c>
      <c r="E378" s="2" t="s">
        <v>52</v>
      </c>
      <c r="F378" s="2" t="s">
        <v>108</v>
      </c>
    </row>
    <row r="379" customFormat="false" ht="15" hidden="false" customHeight="false" outlineLevel="0" collapsed="false">
      <c r="A379" s="20" t="n">
        <v>45830</v>
      </c>
      <c r="B379" s="2" t="n">
        <v>14</v>
      </c>
      <c r="C379" s="2" t="s">
        <v>70</v>
      </c>
      <c r="D379" s="21" t="n">
        <v>68300</v>
      </c>
      <c r="E379" s="2" t="s">
        <v>52</v>
      </c>
      <c r="F379" s="2" t="s">
        <v>108</v>
      </c>
    </row>
    <row r="380" customFormat="false" ht="15" hidden="false" customHeight="false" outlineLevel="0" collapsed="false">
      <c r="A380" s="20" t="n">
        <v>45830</v>
      </c>
      <c r="B380" s="2" t="n">
        <v>18</v>
      </c>
      <c r="C380" s="2" t="s">
        <v>74</v>
      </c>
      <c r="D380" s="21" t="n">
        <v>65700</v>
      </c>
      <c r="E380" s="2" t="s">
        <v>55</v>
      </c>
      <c r="F380" s="2" t="s">
        <v>108</v>
      </c>
    </row>
    <row r="381" customFormat="false" ht="15" hidden="false" customHeight="false" outlineLevel="0" collapsed="false">
      <c r="A381" s="20" t="n">
        <v>45830</v>
      </c>
      <c r="B381" s="2" t="n">
        <v>19</v>
      </c>
      <c r="C381" s="2" t="s">
        <v>75</v>
      </c>
      <c r="D381" s="21" t="n">
        <v>120600</v>
      </c>
      <c r="E381" s="2" t="s">
        <v>52</v>
      </c>
      <c r="F381" s="2" t="s">
        <v>108</v>
      </c>
    </row>
    <row r="382" customFormat="false" ht="15" hidden="false" customHeight="false" outlineLevel="0" collapsed="false">
      <c r="A382" s="20" t="n">
        <v>45830</v>
      </c>
      <c r="B382" s="2" t="n">
        <v>23</v>
      </c>
      <c r="C382" s="2" t="s">
        <v>80</v>
      </c>
      <c r="D382" s="21" t="n">
        <v>96200</v>
      </c>
      <c r="E382" s="2" t="s">
        <v>55</v>
      </c>
      <c r="F382" s="2" t="s">
        <v>108</v>
      </c>
    </row>
    <row r="383" customFormat="false" ht="15" hidden="false" customHeight="false" outlineLevel="0" collapsed="false">
      <c r="A383" s="20" t="n">
        <v>45832</v>
      </c>
      <c r="B383" s="2" t="n">
        <v>8</v>
      </c>
      <c r="C383" s="2" t="s">
        <v>63</v>
      </c>
      <c r="D383" s="21" t="n">
        <v>129500</v>
      </c>
      <c r="E383" s="2" t="s">
        <v>55</v>
      </c>
      <c r="F383" s="2" t="s">
        <v>108</v>
      </c>
    </row>
    <row r="384" customFormat="false" ht="15" hidden="false" customHeight="false" outlineLevel="0" collapsed="false">
      <c r="A384" s="20" t="n">
        <v>45832</v>
      </c>
      <c r="B384" s="2" t="n">
        <v>11</v>
      </c>
      <c r="C384" s="2" t="s">
        <v>66</v>
      </c>
      <c r="D384" s="21" t="n">
        <v>142000</v>
      </c>
      <c r="E384" s="2" t="s">
        <v>55</v>
      </c>
      <c r="F384" s="2" t="s">
        <v>108</v>
      </c>
    </row>
    <row r="385" customFormat="false" ht="15" hidden="false" customHeight="false" outlineLevel="0" collapsed="false">
      <c r="A385" s="20" t="n">
        <v>45832</v>
      </c>
      <c r="B385" s="2" t="n">
        <v>15</v>
      </c>
      <c r="C385" s="2" t="s">
        <v>71</v>
      </c>
      <c r="D385" s="21" t="n">
        <v>94400</v>
      </c>
      <c r="E385" s="2" t="s">
        <v>52</v>
      </c>
      <c r="F385" s="2" t="s">
        <v>108</v>
      </c>
    </row>
    <row r="386" customFormat="false" ht="15" hidden="false" customHeight="false" outlineLevel="0" collapsed="false">
      <c r="A386" s="20" t="n">
        <v>45833</v>
      </c>
      <c r="B386" s="2" t="n">
        <v>7</v>
      </c>
      <c r="C386" s="2" t="s">
        <v>62</v>
      </c>
      <c r="D386" s="21" t="n">
        <v>41300</v>
      </c>
      <c r="E386" s="2" t="s">
        <v>52</v>
      </c>
      <c r="F386" s="2" t="s">
        <v>108</v>
      </c>
    </row>
    <row r="387" customFormat="false" ht="15" hidden="false" customHeight="false" outlineLevel="0" collapsed="false">
      <c r="A387" s="20" t="n">
        <v>45833</v>
      </c>
      <c r="B387" s="2" t="n">
        <v>19</v>
      </c>
      <c r="C387" s="2" t="s">
        <v>75</v>
      </c>
      <c r="D387" s="21" t="n">
        <v>105900</v>
      </c>
      <c r="E387" s="2" t="s">
        <v>52</v>
      </c>
      <c r="F387" s="2" t="s">
        <v>108</v>
      </c>
    </row>
    <row r="388" customFormat="false" ht="15" hidden="false" customHeight="false" outlineLevel="0" collapsed="false">
      <c r="A388" s="20" t="n">
        <v>45834</v>
      </c>
      <c r="B388" s="2" t="n">
        <v>1</v>
      </c>
      <c r="C388" s="2" t="s">
        <v>51</v>
      </c>
      <c r="D388" s="21" t="n">
        <v>108600</v>
      </c>
      <c r="E388" s="2" t="s">
        <v>52</v>
      </c>
      <c r="F388" s="2" t="s">
        <v>108</v>
      </c>
    </row>
    <row r="389" customFormat="false" ht="15" hidden="false" customHeight="false" outlineLevel="0" collapsed="false">
      <c r="A389" s="20" t="n">
        <v>45834</v>
      </c>
      <c r="B389" s="2" t="n">
        <v>8</v>
      </c>
      <c r="C389" s="2" t="s">
        <v>63</v>
      </c>
      <c r="D389" s="21" t="n">
        <v>125100</v>
      </c>
      <c r="E389" s="2" t="s">
        <v>55</v>
      </c>
      <c r="F389" s="2" t="s">
        <v>108</v>
      </c>
    </row>
    <row r="390" customFormat="false" ht="15" hidden="false" customHeight="false" outlineLevel="0" collapsed="false">
      <c r="A390" s="20" t="n">
        <v>45835</v>
      </c>
      <c r="B390" s="2" t="n">
        <v>2</v>
      </c>
      <c r="C390" s="2" t="s">
        <v>54</v>
      </c>
      <c r="D390" s="21" t="n">
        <v>47400</v>
      </c>
      <c r="E390" s="2" t="s">
        <v>55</v>
      </c>
      <c r="F390" s="2" t="s">
        <v>108</v>
      </c>
    </row>
    <row r="391" customFormat="false" ht="15" hidden="false" customHeight="false" outlineLevel="0" collapsed="false">
      <c r="A391" s="20" t="n">
        <v>45835</v>
      </c>
      <c r="B391" s="2" t="n">
        <v>4</v>
      </c>
      <c r="C391" s="2" t="s">
        <v>58</v>
      </c>
      <c r="D391" s="21" t="n">
        <v>117500</v>
      </c>
      <c r="E391" s="2" t="s">
        <v>52</v>
      </c>
      <c r="F391" s="2" t="s">
        <v>108</v>
      </c>
    </row>
    <row r="392" customFormat="false" ht="15" hidden="false" customHeight="false" outlineLevel="0" collapsed="false">
      <c r="A392" s="20" t="n">
        <v>45835</v>
      </c>
      <c r="B392" s="2" t="n">
        <v>9</v>
      </c>
      <c r="C392" s="2" t="s">
        <v>64</v>
      </c>
      <c r="D392" s="21" t="n">
        <v>46700</v>
      </c>
      <c r="E392" s="2" t="s">
        <v>55</v>
      </c>
      <c r="F392" s="2" t="s">
        <v>108</v>
      </c>
    </row>
    <row r="393" customFormat="false" ht="15" hidden="false" customHeight="false" outlineLevel="0" collapsed="false">
      <c r="A393" s="20" t="n">
        <v>45835</v>
      </c>
      <c r="B393" s="2" t="n">
        <v>16</v>
      </c>
      <c r="C393" s="2" t="s">
        <v>72</v>
      </c>
      <c r="D393" s="21" t="n">
        <v>76100</v>
      </c>
      <c r="E393" s="2" t="s">
        <v>55</v>
      </c>
      <c r="F393" s="2" t="s">
        <v>108</v>
      </c>
    </row>
    <row r="394" customFormat="false" ht="15" hidden="false" customHeight="false" outlineLevel="0" collapsed="false">
      <c r="A394" s="20" t="n">
        <v>45835</v>
      </c>
      <c r="B394" s="2" t="n">
        <v>19</v>
      </c>
      <c r="C394" s="2" t="s">
        <v>75</v>
      </c>
      <c r="D394" s="21" t="n">
        <v>79700</v>
      </c>
      <c r="E394" s="2" t="s">
        <v>52</v>
      </c>
      <c r="F394" s="2" t="s">
        <v>108</v>
      </c>
    </row>
    <row r="395" customFormat="false" ht="15" hidden="false" customHeight="false" outlineLevel="0" collapsed="false">
      <c r="A395" s="20" t="n">
        <v>45835</v>
      </c>
      <c r="B395" s="2" t="n">
        <v>22</v>
      </c>
      <c r="C395" s="2" t="s">
        <v>79</v>
      </c>
      <c r="D395" s="21" t="n">
        <v>188600</v>
      </c>
      <c r="E395" s="2" t="s">
        <v>55</v>
      </c>
      <c r="F395" s="2" t="s">
        <v>108</v>
      </c>
    </row>
    <row r="396" customFormat="false" ht="15" hidden="false" customHeight="false" outlineLevel="0" collapsed="false">
      <c r="A396" s="20" t="n">
        <v>45835</v>
      </c>
      <c r="B396" s="2" t="n">
        <v>23</v>
      </c>
      <c r="C396" s="2" t="s">
        <v>80</v>
      </c>
      <c r="D396" s="21" t="n">
        <v>107600</v>
      </c>
      <c r="E396" s="2" t="s">
        <v>55</v>
      </c>
      <c r="F396" s="2" t="s">
        <v>108</v>
      </c>
    </row>
    <row r="397" customFormat="false" ht="15" hidden="false" customHeight="false" outlineLevel="0" collapsed="false">
      <c r="A397" s="20" t="n">
        <v>45836</v>
      </c>
      <c r="B397" s="2" t="n">
        <v>6</v>
      </c>
      <c r="C397" s="2" t="s">
        <v>60</v>
      </c>
      <c r="D397" s="21" t="n">
        <v>71600</v>
      </c>
      <c r="E397" s="2" t="s">
        <v>52</v>
      </c>
      <c r="F397" s="2" t="s">
        <v>108</v>
      </c>
    </row>
    <row r="398" customFormat="false" ht="15" hidden="false" customHeight="false" outlineLevel="0" collapsed="false">
      <c r="A398" s="20" t="n">
        <v>45836</v>
      </c>
      <c r="B398" s="2" t="n">
        <v>14</v>
      </c>
      <c r="C398" s="2" t="s">
        <v>70</v>
      </c>
      <c r="D398" s="21" t="n">
        <v>88900</v>
      </c>
      <c r="E398" s="2" t="s">
        <v>52</v>
      </c>
      <c r="F398" s="2" t="s">
        <v>108</v>
      </c>
    </row>
    <row r="399" customFormat="false" ht="15" hidden="false" customHeight="false" outlineLevel="0" collapsed="false">
      <c r="A399" s="20" t="n">
        <v>45836</v>
      </c>
      <c r="B399" s="2" t="n">
        <v>17</v>
      </c>
      <c r="C399" s="2" t="s">
        <v>73</v>
      </c>
      <c r="D399" s="21" t="n">
        <v>60800</v>
      </c>
      <c r="E399" s="2" t="s">
        <v>52</v>
      </c>
      <c r="F399" s="2" t="s">
        <v>108</v>
      </c>
    </row>
    <row r="400" customFormat="false" ht="15" hidden="false" customHeight="false" outlineLevel="0" collapsed="false">
      <c r="A400" s="20" t="n">
        <v>45836</v>
      </c>
      <c r="B400" s="2" t="n">
        <v>18</v>
      </c>
      <c r="C400" s="2" t="s">
        <v>74</v>
      </c>
      <c r="D400" s="21" t="n">
        <v>55200</v>
      </c>
      <c r="E400" s="2" t="s">
        <v>55</v>
      </c>
      <c r="F400" s="2" t="s">
        <v>108</v>
      </c>
    </row>
    <row r="401" customFormat="false" ht="15" hidden="false" customHeight="false" outlineLevel="0" collapsed="false">
      <c r="A401" s="20" t="n">
        <v>45836</v>
      </c>
      <c r="B401" s="2" t="n">
        <v>21</v>
      </c>
      <c r="C401" s="2" t="s">
        <v>77</v>
      </c>
      <c r="D401" s="21" t="n">
        <v>61100</v>
      </c>
      <c r="E401" s="2" t="s">
        <v>52</v>
      </c>
      <c r="F401" s="2" t="s">
        <v>108</v>
      </c>
    </row>
    <row r="402" customFormat="false" ht="15" hidden="false" customHeight="false" outlineLevel="0" collapsed="false">
      <c r="A402" s="20" t="n">
        <v>45837</v>
      </c>
      <c r="B402" s="2" t="n">
        <v>3</v>
      </c>
      <c r="C402" s="2" t="s">
        <v>56</v>
      </c>
      <c r="D402" s="21" t="n">
        <v>151800</v>
      </c>
      <c r="E402" s="2" t="s">
        <v>52</v>
      </c>
      <c r="F402" s="2" t="s">
        <v>108</v>
      </c>
    </row>
    <row r="403" customFormat="false" ht="15" hidden="false" customHeight="false" outlineLevel="0" collapsed="false">
      <c r="A403" s="20" t="n">
        <v>45837</v>
      </c>
      <c r="B403" s="2" t="n">
        <v>10</v>
      </c>
      <c r="C403" s="2" t="s">
        <v>65</v>
      </c>
      <c r="D403" s="21" t="n">
        <v>55600</v>
      </c>
      <c r="E403" s="2" t="s">
        <v>52</v>
      </c>
      <c r="F403" s="2" t="s">
        <v>108</v>
      </c>
    </row>
    <row r="404" customFormat="false" ht="15" hidden="false" customHeight="false" outlineLevel="0" collapsed="false">
      <c r="A404" s="20" t="n">
        <v>45839</v>
      </c>
      <c r="B404" s="2" t="n">
        <v>11</v>
      </c>
      <c r="C404" s="2" t="s">
        <v>66</v>
      </c>
      <c r="D404" s="21" t="n">
        <v>108900</v>
      </c>
      <c r="E404" s="2" t="s">
        <v>55</v>
      </c>
      <c r="F404" s="2" t="s">
        <v>108</v>
      </c>
    </row>
    <row r="405" customFormat="false" ht="15" hidden="false" customHeight="false" outlineLevel="0" collapsed="false">
      <c r="A405" s="20" t="n">
        <v>45839</v>
      </c>
      <c r="B405" s="2" t="n">
        <v>19</v>
      </c>
      <c r="C405" s="2" t="s">
        <v>75</v>
      </c>
      <c r="D405" s="21" t="n">
        <v>92900</v>
      </c>
      <c r="E405" s="2" t="s">
        <v>52</v>
      </c>
      <c r="F405" s="2" t="s">
        <v>108</v>
      </c>
    </row>
    <row r="406" customFormat="false" ht="15" hidden="false" customHeight="false" outlineLevel="0" collapsed="false">
      <c r="A406" s="20" t="n">
        <v>45839</v>
      </c>
      <c r="B406" s="2" t="n">
        <v>22</v>
      </c>
      <c r="C406" s="2" t="s">
        <v>79</v>
      </c>
      <c r="D406" s="21" t="n">
        <v>151000</v>
      </c>
      <c r="E406" s="2" t="s">
        <v>55</v>
      </c>
      <c r="F406" s="2" t="s">
        <v>108</v>
      </c>
    </row>
    <row r="407" customFormat="false" ht="15" hidden="false" customHeight="false" outlineLevel="0" collapsed="false">
      <c r="A407" s="20" t="n">
        <v>45840</v>
      </c>
      <c r="B407" s="2" t="n">
        <v>1</v>
      </c>
      <c r="C407" s="2" t="s">
        <v>51</v>
      </c>
      <c r="D407" s="21" t="n">
        <v>122400</v>
      </c>
      <c r="E407" s="2" t="s">
        <v>52</v>
      </c>
      <c r="F407" s="2" t="s">
        <v>108</v>
      </c>
    </row>
    <row r="408" customFormat="false" ht="15" hidden="false" customHeight="false" outlineLevel="0" collapsed="false">
      <c r="A408" s="20" t="n">
        <v>45840</v>
      </c>
      <c r="B408" s="2" t="n">
        <v>4</v>
      </c>
      <c r="C408" s="2" t="s">
        <v>58</v>
      </c>
      <c r="D408" s="21" t="n">
        <v>92600</v>
      </c>
      <c r="E408" s="2" t="s">
        <v>52</v>
      </c>
      <c r="F408" s="2" t="s">
        <v>108</v>
      </c>
    </row>
    <row r="409" customFormat="false" ht="15" hidden="false" customHeight="false" outlineLevel="0" collapsed="false">
      <c r="A409" s="20" t="n">
        <v>45841</v>
      </c>
      <c r="B409" s="2" t="n">
        <v>7</v>
      </c>
      <c r="C409" s="2" t="s">
        <v>62</v>
      </c>
      <c r="D409" s="21" t="n">
        <v>42600</v>
      </c>
      <c r="E409" s="2" t="s">
        <v>52</v>
      </c>
      <c r="F409" s="2" t="s">
        <v>108</v>
      </c>
    </row>
    <row r="410" customFormat="false" ht="15" hidden="false" customHeight="false" outlineLevel="0" collapsed="false">
      <c r="A410" s="20" t="n">
        <v>45841</v>
      </c>
      <c r="B410" s="2" t="n">
        <v>14</v>
      </c>
      <c r="C410" s="2" t="s">
        <v>70</v>
      </c>
      <c r="D410" s="21" t="n">
        <v>84900</v>
      </c>
      <c r="E410" s="2" t="s">
        <v>52</v>
      </c>
      <c r="F410" s="2" t="s">
        <v>108</v>
      </c>
    </row>
    <row r="411" customFormat="false" ht="15" hidden="false" customHeight="false" outlineLevel="0" collapsed="false">
      <c r="A411" s="20" t="n">
        <v>45841</v>
      </c>
      <c r="B411" s="2" t="n">
        <v>16</v>
      </c>
      <c r="C411" s="2" t="s">
        <v>72</v>
      </c>
      <c r="D411" s="21" t="n">
        <v>68300</v>
      </c>
      <c r="E411" s="2" t="s">
        <v>55</v>
      </c>
      <c r="F411" s="2" t="s">
        <v>108</v>
      </c>
    </row>
    <row r="412" customFormat="false" ht="15" hidden="false" customHeight="false" outlineLevel="0" collapsed="false">
      <c r="A412" s="20" t="n">
        <v>45841</v>
      </c>
      <c r="B412" s="2" t="n">
        <v>18</v>
      </c>
      <c r="C412" s="2" t="s">
        <v>74</v>
      </c>
      <c r="D412" s="21" t="n">
        <v>55100</v>
      </c>
      <c r="E412" s="2" t="s">
        <v>55</v>
      </c>
      <c r="F412" s="2" t="s">
        <v>108</v>
      </c>
    </row>
    <row r="413" customFormat="false" ht="15" hidden="false" customHeight="false" outlineLevel="0" collapsed="false">
      <c r="A413" s="20" t="n">
        <v>45842</v>
      </c>
      <c r="B413" s="2" t="n">
        <v>2</v>
      </c>
      <c r="C413" s="2" t="s">
        <v>54</v>
      </c>
      <c r="D413" s="21" t="n">
        <v>48400</v>
      </c>
      <c r="E413" s="2" t="s">
        <v>55</v>
      </c>
      <c r="F413" s="2" t="s">
        <v>108</v>
      </c>
    </row>
    <row r="414" customFormat="false" ht="15" hidden="false" customHeight="false" outlineLevel="0" collapsed="false">
      <c r="A414" s="20" t="n">
        <v>45842</v>
      </c>
      <c r="B414" s="2" t="n">
        <v>8</v>
      </c>
      <c r="C414" s="2" t="s">
        <v>63</v>
      </c>
      <c r="D414" s="21" t="n">
        <v>123800</v>
      </c>
      <c r="E414" s="2" t="s">
        <v>55</v>
      </c>
      <c r="F414" s="2" t="s">
        <v>108</v>
      </c>
    </row>
    <row r="415" customFormat="false" ht="15" hidden="false" customHeight="false" outlineLevel="0" collapsed="false">
      <c r="A415" s="20" t="n">
        <v>45842</v>
      </c>
      <c r="B415" s="2" t="n">
        <v>19</v>
      </c>
      <c r="C415" s="2" t="s">
        <v>75</v>
      </c>
      <c r="D415" s="21" t="n">
        <v>104800</v>
      </c>
      <c r="E415" s="2" t="s">
        <v>52</v>
      </c>
      <c r="F415" s="2" t="s">
        <v>108</v>
      </c>
    </row>
    <row r="416" customFormat="false" ht="15" hidden="false" customHeight="false" outlineLevel="0" collapsed="false">
      <c r="A416" s="20" t="n">
        <v>45843</v>
      </c>
      <c r="B416" s="2" t="n">
        <v>3</v>
      </c>
      <c r="C416" s="2" t="s">
        <v>56</v>
      </c>
      <c r="D416" s="21" t="n">
        <v>172900</v>
      </c>
      <c r="E416" s="2" t="s">
        <v>52</v>
      </c>
      <c r="F416" s="2" t="s">
        <v>108</v>
      </c>
    </row>
    <row r="417" customFormat="false" ht="15" hidden="false" customHeight="false" outlineLevel="0" collapsed="false">
      <c r="A417" s="20" t="n">
        <v>45843</v>
      </c>
      <c r="B417" s="2" t="n">
        <v>10</v>
      </c>
      <c r="C417" s="2" t="s">
        <v>65</v>
      </c>
      <c r="D417" s="21" t="n">
        <v>76200</v>
      </c>
      <c r="E417" s="2" t="s">
        <v>52</v>
      </c>
      <c r="F417" s="2" t="s">
        <v>108</v>
      </c>
    </row>
    <row r="418" customFormat="false" ht="15" hidden="false" customHeight="false" outlineLevel="0" collapsed="false">
      <c r="A418" s="20" t="n">
        <v>45843</v>
      </c>
      <c r="B418" s="2" t="n">
        <v>23</v>
      </c>
      <c r="C418" s="2" t="s">
        <v>80</v>
      </c>
      <c r="D418" s="21" t="n">
        <v>82000</v>
      </c>
      <c r="E418" s="2" t="s">
        <v>55</v>
      </c>
      <c r="F418" s="2" t="s">
        <v>108</v>
      </c>
    </row>
    <row r="419" customFormat="false" ht="15" hidden="false" customHeight="false" outlineLevel="0" collapsed="false">
      <c r="A419" s="20" t="n">
        <v>45844</v>
      </c>
      <c r="B419" s="2" t="n">
        <v>8</v>
      </c>
      <c r="C419" s="2" t="s">
        <v>63</v>
      </c>
      <c r="D419" s="21" t="n">
        <v>156600</v>
      </c>
      <c r="E419" s="2" t="s">
        <v>55</v>
      </c>
      <c r="F419" s="2" t="s">
        <v>108</v>
      </c>
    </row>
    <row r="420" customFormat="false" ht="15" hidden="false" customHeight="false" outlineLevel="0" collapsed="false">
      <c r="A420" s="20" t="n">
        <v>45844</v>
      </c>
      <c r="B420" s="2" t="n">
        <v>9</v>
      </c>
      <c r="C420" s="2" t="s">
        <v>64</v>
      </c>
      <c r="D420" s="21" t="n">
        <v>65300</v>
      </c>
      <c r="E420" s="2" t="s">
        <v>55</v>
      </c>
      <c r="F420" s="2" t="s">
        <v>108</v>
      </c>
    </row>
    <row r="421" customFormat="false" ht="15" hidden="false" customHeight="false" outlineLevel="0" collapsed="false">
      <c r="A421" s="20" t="n">
        <v>45844</v>
      </c>
      <c r="B421" s="2" t="n">
        <v>15</v>
      </c>
      <c r="C421" s="2" t="s">
        <v>71</v>
      </c>
      <c r="D421" s="21" t="n">
        <v>109200</v>
      </c>
      <c r="E421" s="2" t="s">
        <v>52</v>
      </c>
      <c r="F421" s="2" t="s">
        <v>108</v>
      </c>
    </row>
    <row r="422" customFormat="false" ht="15" hidden="false" customHeight="false" outlineLevel="0" collapsed="false">
      <c r="A422" s="20" t="n">
        <v>45844</v>
      </c>
      <c r="B422" s="2" t="n">
        <v>17</v>
      </c>
      <c r="C422" s="2" t="s">
        <v>73</v>
      </c>
      <c r="D422" s="21" t="n">
        <v>46600</v>
      </c>
      <c r="E422" s="2" t="s">
        <v>52</v>
      </c>
      <c r="F422" s="2" t="s">
        <v>108</v>
      </c>
    </row>
    <row r="423" customFormat="false" ht="15" hidden="false" customHeight="false" outlineLevel="0" collapsed="false">
      <c r="A423" s="20" t="n">
        <v>45844</v>
      </c>
      <c r="B423" s="2" t="n">
        <v>21</v>
      </c>
      <c r="C423" s="2" t="s">
        <v>77</v>
      </c>
      <c r="D423" s="21" t="n">
        <v>65400</v>
      </c>
      <c r="E423" s="2" t="s">
        <v>52</v>
      </c>
      <c r="F423" s="2" t="s">
        <v>108</v>
      </c>
    </row>
    <row r="424" customFormat="false" ht="15" hidden="false" customHeight="false" outlineLevel="0" collapsed="false">
      <c r="A424" s="20" t="n">
        <v>45844</v>
      </c>
      <c r="B424" s="2" t="n">
        <v>22</v>
      </c>
      <c r="C424" s="2" t="s">
        <v>79</v>
      </c>
      <c r="D424" s="21" t="n">
        <v>181300</v>
      </c>
      <c r="E424" s="2" t="s">
        <v>55</v>
      </c>
      <c r="F424" s="2" t="s">
        <v>108</v>
      </c>
    </row>
    <row r="425" customFormat="false" ht="15" hidden="false" customHeight="false" outlineLevel="0" collapsed="false">
      <c r="A425" s="20" t="n">
        <v>45846</v>
      </c>
      <c r="B425" s="2" t="n">
        <v>20</v>
      </c>
      <c r="C425" s="2" t="s">
        <v>76</v>
      </c>
      <c r="D425" s="21" t="n">
        <v>152200</v>
      </c>
      <c r="E425" s="2" t="s">
        <v>52</v>
      </c>
      <c r="F425" s="2" t="s">
        <v>108</v>
      </c>
    </row>
    <row r="426" customFormat="false" ht="15" hidden="false" customHeight="false" outlineLevel="0" collapsed="false">
      <c r="A426" s="20" t="n">
        <v>45847</v>
      </c>
      <c r="B426" s="2" t="n">
        <v>1</v>
      </c>
      <c r="C426" s="2" t="s">
        <v>51</v>
      </c>
      <c r="D426" s="21" t="n">
        <v>104000</v>
      </c>
      <c r="E426" s="2" t="s">
        <v>52</v>
      </c>
      <c r="F426" s="2" t="s">
        <v>108</v>
      </c>
    </row>
    <row r="427" customFormat="false" ht="15" hidden="false" customHeight="false" outlineLevel="0" collapsed="false">
      <c r="A427" s="20" t="n">
        <v>45847</v>
      </c>
      <c r="B427" s="2" t="n">
        <v>4</v>
      </c>
      <c r="C427" s="2" t="s">
        <v>58</v>
      </c>
      <c r="D427" s="21" t="n">
        <v>145800</v>
      </c>
      <c r="E427" s="2" t="s">
        <v>52</v>
      </c>
      <c r="F427" s="2" t="s">
        <v>108</v>
      </c>
    </row>
    <row r="428" customFormat="false" ht="15" hidden="false" customHeight="false" outlineLevel="0" collapsed="false">
      <c r="A428" s="20" t="n">
        <v>45847</v>
      </c>
      <c r="B428" s="2" t="n">
        <v>13</v>
      </c>
      <c r="C428" s="2" t="s">
        <v>68</v>
      </c>
      <c r="D428" s="21" t="n">
        <v>62200</v>
      </c>
      <c r="E428" s="2" t="s">
        <v>52</v>
      </c>
      <c r="F428" s="2" t="s">
        <v>108</v>
      </c>
    </row>
    <row r="429" customFormat="false" ht="15" hidden="false" customHeight="false" outlineLevel="0" collapsed="false">
      <c r="A429" s="20" t="n">
        <v>45847</v>
      </c>
      <c r="B429" s="2" t="n">
        <v>22</v>
      </c>
      <c r="C429" s="2" t="s">
        <v>79</v>
      </c>
      <c r="D429" s="21" t="n">
        <v>181800</v>
      </c>
      <c r="E429" s="2" t="s">
        <v>55</v>
      </c>
      <c r="F429" s="2" t="s">
        <v>108</v>
      </c>
    </row>
    <row r="430" customFormat="false" ht="15" hidden="false" customHeight="false" outlineLevel="0" collapsed="false">
      <c r="A430" s="20" t="n">
        <v>45848</v>
      </c>
      <c r="B430" s="2" t="n">
        <v>2</v>
      </c>
      <c r="C430" s="2" t="s">
        <v>54</v>
      </c>
      <c r="D430" s="21" t="n">
        <v>52400</v>
      </c>
      <c r="E430" s="2" t="s">
        <v>55</v>
      </c>
      <c r="F430" s="2" t="s">
        <v>108</v>
      </c>
    </row>
    <row r="431" customFormat="false" ht="15" hidden="false" customHeight="false" outlineLevel="0" collapsed="false">
      <c r="A431" s="20" t="n">
        <v>45848</v>
      </c>
      <c r="B431" s="2" t="n">
        <v>8</v>
      </c>
      <c r="C431" s="2" t="s">
        <v>63</v>
      </c>
      <c r="D431" s="21" t="n">
        <v>142500</v>
      </c>
      <c r="E431" s="2" t="s">
        <v>55</v>
      </c>
      <c r="F431" s="2" t="s">
        <v>108</v>
      </c>
    </row>
    <row r="432" customFormat="false" ht="15" hidden="false" customHeight="false" outlineLevel="0" collapsed="false">
      <c r="A432" s="20" t="n">
        <v>45848</v>
      </c>
      <c r="B432" s="2" t="n">
        <v>16</v>
      </c>
      <c r="C432" s="2" t="s">
        <v>72</v>
      </c>
      <c r="D432" s="21" t="n">
        <v>102400</v>
      </c>
      <c r="E432" s="2" t="s">
        <v>55</v>
      </c>
      <c r="F432" s="2" t="s">
        <v>108</v>
      </c>
    </row>
    <row r="433" customFormat="false" ht="15" hidden="false" customHeight="false" outlineLevel="0" collapsed="false">
      <c r="A433" s="20" t="n">
        <v>45848</v>
      </c>
      <c r="B433" s="2" t="n">
        <v>19</v>
      </c>
      <c r="C433" s="2" t="s">
        <v>75</v>
      </c>
      <c r="D433" s="21" t="n">
        <v>112700</v>
      </c>
      <c r="E433" s="2" t="s">
        <v>52</v>
      </c>
      <c r="F433" s="2" t="s">
        <v>108</v>
      </c>
    </row>
    <row r="434" customFormat="false" ht="15" hidden="false" customHeight="false" outlineLevel="0" collapsed="false">
      <c r="A434" s="20" t="n">
        <v>45848</v>
      </c>
      <c r="B434" s="2" t="n">
        <v>23</v>
      </c>
      <c r="C434" s="2" t="s">
        <v>80</v>
      </c>
      <c r="D434" s="21" t="n">
        <v>72900</v>
      </c>
      <c r="E434" s="2" t="s">
        <v>55</v>
      </c>
      <c r="F434" s="2" t="s">
        <v>108</v>
      </c>
    </row>
    <row r="435" customFormat="false" ht="15" hidden="false" customHeight="false" outlineLevel="0" collapsed="false">
      <c r="A435" s="20" t="n">
        <v>45849</v>
      </c>
      <c r="B435" s="2" t="n">
        <v>3</v>
      </c>
      <c r="C435" s="2" t="s">
        <v>56</v>
      </c>
      <c r="D435" s="21" t="n">
        <v>115500</v>
      </c>
      <c r="E435" s="2" t="s">
        <v>52</v>
      </c>
      <c r="F435" s="2" t="s">
        <v>108</v>
      </c>
    </row>
    <row r="436" customFormat="false" ht="15" hidden="false" customHeight="false" outlineLevel="0" collapsed="false">
      <c r="A436" s="20" t="n">
        <v>45849</v>
      </c>
      <c r="B436" s="2" t="n">
        <v>7</v>
      </c>
      <c r="C436" s="2" t="s">
        <v>62</v>
      </c>
      <c r="D436" s="21" t="n">
        <v>51200</v>
      </c>
      <c r="E436" s="2" t="s">
        <v>52</v>
      </c>
      <c r="F436" s="2" t="s">
        <v>108</v>
      </c>
    </row>
    <row r="437" customFormat="false" ht="15" hidden="false" customHeight="false" outlineLevel="0" collapsed="false">
      <c r="A437" s="20" t="n">
        <v>45849</v>
      </c>
      <c r="B437" s="2" t="n">
        <v>14</v>
      </c>
      <c r="C437" s="2" t="s">
        <v>70</v>
      </c>
      <c r="D437" s="21" t="n">
        <v>91400</v>
      </c>
      <c r="E437" s="2" t="s">
        <v>52</v>
      </c>
      <c r="F437" s="2" t="s">
        <v>108</v>
      </c>
    </row>
    <row r="438" customFormat="false" ht="15" hidden="false" customHeight="false" outlineLevel="0" collapsed="false">
      <c r="A438" s="20" t="n">
        <v>45850</v>
      </c>
      <c r="B438" s="2" t="n">
        <v>17</v>
      </c>
      <c r="C438" s="2" t="s">
        <v>73</v>
      </c>
      <c r="D438" s="21" t="n">
        <v>47700</v>
      </c>
      <c r="E438" s="2" t="s">
        <v>52</v>
      </c>
      <c r="F438" s="2" t="s">
        <v>108</v>
      </c>
    </row>
    <row r="439" customFormat="false" ht="15" hidden="false" customHeight="false" outlineLevel="0" collapsed="false">
      <c r="A439" s="20" t="n">
        <v>45850</v>
      </c>
      <c r="B439" s="2" t="n">
        <v>18</v>
      </c>
      <c r="C439" s="2" t="s">
        <v>74</v>
      </c>
      <c r="D439" s="21" t="n">
        <v>45300</v>
      </c>
      <c r="E439" s="2" t="s">
        <v>55</v>
      </c>
      <c r="F439" s="2" t="s">
        <v>108</v>
      </c>
    </row>
    <row r="440" customFormat="false" ht="15" hidden="false" customHeight="false" outlineLevel="0" collapsed="false">
      <c r="A440" s="20" t="n">
        <v>45851</v>
      </c>
      <c r="B440" s="2" t="n">
        <v>5</v>
      </c>
      <c r="C440" s="2" t="s">
        <v>59</v>
      </c>
      <c r="D440" s="21" t="n">
        <v>190700</v>
      </c>
      <c r="E440" s="2" t="s">
        <v>52</v>
      </c>
      <c r="F440" s="2" t="s">
        <v>108</v>
      </c>
    </row>
    <row r="441" customFormat="false" ht="15" hidden="false" customHeight="false" outlineLevel="0" collapsed="false">
      <c r="A441" s="20" t="n">
        <v>45851</v>
      </c>
      <c r="B441" s="2" t="n">
        <v>10</v>
      </c>
      <c r="C441" s="2" t="s">
        <v>65</v>
      </c>
      <c r="D441" s="21" t="n">
        <v>75800</v>
      </c>
      <c r="E441" s="2" t="s">
        <v>52</v>
      </c>
      <c r="F441" s="2" t="s">
        <v>108</v>
      </c>
    </row>
    <row r="442" customFormat="false" ht="15" hidden="false" customHeight="false" outlineLevel="0" collapsed="false">
      <c r="A442" s="20" t="n">
        <v>45851</v>
      </c>
      <c r="B442" s="2" t="n">
        <v>15</v>
      </c>
      <c r="C442" s="2" t="s">
        <v>71</v>
      </c>
      <c r="D442" s="21" t="n">
        <v>130200</v>
      </c>
      <c r="E442" s="2" t="s">
        <v>52</v>
      </c>
      <c r="F442" s="2" t="s">
        <v>108</v>
      </c>
    </row>
    <row r="443" customFormat="false" ht="15" hidden="false" customHeight="false" outlineLevel="0" collapsed="false">
      <c r="A443" s="20" t="n">
        <v>45851</v>
      </c>
      <c r="B443" s="2" t="n">
        <v>21</v>
      </c>
      <c r="C443" s="2" t="s">
        <v>77</v>
      </c>
      <c r="D443" s="21" t="n">
        <v>82700</v>
      </c>
      <c r="E443" s="2" t="s">
        <v>52</v>
      </c>
      <c r="F443" s="2" t="s">
        <v>108</v>
      </c>
    </row>
    <row r="444" customFormat="false" ht="15" hidden="false" customHeight="false" outlineLevel="0" collapsed="false">
      <c r="A444" s="20" t="n">
        <v>45853</v>
      </c>
      <c r="B444" s="2" t="n">
        <v>9</v>
      </c>
      <c r="C444" s="2" t="s">
        <v>64</v>
      </c>
      <c r="D444" s="21" t="n">
        <v>75200</v>
      </c>
      <c r="E444" s="2" t="s">
        <v>55</v>
      </c>
      <c r="F444" s="2" t="s">
        <v>108</v>
      </c>
    </row>
    <row r="445" customFormat="false" ht="15" hidden="false" customHeight="false" outlineLevel="0" collapsed="false">
      <c r="A445" s="20" t="n">
        <v>45853</v>
      </c>
      <c r="B445" s="2" t="n">
        <v>11</v>
      </c>
      <c r="C445" s="2" t="s">
        <v>66</v>
      </c>
      <c r="D445" s="21" t="n">
        <v>132500</v>
      </c>
      <c r="E445" s="2" t="s">
        <v>55</v>
      </c>
      <c r="F445" s="2" t="s">
        <v>108</v>
      </c>
    </row>
    <row r="446" customFormat="false" ht="15" hidden="false" customHeight="false" outlineLevel="0" collapsed="false">
      <c r="A446" s="20" t="n">
        <v>45853</v>
      </c>
      <c r="B446" s="2" t="n">
        <v>12</v>
      </c>
      <c r="C446" s="2" t="s">
        <v>67</v>
      </c>
      <c r="D446" s="21" t="n">
        <v>95100</v>
      </c>
      <c r="E446" s="2" t="s">
        <v>55</v>
      </c>
      <c r="F446" s="2" t="s">
        <v>108</v>
      </c>
    </row>
    <row r="447" customFormat="false" ht="15" hidden="false" customHeight="false" outlineLevel="0" collapsed="false">
      <c r="A447" s="20" t="n">
        <v>45853</v>
      </c>
      <c r="B447" s="2" t="n">
        <v>14</v>
      </c>
      <c r="C447" s="2" t="s">
        <v>70</v>
      </c>
      <c r="D447" s="21" t="n">
        <v>70900</v>
      </c>
      <c r="E447" s="2" t="s">
        <v>52</v>
      </c>
      <c r="F447" s="2" t="s">
        <v>108</v>
      </c>
    </row>
    <row r="448" customFormat="false" ht="15" hidden="false" customHeight="false" outlineLevel="0" collapsed="false">
      <c r="A448" s="20" t="n">
        <v>45854</v>
      </c>
      <c r="B448" s="2" t="n">
        <v>1</v>
      </c>
      <c r="C448" s="2" t="s">
        <v>51</v>
      </c>
      <c r="D448" s="21" t="n">
        <v>82700</v>
      </c>
      <c r="E448" s="2" t="s">
        <v>52</v>
      </c>
      <c r="F448" s="2" t="s">
        <v>108</v>
      </c>
    </row>
    <row r="449" customFormat="false" ht="15" hidden="false" customHeight="false" outlineLevel="0" collapsed="false">
      <c r="A449" s="20" t="n">
        <v>45854</v>
      </c>
      <c r="B449" s="2" t="n">
        <v>2</v>
      </c>
      <c r="C449" s="2" t="s">
        <v>54</v>
      </c>
      <c r="D449" s="21" t="n">
        <v>54500</v>
      </c>
      <c r="E449" s="2" t="s">
        <v>55</v>
      </c>
      <c r="F449" s="2" t="s">
        <v>108</v>
      </c>
    </row>
    <row r="450" customFormat="false" ht="15" hidden="false" customHeight="false" outlineLevel="0" collapsed="false">
      <c r="A450" s="20" t="n">
        <v>45854</v>
      </c>
      <c r="B450" s="2" t="n">
        <v>4</v>
      </c>
      <c r="C450" s="2" t="s">
        <v>58</v>
      </c>
      <c r="D450" s="21" t="n">
        <v>115300</v>
      </c>
      <c r="E450" s="2" t="s">
        <v>52</v>
      </c>
      <c r="F450" s="2" t="s">
        <v>108</v>
      </c>
    </row>
    <row r="451" customFormat="false" ht="15" hidden="false" customHeight="false" outlineLevel="0" collapsed="false">
      <c r="A451" s="20" t="n">
        <v>45854</v>
      </c>
      <c r="B451" s="2" t="n">
        <v>6</v>
      </c>
      <c r="C451" s="2" t="s">
        <v>60</v>
      </c>
      <c r="D451" s="21" t="n">
        <v>71200</v>
      </c>
      <c r="E451" s="2" t="s">
        <v>52</v>
      </c>
      <c r="F451" s="2" t="s">
        <v>108</v>
      </c>
    </row>
    <row r="452" customFormat="false" ht="15" hidden="false" customHeight="false" outlineLevel="0" collapsed="false">
      <c r="A452" s="20" t="n">
        <v>45854</v>
      </c>
      <c r="B452" s="2" t="n">
        <v>18</v>
      </c>
      <c r="C452" s="2" t="s">
        <v>74</v>
      </c>
      <c r="D452" s="21" t="n">
        <v>65700</v>
      </c>
      <c r="E452" s="2" t="s">
        <v>55</v>
      </c>
      <c r="F452" s="2" t="s">
        <v>108</v>
      </c>
    </row>
    <row r="453" customFormat="false" ht="15" hidden="false" customHeight="false" outlineLevel="0" collapsed="false">
      <c r="A453" s="20" t="n">
        <v>45855</v>
      </c>
      <c r="B453" s="2" t="n">
        <v>7</v>
      </c>
      <c r="C453" s="2" t="s">
        <v>62</v>
      </c>
      <c r="D453" s="21" t="n">
        <v>45800</v>
      </c>
      <c r="E453" s="2" t="s">
        <v>52</v>
      </c>
      <c r="F453" s="2" t="s">
        <v>108</v>
      </c>
    </row>
    <row r="454" customFormat="false" ht="15" hidden="false" customHeight="false" outlineLevel="0" collapsed="false">
      <c r="A454" s="20" t="n">
        <v>45855</v>
      </c>
      <c r="B454" s="2" t="n">
        <v>19</v>
      </c>
      <c r="C454" s="2" t="s">
        <v>75</v>
      </c>
      <c r="D454" s="21" t="n">
        <v>91500</v>
      </c>
      <c r="E454" s="2" t="s">
        <v>52</v>
      </c>
      <c r="F454" s="2" t="s">
        <v>108</v>
      </c>
    </row>
    <row r="455" customFormat="false" ht="15" hidden="false" customHeight="false" outlineLevel="0" collapsed="false">
      <c r="A455" s="20" t="n">
        <v>45855</v>
      </c>
      <c r="B455" s="2" t="n">
        <v>20</v>
      </c>
      <c r="C455" s="2" t="s">
        <v>76</v>
      </c>
      <c r="D455" s="21" t="n">
        <v>168200</v>
      </c>
      <c r="E455" s="2" t="s">
        <v>52</v>
      </c>
      <c r="F455" s="2" t="s">
        <v>108</v>
      </c>
    </row>
    <row r="456" customFormat="false" ht="15" hidden="false" customHeight="false" outlineLevel="0" collapsed="false">
      <c r="A456" s="20" t="n">
        <v>45855</v>
      </c>
      <c r="B456" s="2" t="n">
        <v>22</v>
      </c>
      <c r="C456" s="2" t="s">
        <v>79</v>
      </c>
      <c r="D456" s="21" t="n">
        <v>159200</v>
      </c>
      <c r="E456" s="2" t="s">
        <v>55</v>
      </c>
      <c r="F456" s="2" t="s">
        <v>108</v>
      </c>
    </row>
    <row r="457" customFormat="false" ht="15" hidden="false" customHeight="false" outlineLevel="0" collapsed="false">
      <c r="A457" s="20" t="n">
        <v>45855</v>
      </c>
      <c r="B457" s="2" t="n">
        <v>23</v>
      </c>
      <c r="C457" s="2" t="s">
        <v>80</v>
      </c>
      <c r="D457" s="21" t="n">
        <v>72900</v>
      </c>
      <c r="E457" s="2" t="s">
        <v>55</v>
      </c>
      <c r="F457" s="2" t="s">
        <v>108</v>
      </c>
    </row>
    <row r="458" customFormat="false" ht="15" hidden="false" customHeight="false" outlineLevel="0" collapsed="false">
      <c r="A458" s="20" t="n">
        <v>45856</v>
      </c>
      <c r="B458" s="2" t="n">
        <v>8</v>
      </c>
      <c r="C458" s="2" t="s">
        <v>63</v>
      </c>
      <c r="D458" s="21" t="n">
        <v>116800</v>
      </c>
      <c r="E458" s="2" t="s">
        <v>55</v>
      </c>
      <c r="F458" s="2" t="s">
        <v>108</v>
      </c>
    </row>
    <row r="459" customFormat="false" ht="15" hidden="false" customHeight="false" outlineLevel="0" collapsed="false">
      <c r="A459" s="20" t="n">
        <v>45856</v>
      </c>
      <c r="B459" s="2" t="n">
        <v>13</v>
      </c>
      <c r="C459" s="2" t="s">
        <v>68</v>
      </c>
      <c r="D459" s="21" t="n">
        <v>47800</v>
      </c>
      <c r="E459" s="2" t="s">
        <v>52</v>
      </c>
      <c r="F459" s="2" t="s">
        <v>108</v>
      </c>
    </row>
    <row r="460" customFormat="false" ht="15" hidden="false" customHeight="false" outlineLevel="0" collapsed="false">
      <c r="A460" s="20" t="n">
        <v>45856</v>
      </c>
      <c r="B460" s="2" t="n">
        <v>16</v>
      </c>
      <c r="C460" s="2" t="s">
        <v>72</v>
      </c>
      <c r="D460" s="21" t="n">
        <v>93100</v>
      </c>
      <c r="E460" s="2" t="s">
        <v>55</v>
      </c>
      <c r="F460" s="2" t="s">
        <v>108</v>
      </c>
    </row>
    <row r="461" customFormat="false" ht="15" hidden="false" customHeight="false" outlineLevel="0" collapsed="false">
      <c r="A461" s="20" t="n">
        <v>45857</v>
      </c>
      <c r="B461" s="2" t="n">
        <v>5</v>
      </c>
      <c r="C461" s="2" t="s">
        <v>59</v>
      </c>
      <c r="D461" s="21" t="n">
        <v>189500</v>
      </c>
      <c r="E461" s="2" t="s">
        <v>52</v>
      </c>
      <c r="F461" s="2" t="s">
        <v>108</v>
      </c>
    </row>
    <row r="462" customFormat="false" ht="15" hidden="false" customHeight="false" outlineLevel="0" collapsed="false">
      <c r="A462" s="20" t="n">
        <v>45857</v>
      </c>
      <c r="B462" s="2" t="n">
        <v>10</v>
      </c>
      <c r="C462" s="2" t="s">
        <v>65</v>
      </c>
      <c r="D462" s="21" t="n">
        <v>59000</v>
      </c>
      <c r="E462" s="2" t="s">
        <v>52</v>
      </c>
      <c r="F462" s="2" t="s">
        <v>108</v>
      </c>
    </row>
    <row r="463" customFormat="false" ht="15" hidden="false" customHeight="false" outlineLevel="0" collapsed="false">
      <c r="A463" s="20" t="n">
        <v>45857</v>
      </c>
      <c r="B463" s="2" t="n">
        <v>14</v>
      </c>
      <c r="C463" s="2" t="s">
        <v>70</v>
      </c>
      <c r="D463" s="21" t="n">
        <v>72100</v>
      </c>
      <c r="E463" s="2" t="s">
        <v>52</v>
      </c>
      <c r="F463" s="2" t="s">
        <v>108</v>
      </c>
    </row>
    <row r="464" customFormat="false" ht="15" hidden="false" customHeight="false" outlineLevel="0" collapsed="false">
      <c r="A464" s="20" t="n">
        <v>45857</v>
      </c>
      <c r="B464" s="2" t="n">
        <v>15</v>
      </c>
      <c r="C464" s="2" t="s">
        <v>71</v>
      </c>
      <c r="D464" s="21" t="n">
        <v>134100</v>
      </c>
      <c r="E464" s="2" t="s">
        <v>52</v>
      </c>
      <c r="F464" s="2" t="s">
        <v>108</v>
      </c>
    </row>
    <row r="465" customFormat="false" ht="15" hidden="false" customHeight="false" outlineLevel="0" collapsed="false">
      <c r="A465" s="20" t="n">
        <v>45857</v>
      </c>
      <c r="B465" s="2" t="n">
        <v>17</v>
      </c>
      <c r="C465" s="2" t="s">
        <v>73</v>
      </c>
      <c r="D465" s="21" t="n">
        <v>46900</v>
      </c>
      <c r="E465" s="2" t="s">
        <v>52</v>
      </c>
      <c r="F465" s="2" t="s">
        <v>108</v>
      </c>
    </row>
    <row r="466" customFormat="false" ht="15" hidden="false" customHeight="false" outlineLevel="0" collapsed="false">
      <c r="A466" s="20" t="n">
        <v>45858</v>
      </c>
      <c r="B466" s="2" t="n">
        <v>19</v>
      </c>
      <c r="C466" s="2" t="s">
        <v>75</v>
      </c>
      <c r="D466" s="21" t="n">
        <v>111700</v>
      </c>
      <c r="E466" s="2" t="s">
        <v>52</v>
      </c>
      <c r="F466" s="2" t="s">
        <v>108</v>
      </c>
    </row>
    <row r="467" customFormat="false" ht="15" hidden="false" customHeight="false" outlineLevel="0" collapsed="false">
      <c r="A467" s="20" t="n">
        <v>45858</v>
      </c>
      <c r="B467" s="2" t="n">
        <v>21</v>
      </c>
      <c r="C467" s="2" t="s">
        <v>77</v>
      </c>
      <c r="D467" s="21" t="n">
        <v>79800</v>
      </c>
      <c r="E467" s="2" t="s">
        <v>52</v>
      </c>
      <c r="F467" s="2" t="s">
        <v>108</v>
      </c>
    </row>
    <row r="468" customFormat="false" ht="15" hidden="false" customHeight="false" outlineLevel="0" collapsed="false">
      <c r="A468" s="20" t="n">
        <v>45860</v>
      </c>
      <c r="B468" s="2" t="n">
        <v>1</v>
      </c>
      <c r="C468" s="2" t="s">
        <v>51</v>
      </c>
      <c r="D468" s="21" t="n">
        <v>105900</v>
      </c>
      <c r="E468" s="2" t="s">
        <v>52</v>
      </c>
      <c r="F468" s="2" t="s">
        <v>108</v>
      </c>
    </row>
    <row r="469" customFormat="false" ht="15" hidden="false" customHeight="false" outlineLevel="0" collapsed="false">
      <c r="A469" s="20" t="n">
        <v>45860</v>
      </c>
      <c r="B469" s="2" t="n">
        <v>4</v>
      </c>
      <c r="C469" s="2" t="s">
        <v>58</v>
      </c>
      <c r="D469" s="21" t="n">
        <v>122700</v>
      </c>
      <c r="E469" s="2" t="s">
        <v>52</v>
      </c>
      <c r="F469" s="2" t="s">
        <v>108</v>
      </c>
    </row>
    <row r="470" customFormat="false" ht="15" hidden="false" customHeight="false" outlineLevel="0" collapsed="false">
      <c r="A470" s="20" t="n">
        <v>45860</v>
      </c>
      <c r="B470" s="2" t="n">
        <v>8</v>
      </c>
      <c r="C470" s="2" t="s">
        <v>63</v>
      </c>
      <c r="D470" s="21" t="n">
        <v>132200</v>
      </c>
      <c r="E470" s="2" t="s">
        <v>55</v>
      </c>
      <c r="F470" s="2" t="s">
        <v>108</v>
      </c>
    </row>
    <row r="471" customFormat="false" ht="15" hidden="false" customHeight="false" outlineLevel="0" collapsed="false">
      <c r="A471" s="20" t="n">
        <v>45860</v>
      </c>
      <c r="B471" s="2" t="n">
        <v>11</v>
      </c>
      <c r="C471" s="2" t="s">
        <v>66</v>
      </c>
      <c r="D471" s="21" t="n">
        <v>101800</v>
      </c>
      <c r="E471" s="2" t="s">
        <v>55</v>
      </c>
      <c r="F471" s="2" t="s">
        <v>108</v>
      </c>
    </row>
    <row r="472" customFormat="false" ht="15" hidden="false" customHeight="false" outlineLevel="0" collapsed="false">
      <c r="A472" s="20" t="n">
        <v>45860</v>
      </c>
      <c r="B472" s="2" t="n">
        <v>19</v>
      </c>
      <c r="C472" s="2" t="s">
        <v>75</v>
      </c>
      <c r="D472" s="21" t="n">
        <v>106500</v>
      </c>
      <c r="E472" s="2" t="s">
        <v>52</v>
      </c>
      <c r="F472" s="2" t="s">
        <v>108</v>
      </c>
    </row>
    <row r="473" customFormat="false" ht="15" hidden="false" customHeight="false" outlineLevel="0" collapsed="false">
      <c r="A473" s="20" t="n">
        <v>45860</v>
      </c>
      <c r="B473" s="2" t="n">
        <v>23</v>
      </c>
      <c r="C473" s="2" t="s">
        <v>80</v>
      </c>
      <c r="D473" s="21" t="n">
        <v>93300</v>
      </c>
      <c r="E473" s="2" t="s">
        <v>55</v>
      </c>
      <c r="F473" s="2" t="s">
        <v>108</v>
      </c>
    </row>
    <row r="474" customFormat="false" ht="15" hidden="false" customHeight="false" outlineLevel="0" collapsed="false">
      <c r="A474" s="20" t="n">
        <v>45861</v>
      </c>
      <c r="B474" s="2" t="n">
        <v>6</v>
      </c>
      <c r="C474" s="2" t="s">
        <v>60</v>
      </c>
      <c r="D474" s="21" t="n">
        <v>71500</v>
      </c>
      <c r="E474" s="2" t="s">
        <v>52</v>
      </c>
      <c r="F474" s="2" t="s">
        <v>108</v>
      </c>
    </row>
    <row r="475" customFormat="false" ht="15" hidden="false" customHeight="false" outlineLevel="0" collapsed="false">
      <c r="A475" s="20" t="n">
        <v>45862</v>
      </c>
      <c r="B475" s="2" t="n">
        <v>2</v>
      </c>
      <c r="C475" s="2" t="s">
        <v>54</v>
      </c>
      <c r="D475" s="21" t="n">
        <v>57400</v>
      </c>
      <c r="E475" s="2" t="s">
        <v>55</v>
      </c>
      <c r="F475" s="2" t="s">
        <v>108</v>
      </c>
    </row>
    <row r="476" customFormat="false" ht="15" hidden="false" customHeight="false" outlineLevel="0" collapsed="false">
      <c r="A476" s="20" t="n">
        <v>45862</v>
      </c>
      <c r="B476" s="2" t="n">
        <v>9</v>
      </c>
      <c r="C476" s="2" t="s">
        <v>64</v>
      </c>
      <c r="D476" s="21" t="n">
        <v>74700</v>
      </c>
      <c r="E476" s="2" t="s">
        <v>55</v>
      </c>
      <c r="F476" s="2" t="s">
        <v>108</v>
      </c>
    </row>
    <row r="477" customFormat="false" ht="15" hidden="false" customHeight="false" outlineLevel="0" collapsed="false">
      <c r="A477" s="20" t="n">
        <v>45862</v>
      </c>
      <c r="B477" s="2" t="n">
        <v>12</v>
      </c>
      <c r="C477" s="2" t="s">
        <v>67</v>
      </c>
      <c r="D477" s="21" t="n">
        <v>107300</v>
      </c>
      <c r="E477" s="2" t="s">
        <v>55</v>
      </c>
      <c r="F477" s="2" t="s">
        <v>108</v>
      </c>
    </row>
    <row r="478" customFormat="false" ht="15" hidden="false" customHeight="false" outlineLevel="0" collapsed="false">
      <c r="A478" s="20" t="n">
        <v>45862</v>
      </c>
      <c r="B478" s="2" t="n">
        <v>14</v>
      </c>
      <c r="C478" s="2" t="s">
        <v>70</v>
      </c>
      <c r="D478" s="21" t="n">
        <v>86800</v>
      </c>
      <c r="E478" s="2" t="s">
        <v>52</v>
      </c>
      <c r="F478" s="2" t="s">
        <v>108</v>
      </c>
    </row>
    <row r="479" customFormat="false" ht="15" hidden="false" customHeight="false" outlineLevel="0" collapsed="false">
      <c r="A479" s="20" t="n">
        <v>45862</v>
      </c>
      <c r="B479" s="2" t="n">
        <v>16</v>
      </c>
      <c r="C479" s="2" t="s">
        <v>72</v>
      </c>
      <c r="D479" s="21" t="n">
        <v>104300</v>
      </c>
      <c r="E479" s="2" t="s">
        <v>55</v>
      </c>
      <c r="F479" s="2" t="s">
        <v>108</v>
      </c>
    </row>
    <row r="480" customFormat="false" ht="15" hidden="false" customHeight="false" outlineLevel="0" collapsed="false">
      <c r="A480" s="20" t="n">
        <v>45862</v>
      </c>
      <c r="B480" s="2" t="n">
        <v>19</v>
      </c>
      <c r="C480" s="2" t="s">
        <v>75</v>
      </c>
      <c r="D480" s="21" t="n">
        <v>115300</v>
      </c>
      <c r="E480" s="2" t="s">
        <v>52</v>
      </c>
      <c r="F480" s="2" t="s">
        <v>108</v>
      </c>
    </row>
    <row r="481" customFormat="false" ht="15" hidden="false" customHeight="false" outlineLevel="0" collapsed="false">
      <c r="A481" s="20" t="n">
        <v>45863</v>
      </c>
      <c r="B481" s="2" t="n">
        <v>5</v>
      </c>
      <c r="C481" s="2" t="s">
        <v>59</v>
      </c>
      <c r="D481" s="21" t="n">
        <v>152100</v>
      </c>
      <c r="E481" s="2" t="s">
        <v>52</v>
      </c>
      <c r="F481" s="2" t="s">
        <v>108</v>
      </c>
    </row>
    <row r="482" customFormat="false" ht="15" hidden="false" customHeight="false" outlineLevel="0" collapsed="false">
      <c r="A482" s="20" t="n">
        <v>45863</v>
      </c>
      <c r="B482" s="2" t="n">
        <v>7</v>
      </c>
      <c r="C482" s="2" t="s">
        <v>62</v>
      </c>
      <c r="D482" s="21" t="n">
        <v>60300</v>
      </c>
      <c r="E482" s="2" t="s">
        <v>52</v>
      </c>
      <c r="F482" s="2" t="s">
        <v>108</v>
      </c>
    </row>
    <row r="483" customFormat="false" ht="15" hidden="false" customHeight="false" outlineLevel="0" collapsed="false">
      <c r="A483" s="20" t="n">
        <v>45863</v>
      </c>
      <c r="B483" s="2" t="n">
        <v>15</v>
      </c>
      <c r="C483" s="2" t="s">
        <v>71</v>
      </c>
      <c r="D483" s="21" t="n">
        <v>109600</v>
      </c>
      <c r="E483" s="2" t="s">
        <v>52</v>
      </c>
      <c r="F483" s="2" t="s">
        <v>108</v>
      </c>
    </row>
    <row r="484" customFormat="false" ht="15" hidden="false" customHeight="false" outlineLevel="0" collapsed="false">
      <c r="A484" s="20" t="n">
        <v>45863</v>
      </c>
      <c r="B484" s="2" t="n">
        <v>23</v>
      </c>
      <c r="C484" s="2" t="s">
        <v>80</v>
      </c>
      <c r="D484" s="21" t="n">
        <v>101300</v>
      </c>
      <c r="E484" s="2" t="s">
        <v>55</v>
      </c>
      <c r="F484" s="2" t="s">
        <v>108</v>
      </c>
    </row>
    <row r="485" customFormat="false" ht="15" hidden="false" customHeight="false" outlineLevel="0" collapsed="false">
      <c r="A485" s="20" t="n">
        <v>45864</v>
      </c>
      <c r="B485" s="2" t="n">
        <v>8</v>
      </c>
      <c r="C485" s="2" t="s">
        <v>63</v>
      </c>
      <c r="D485" s="21" t="n">
        <v>132500</v>
      </c>
      <c r="E485" s="2" t="s">
        <v>55</v>
      </c>
      <c r="F485" s="2" t="s">
        <v>108</v>
      </c>
    </row>
    <row r="486" customFormat="false" ht="15" hidden="false" customHeight="false" outlineLevel="0" collapsed="false">
      <c r="A486" s="20" t="n">
        <v>45864</v>
      </c>
      <c r="B486" s="2" t="n">
        <v>18</v>
      </c>
      <c r="C486" s="2" t="s">
        <v>74</v>
      </c>
      <c r="D486" s="21" t="n">
        <v>61200</v>
      </c>
      <c r="E486" s="2" t="s">
        <v>55</v>
      </c>
      <c r="F486" s="2" t="s">
        <v>108</v>
      </c>
    </row>
    <row r="487" customFormat="false" ht="15" hidden="false" customHeight="false" outlineLevel="0" collapsed="false">
      <c r="A487" s="20" t="n">
        <v>45864</v>
      </c>
      <c r="B487" s="2" t="n">
        <v>19</v>
      </c>
      <c r="C487" s="2" t="s">
        <v>75</v>
      </c>
      <c r="D487" s="21" t="n">
        <v>125500</v>
      </c>
      <c r="E487" s="2" t="s">
        <v>52</v>
      </c>
      <c r="F487" s="2" t="s">
        <v>108</v>
      </c>
    </row>
    <row r="488" customFormat="false" ht="15" hidden="false" customHeight="false" outlineLevel="0" collapsed="false">
      <c r="A488" s="20" t="n">
        <v>45864</v>
      </c>
      <c r="B488" s="2" t="n">
        <v>20</v>
      </c>
      <c r="C488" s="2" t="s">
        <v>76</v>
      </c>
      <c r="D488" s="21" t="n">
        <v>144400</v>
      </c>
      <c r="E488" s="2" t="s">
        <v>52</v>
      </c>
      <c r="F488" s="2" t="s">
        <v>108</v>
      </c>
    </row>
    <row r="489" customFormat="false" ht="15" hidden="false" customHeight="false" outlineLevel="0" collapsed="false">
      <c r="A489" s="20" t="n">
        <v>45864</v>
      </c>
      <c r="B489" s="2" t="n">
        <v>21</v>
      </c>
      <c r="C489" s="2" t="s">
        <v>77</v>
      </c>
      <c r="D489" s="21" t="n">
        <v>94800</v>
      </c>
      <c r="E489" s="2" t="s">
        <v>52</v>
      </c>
      <c r="F489" s="2" t="s">
        <v>108</v>
      </c>
    </row>
    <row r="490" customFormat="false" ht="15" hidden="false" customHeight="false" outlineLevel="0" collapsed="false">
      <c r="A490" s="20" t="n">
        <v>45864</v>
      </c>
      <c r="B490" s="2" t="n">
        <v>22</v>
      </c>
      <c r="C490" s="2" t="s">
        <v>79</v>
      </c>
      <c r="D490" s="21" t="n">
        <v>164300</v>
      </c>
      <c r="E490" s="2" t="s">
        <v>55</v>
      </c>
      <c r="F490" s="2" t="s">
        <v>108</v>
      </c>
    </row>
    <row r="491" customFormat="false" ht="15" hidden="false" customHeight="false" outlineLevel="0" collapsed="false">
      <c r="A491" s="20" t="n">
        <v>45865</v>
      </c>
      <c r="B491" s="2" t="n">
        <v>10</v>
      </c>
      <c r="C491" s="2" t="s">
        <v>65</v>
      </c>
      <c r="D491" s="21" t="n">
        <v>71200</v>
      </c>
      <c r="E491" s="2" t="s">
        <v>52</v>
      </c>
      <c r="F491" s="2" t="s">
        <v>108</v>
      </c>
    </row>
    <row r="492" customFormat="false" ht="15" hidden="false" customHeight="false" outlineLevel="0" collapsed="false">
      <c r="A492" s="20" t="n">
        <v>45865</v>
      </c>
      <c r="B492" s="2" t="n">
        <v>13</v>
      </c>
      <c r="C492" s="2" t="s">
        <v>68</v>
      </c>
      <c r="D492" s="21" t="n">
        <v>61700</v>
      </c>
      <c r="E492" s="2" t="s">
        <v>52</v>
      </c>
      <c r="F492" s="2" t="s">
        <v>108</v>
      </c>
    </row>
    <row r="493" customFormat="false" ht="15" hidden="false" customHeight="false" outlineLevel="0" collapsed="false">
      <c r="A493" s="20" t="n">
        <v>45865</v>
      </c>
      <c r="B493" s="2" t="n">
        <v>17</v>
      </c>
      <c r="C493" s="2" t="s">
        <v>73</v>
      </c>
      <c r="D493" s="21" t="n">
        <v>56300</v>
      </c>
      <c r="E493" s="2" t="s">
        <v>52</v>
      </c>
      <c r="F493" s="2" t="s">
        <v>108</v>
      </c>
    </row>
    <row r="494" customFormat="false" ht="15" hidden="false" customHeight="false" outlineLevel="0" collapsed="false">
      <c r="A494" s="20" t="n">
        <v>45867</v>
      </c>
      <c r="B494" s="2" t="n">
        <v>14</v>
      </c>
      <c r="C494" s="2" t="s">
        <v>70</v>
      </c>
      <c r="D494" s="21" t="n">
        <v>77800</v>
      </c>
      <c r="E494" s="2" t="s">
        <v>52</v>
      </c>
      <c r="F494" s="2" t="s">
        <v>108</v>
      </c>
    </row>
    <row r="495" customFormat="false" ht="15" hidden="false" customHeight="false" outlineLevel="0" collapsed="false">
      <c r="A495" s="20" t="n">
        <v>45867</v>
      </c>
      <c r="B495" s="2" t="n">
        <v>22</v>
      </c>
      <c r="C495" s="2" t="s">
        <v>79</v>
      </c>
      <c r="D495" s="21" t="n">
        <v>182300</v>
      </c>
      <c r="E495" s="2" t="s">
        <v>55</v>
      </c>
      <c r="F495" s="2" t="s">
        <v>108</v>
      </c>
    </row>
    <row r="496" customFormat="false" ht="15" hidden="false" customHeight="false" outlineLevel="0" collapsed="false">
      <c r="A496" s="20" t="n">
        <v>45867</v>
      </c>
      <c r="B496" s="2" t="n">
        <v>23</v>
      </c>
      <c r="C496" s="2" t="s">
        <v>80</v>
      </c>
      <c r="D496" s="21" t="n">
        <v>92000</v>
      </c>
      <c r="E496" s="2" t="s">
        <v>55</v>
      </c>
      <c r="F496" s="2" t="s">
        <v>108</v>
      </c>
    </row>
    <row r="497" customFormat="false" ht="15" hidden="false" customHeight="false" outlineLevel="0" collapsed="false">
      <c r="A497" s="20" t="n">
        <v>45868</v>
      </c>
      <c r="B497" s="2" t="n">
        <v>1</v>
      </c>
      <c r="C497" s="2" t="s">
        <v>51</v>
      </c>
      <c r="D497" s="21" t="n">
        <v>96400</v>
      </c>
      <c r="E497" s="2" t="s">
        <v>52</v>
      </c>
      <c r="F497" s="2" t="s">
        <v>108</v>
      </c>
    </row>
    <row r="498" customFormat="false" ht="15" hidden="false" customHeight="false" outlineLevel="0" collapsed="false">
      <c r="A498" s="20" t="n">
        <v>45868</v>
      </c>
      <c r="B498" s="2" t="n">
        <v>11</v>
      </c>
      <c r="C498" s="2" t="s">
        <v>66</v>
      </c>
      <c r="D498" s="21" t="n">
        <v>109900</v>
      </c>
      <c r="E498" s="2" t="s">
        <v>55</v>
      </c>
      <c r="F498" s="2" t="s">
        <v>108</v>
      </c>
    </row>
    <row r="499" customFormat="false" ht="15" hidden="false" customHeight="false" outlineLevel="0" collapsed="false">
      <c r="A499" s="20" t="n">
        <v>45868</v>
      </c>
      <c r="B499" s="2" t="n">
        <v>19</v>
      </c>
      <c r="C499" s="2" t="s">
        <v>75</v>
      </c>
      <c r="D499" s="21" t="n">
        <v>118100</v>
      </c>
      <c r="E499" s="2" t="s">
        <v>52</v>
      </c>
      <c r="F499" s="2" t="s">
        <v>108</v>
      </c>
    </row>
    <row r="500" customFormat="false" ht="15" hidden="false" customHeight="false" outlineLevel="0" collapsed="false">
      <c r="A500" s="20" t="n">
        <v>45869</v>
      </c>
      <c r="B500" s="2" t="n">
        <v>2</v>
      </c>
      <c r="C500" s="2" t="s">
        <v>54</v>
      </c>
      <c r="D500" s="21" t="n">
        <v>44600</v>
      </c>
      <c r="E500" s="2" t="s">
        <v>55</v>
      </c>
      <c r="F500" s="2" t="s">
        <v>108</v>
      </c>
    </row>
    <row r="501" customFormat="false" ht="15" hidden="false" customHeight="false" outlineLevel="0" collapsed="false">
      <c r="A501" s="20" t="n">
        <v>45869</v>
      </c>
      <c r="B501" s="2" t="n">
        <v>7</v>
      </c>
      <c r="C501" s="2" t="s">
        <v>62</v>
      </c>
      <c r="D501" s="21" t="n">
        <v>59600</v>
      </c>
      <c r="E501" s="2" t="s">
        <v>52</v>
      </c>
      <c r="F501" s="2" t="s">
        <v>108</v>
      </c>
    </row>
    <row r="502" customFormat="false" ht="15" hidden="false" customHeight="false" outlineLevel="0" collapsed="false">
      <c r="A502" s="20" t="n">
        <v>45869</v>
      </c>
      <c r="B502" s="2" t="n">
        <v>8</v>
      </c>
      <c r="C502" s="2" t="s">
        <v>63</v>
      </c>
      <c r="D502" s="21" t="n">
        <v>166800</v>
      </c>
      <c r="E502" s="2" t="s">
        <v>55</v>
      </c>
      <c r="F502" s="2" t="s">
        <v>108</v>
      </c>
    </row>
    <row r="503" customFormat="false" ht="15" hidden="false" customHeight="false" outlineLevel="0" collapsed="false">
      <c r="A503" s="20" t="n">
        <v>45869</v>
      </c>
      <c r="B503" s="2" t="n">
        <v>9</v>
      </c>
      <c r="C503" s="2" t="s">
        <v>64</v>
      </c>
      <c r="D503" s="21" t="n">
        <v>72800</v>
      </c>
      <c r="E503" s="2" t="s">
        <v>55</v>
      </c>
      <c r="F503" s="2" t="s">
        <v>108</v>
      </c>
    </row>
    <row r="504" customFormat="false" ht="15" hidden="false" customHeight="false" outlineLevel="0" collapsed="false">
      <c r="A504" s="20" t="n">
        <v>45869</v>
      </c>
      <c r="B504" s="2" t="n">
        <v>15</v>
      </c>
      <c r="C504" s="2" t="s">
        <v>71</v>
      </c>
      <c r="D504" s="21" t="n">
        <v>125800</v>
      </c>
      <c r="E504" s="2" t="s">
        <v>52</v>
      </c>
      <c r="F504" s="2" t="s">
        <v>108</v>
      </c>
    </row>
    <row r="505" customFormat="false" ht="15" hidden="false" customHeight="false" outlineLevel="0" collapsed="false">
      <c r="A505" s="20" t="n">
        <v>45870</v>
      </c>
      <c r="B505" s="2" t="n">
        <v>6</v>
      </c>
      <c r="C505" s="2" t="s">
        <v>60</v>
      </c>
      <c r="D505" s="21" t="n">
        <v>52700</v>
      </c>
      <c r="E505" s="2" t="s">
        <v>52</v>
      </c>
      <c r="F505" s="2" t="s">
        <v>108</v>
      </c>
    </row>
    <row r="506" customFormat="false" ht="15" hidden="false" customHeight="false" outlineLevel="0" collapsed="false">
      <c r="A506" s="20" t="n">
        <v>45870</v>
      </c>
      <c r="B506" s="2" t="n">
        <v>16</v>
      </c>
      <c r="C506" s="2" t="s">
        <v>72</v>
      </c>
      <c r="D506" s="21" t="n">
        <v>87100</v>
      </c>
      <c r="E506" s="2" t="s">
        <v>55</v>
      </c>
      <c r="F506" s="2" t="s">
        <v>108</v>
      </c>
    </row>
    <row r="507" customFormat="false" ht="15" hidden="false" customHeight="false" outlineLevel="0" collapsed="false">
      <c r="A507" s="20" t="n">
        <v>45870</v>
      </c>
      <c r="B507" s="2" t="n">
        <v>18</v>
      </c>
      <c r="C507" s="2" t="s">
        <v>74</v>
      </c>
      <c r="D507" s="21" t="n">
        <v>74000</v>
      </c>
      <c r="E507" s="2" t="s">
        <v>55</v>
      </c>
      <c r="F507" s="2" t="s">
        <v>108</v>
      </c>
    </row>
    <row r="508" customFormat="false" ht="15" hidden="false" customHeight="false" outlineLevel="0" collapsed="false">
      <c r="A508" s="20" t="n">
        <v>45870</v>
      </c>
      <c r="B508" s="2" t="n">
        <v>19</v>
      </c>
      <c r="C508" s="2" t="s">
        <v>75</v>
      </c>
      <c r="D508" s="21" t="n">
        <v>111500</v>
      </c>
      <c r="E508" s="2" t="s">
        <v>52</v>
      </c>
      <c r="F508" s="2" t="s">
        <v>108</v>
      </c>
    </row>
    <row r="509" customFormat="false" ht="15" hidden="false" customHeight="false" outlineLevel="0" collapsed="false">
      <c r="A509" s="20" t="n">
        <v>45870</v>
      </c>
      <c r="B509" s="2" t="n">
        <v>21</v>
      </c>
      <c r="C509" s="2" t="s">
        <v>77</v>
      </c>
      <c r="D509" s="21" t="n">
        <v>81200</v>
      </c>
      <c r="E509" s="2" t="s">
        <v>52</v>
      </c>
      <c r="F509" s="2" t="s">
        <v>108</v>
      </c>
    </row>
    <row r="510" customFormat="false" ht="15" hidden="false" customHeight="false" outlineLevel="0" collapsed="false">
      <c r="A510" s="20" t="n">
        <v>45871</v>
      </c>
      <c r="B510" s="2" t="n">
        <v>4</v>
      </c>
      <c r="C510" s="2" t="s">
        <v>58</v>
      </c>
      <c r="D510" s="21" t="n">
        <v>110200</v>
      </c>
      <c r="E510" s="2" t="s">
        <v>52</v>
      </c>
      <c r="F510" s="2" t="s">
        <v>108</v>
      </c>
    </row>
    <row r="511" customFormat="false" ht="15" hidden="false" customHeight="false" outlineLevel="0" collapsed="false">
      <c r="A511" s="20" t="n">
        <v>45871</v>
      </c>
      <c r="B511" s="2" t="n">
        <v>5</v>
      </c>
      <c r="C511" s="2" t="s">
        <v>59</v>
      </c>
      <c r="D511" s="21" t="n">
        <v>139900</v>
      </c>
      <c r="E511" s="2" t="s">
        <v>52</v>
      </c>
      <c r="F511" s="2" t="s">
        <v>108</v>
      </c>
    </row>
    <row r="512" customFormat="false" ht="15" hidden="false" customHeight="false" outlineLevel="0" collapsed="false">
      <c r="A512" s="20" t="n">
        <v>45871</v>
      </c>
      <c r="B512" s="2" t="n">
        <v>12</v>
      </c>
      <c r="C512" s="2" t="s">
        <v>67</v>
      </c>
      <c r="D512" s="21" t="n">
        <v>118400</v>
      </c>
      <c r="E512" s="2" t="s">
        <v>55</v>
      </c>
      <c r="F512" s="2" t="s">
        <v>108</v>
      </c>
    </row>
    <row r="513" customFormat="false" ht="15" hidden="false" customHeight="false" outlineLevel="0" collapsed="false">
      <c r="A513" s="20" t="n">
        <v>45871</v>
      </c>
      <c r="B513" s="2" t="n">
        <v>17</v>
      </c>
      <c r="C513" s="2" t="s">
        <v>73</v>
      </c>
      <c r="D513" s="21" t="n">
        <v>56900</v>
      </c>
      <c r="E513" s="2" t="s">
        <v>52</v>
      </c>
      <c r="F513" s="2" t="s">
        <v>108</v>
      </c>
    </row>
    <row r="514" customFormat="false" ht="15" hidden="false" customHeight="false" outlineLevel="0" collapsed="false">
      <c r="A514" s="20" t="n">
        <v>45871</v>
      </c>
      <c r="B514" s="2" t="n">
        <v>20</v>
      </c>
      <c r="C514" s="2" t="s">
        <v>76</v>
      </c>
      <c r="D514" s="21" t="n">
        <v>198300</v>
      </c>
      <c r="E514" s="2" t="s">
        <v>52</v>
      </c>
      <c r="F514" s="2" t="s">
        <v>108</v>
      </c>
    </row>
    <row r="515" customFormat="false" ht="15" hidden="false" customHeight="false" outlineLevel="0" collapsed="false">
      <c r="A515" s="20" t="n">
        <v>45871</v>
      </c>
      <c r="B515" s="2" t="n">
        <v>22</v>
      </c>
      <c r="C515" s="2" t="s">
        <v>79</v>
      </c>
      <c r="D515" s="21" t="n">
        <v>180900</v>
      </c>
      <c r="E515" s="2" t="s">
        <v>55</v>
      </c>
      <c r="F515" s="2" t="s">
        <v>108</v>
      </c>
    </row>
    <row r="516" customFormat="false" ht="15" hidden="false" customHeight="false" outlineLevel="0" collapsed="false">
      <c r="A516" s="20" t="n">
        <v>45871</v>
      </c>
      <c r="B516" s="2" t="n">
        <v>23</v>
      </c>
      <c r="C516" s="2" t="s">
        <v>80</v>
      </c>
      <c r="D516" s="21" t="n">
        <v>109300</v>
      </c>
      <c r="E516" s="2" t="s">
        <v>55</v>
      </c>
      <c r="F516" s="2" t="s">
        <v>108</v>
      </c>
    </row>
    <row r="517" customFormat="false" ht="15" hidden="false" customHeight="false" outlineLevel="0" collapsed="false">
      <c r="A517" s="20" t="n">
        <v>45872</v>
      </c>
      <c r="B517" s="2" t="n">
        <v>8</v>
      </c>
      <c r="C517" s="2" t="s">
        <v>63</v>
      </c>
      <c r="D517" s="21" t="n">
        <v>123300</v>
      </c>
      <c r="E517" s="2" t="s">
        <v>55</v>
      </c>
      <c r="F517" s="2" t="s">
        <v>108</v>
      </c>
    </row>
    <row r="518" customFormat="false" ht="15" hidden="false" customHeight="false" outlineLevel="0" collapsed="false">
      <c r="A518" s="20" t="n">
        <v>45872</v>
      </c>
      <c r="B518" s="2" t="n">
        <v>19</v>
      </c>
      <c r="C518" s="2" t="s">
        <v>75</v>
      </c>
      <c r="D518" s="21" t="n">
        <v>93500</v>
      </c>
      <c r="E518" s="2" t="s">
        <v>52</v>
      </c>
      <c r="F518" s="2" t="s">
        <v>108</v>
      </c>
    </row>
    <row r="519" customFormat="false" ht="15" hidden="false" customHeight="false" outlineLevel="0" collapsed="false">
      <c r="A519" s="20" t="n">
        <v>45874</v>
      </c>
      <c r="B519" s="2" t="n">
        <v>22</v>
      </c>
      <c r="C519" s="2" t="s">
        <v>79</v>
      </c>
      <c r="D519" s="21" t="n">
        <v>149400</v>
      </c>
      <c r="E519" s="2" t="s">
        <v>55</v>
      </c>
      <c r="F519" s="2" t="s">
        <v>108</v>
      </c>
    </row>
    <row r="520" customFormat="false" ht="15" hidden="false" customHeight="false" outlineLevel="0" collapsed="false">
      <c r="A520" s="20" t="n">
        <v>45875</v>
      </c>
      <c r="B520" s="2" t="n">
        <v>15</v>
      </c>
      <c r="C520" s="2" t="s">
        <v>71</v>
      </c>
      <c r="D520" s="21" t="n">
        <v>115500</v>
      </c>
      <c r="E520" s="2" t="s">
        <v>52</v>
      </c>
      <c r="F520" s="2" t="s">
        <v>108</v>
      </c>
    </row>
    <row r="521" customFormat="false" ht="15" hidden="false" customHeight="false" outlineLevel="0" collapsed="false">
      <c r="A521" s="20" t="n">
        <v>45876</v>
      </c>
      <c r="B521" s="2" t="n">
        <v>1</v>
      </c>
      <c r="C521" s="2" t="s">
        <v>51</v>
      </c>
      <c r="D521" s="21" t="n">
        <v>125300</v>
      </c>
      <c r="E521" s="2" t="s">
        <v>52</v>
      </c>
      <c r="F521" s="2" t="s">
        <v>108</v>
      </c>
    </row>
    <row r="522" customFormat="false" ht="15" hidden="false" customHeight="false" outlineLevel="0" collapsed="false">
      <c r="A522" s="20" t="n">
        <v>45876</v>
      </c>
      <c r="B522" s="2" t="n">
        <v>7</v>
      </c>
      <c r="C522" s="2" t="s">
        <v>62</v>
      </c>
      <c r="D522" s="21" t="n">
        <v>39100</v>
      </c>
      <c r="E522" s="2" t="s">
        <v>52</v>
      </c>
      <c r="F522" s="2" t="s">
        <v>108</v>
      </c>
    </row>
    <row r="523" customFormat="false" ht="15" hidden="false" customHeight="false" outlineLevel="0" collapsed="false">
      <c r="A523" s="20" t="n">
        <v>45876</v>
      </c>
      <c r="B523" s="2" t="n">
        <v>8</v>
      </c>
      <c r="C523" s="2" t="s">
        <v>63</v>
      </c>
      <c r="D523" s="21" t="n">
        <v>142300</v>
      </c>
      <c r="E523" s="2" t="s">
        <v>55</v>
      </c>
      <c r="F523" s="2" t="s">
        <v>108</v>
      </c>
    </row>
    <row r="524" customFormat="false" ht="15" hidden="false" customHeight="false" outlineLevel="0" collapsed="false">
      <c r="A524" s="20" t="n">
        <v>45876</v>
      </c>
      <c r="B524" s="2" t="n">
        <v>11</v>
      </c>
      <c r="C524" s="2" t="s">
        <v>66</v>
      </c>
      <c r="D524" s="21" t="n">
        <v>148400</v>
      </c>
      <c r="E524" s="2" t="s">
        <v>55</v>
      </c>
      <c r="F524" s="2" t="s">
        <v>108</v>
      </c>
    </row>
    <row r="525" customFormat="false" ht="15" hidden="false" customHeight="false" outlineLevel="0" collapsed="false">
      <c r="A525" s="20" t="n">
        <v>45876</v>
      </c>
      <c r="B525" s="2" t="n">
        <v>18</v>
      </c>
      <c r="C525" s="2" t="s">
        <v>74</v>
      </c>
      <c r="D525" s="21" t="n">
        <v>58000</v>
      </c>
      <c r="E525" s="2" t="s">
        <v>55</v>
      </c>
      <c r="F525" s="2" t="s">
        <v>108</v>
      </c>
    </row>
    <row r="526" customFormat="false" ht="15" hidden="false" customHeight="false" outlineLevel="0" collapsed="false">
      <c r="A526" s="20" t="n">
        <v>45876</v>
      </c>
      <c r="B526" s="2" t="n">
        <v>19</v>
      </c>
      <c r="C526" s="2" t="s">
        <v>75</v>
      </c>
      <c r="D526" s="21" t="n">
        <v>94600</v>
      </c>
      <c r="E526" s="2" t="s">
        <v>52</v>
      </c>
      <c r="F526" s="2" t="s">
        <v>108</v>
      </c>
    </row>
    <row r="527" customFormat="false" ht="15" hidden="false" customHeight="false" outlineLevel="0" collapsed="false">
      <c r="A527" s="20" t="n">
        <v>45876</v>
      </c>
      <c r="B527" s="2" t="n">
        <v>23</v>
      </c>
      <c r="C527" s="2" t="s">
        <v>80</v>
      </c>
      <c r="D527" s="21" t="n">
        <v>118100</v>
      </c>
      <c r="E527" s="2" t="s">
        <v>55</v>
      </c>
      <c r="F527" s="2" t="s">
        <v>108</v>
      </c>
    </row>
    <row r="528" customFormat="false" ht="15" hidden="false" customHeight="false" outlineLevel="0" collapsed="false">
      <c r="A528" s="20" t="n">
        <v>45877</v>
      </c>
      <c r="B528" s="2" t="n">
        <v>2</v>
      </c>
      <c r="C528" s="2" t="s">
        <v>54</v>
      </c>
      <c r="D528" s="21" t="n">
        <v>53500</v>
      </c>
      <c r="E528" s="2" t="s">
        <v>55</v>
      </c>
      <c r="F528" s="2" t="s">
        <v>108</v>
      </c>
    </row>
    <row r="529" customFormat="false" ht="15" hidden="false" customHeight="false" outlineLevel="0" collapsed="false">
      <c r="A529" s="20" t="n">
        <v>45877</v>
      </c>
      <c r="B529" s="2" t="n">
        <v>5</v>
      </c>
      <c r="C529" s="2" t="s">
        <v>59</v>
      </c>
      <c r="D529" s="21" t="n">
        <v>151300</v>
      </c>
      <c r="E529" s="2" t="s">
        <v>52</v>
      </c>
      <c r="F529" s="2" t="s">
        <v>108</v>
      </c>
    </row>
    <row r="530" customFormat="false" ht="15" hidden="false" customHeight="false" outlineLevel="0" collapsed="false">
      <c r="A530" s="20" t="n">
        <v>45877</v>
      </c>
      <c r="B530" s="2" t="n">
        <v>24</v>
      </c>
      <c r="C530" s="2" t="s">
        <v>81</v>
      </c>
      <c r="D530" s="21" t="n">
        <v>126600</v>
      </c>
      <c r="E530" s="2" t="s">
        <v>52</v>
      </c>
      <c r="F530" s="2" t="s">
        <v>108</v>
      </c>
    </row>
    <row r="531" customFormat="false" ht="15" hidden="false" customHeight="false" outlineLevel="0" collapsed="false">
      <c r="A531" s="20" t="n">
        <v>45878</v>
      </c>
      <c r="B531" s="2" t="n">
        <v>4</v>
      </c>
      <c r="C531" s="2" t="s">
        <v>58</v>
      </c>
      <c r="D531" s="21" t="n">
        <v>135000</v>
      </c>
      <c r="E531" s="2" t="s">
        <v>52</v>
      </c>
      <c r="F531" s="2" t="s">
        <v>108</v>
      </c>
    </row>
    <row r="532" customFormat="false" ht="15" hidden="false" customHeight="false" outlineLevel="0" collapsed="false">
      <c r="A532" s="20" t="n">
        <v>45878</v>
      </c>
      <c r="B532" s="2" t="n">
        <v>6</v>
      </c>
      <c r="C532" s="2" t="s">
        <v>60</v>
      </c>
      <c r="D532" s="21" t="n">
        <v>72100</v>
      </c>
      <c r="E532" s="2" t="s">
        <v>52</v>
      </c>
      <c r="F532" s="2" t="s">
        <v>108</v>
      </c>
    </row>
    <row r="533" customFormat="false" ht="15" hidden="false" customHeight="false" outlineLevel="0" collapsed="false">
      <c r="A533" s="20" t="n">
        <v>45878</v>
      </c>
      <c r="B533" s="2" t="n">
        <v>8</v>
      </c>
      <c r="C533" s="2" t="s">
        <v>63</v>
      </c>
      <c r="D533" s="21" t="n">
        <v>151000</v>
      </c>
      <c r="E533" s="2" t="s">
        <v>55</v>
      </c>
      <c r="F533" s="2" t="s">
        <v>108</v>
      </c>
    </row>
    <row r="534" customFormat="false" ht="15" hidden="false" customHeight="false" outlineLevel="0" collapsed="false">
      <c r="A534" s="20" t="n">
        <v>45878</v>
      </c>
      <c r="B534" s="2" t="n">
        <v>9</v>
      </c>
      <c r="C534" s="2" t="s">
        <v>64</v>
      </c>
      <c r="D534" s="21" t="n">
        <v>58200</v>
      </c>
      <c r="E534" s="2" t="s">
        <v>55</v>
      </c>
      <c r="F534" s="2" t="s">
        <v>108</v>
      </c>
    </row>
    <row r="535" customFormat="false" ht="15" hidden="false" customHeight="false" outlineLevel="0" collapsed="false">
      <c r="A535" s="20" t="n">
        <v>45878</v>
      </c>
      <c r="B535" s="2" t="n">
        <v>14</v>
      </c>
      <c r="C535" s="2" t="s">
        <v>70</v>
      </c>
      <c r="D535" s="21" t="n">
        <v>90100</v>
      </c>
      <c r="E535" s="2" t="s">
        <v>52</v>
      </c>
      <c r="F535" s="2" t="s">
        <v>108</v>
      </c>
    </row>
    <row r="536" customFormat="false" ht="15" hidden="false" customHeight="false" outlineLevel="0" collapsed="false">
      <c r="A536" s="20" t="n">
        <v>45878</v>
      </c>
      <c r="B536" s="2" t="n">
        <v>16</v>
      </c>
      <c r="C536" s="2" t="s">
        <v>72</v>
      </c>
      <c r="D536" s="21" t="n">
        <v>75800</v>
      </c>
      <c r="E536" s="2" t="s">
        <v>55</v>
      </c>
      <c r="F536" s="2" t="s">
        <v>108</v>
      </c>
    </row>
    <row r="537" customFormat="false" ht="15" hidden="false" customHeight="false" outlineLevel="0" collapsed="false">
      <c r="A537" s="20" t="n">
        <v>45878</v>
      </c>
      <c r="B537" s="2" t="n">
        <v>17</v>
      </c>
      <c r="C537" s="2" t="s">
        <v>73</v>
      </c>
      <c r="D537" s="21" t="n">
        <v>62600</v>
      </c>
      <c r="E537" s="2" t="s">
        <v>52</v>
      </c>
      <c r="F537" s="2" t="s">
        <v>108</v>
      </c>
    </row>
    <row r="538" customFormat="false" ht="15" hidden="false" customHeight="false" outlineLevel="0" collapsed="false">
      <c r="A538" s="20" t="n">
        <v>45878</v>
      </c>
      <c r="B538" s="2" t="n">
        <v>19</v>
      </c>
      <c r="C538" s="2" t="s">
        <v>75</v>
      </c>
      <c r="D538" s="21" t="n">
        <v>103700</v>
      </c>
      <c r="E538" s="2" t="s">
        <v>52</v>
      </c>
      <c r="F538" s="2" t="s">
        <v>108</v>
      </c>
    </row>
    <row r="539" customFormat="false" ht="15" hidden="false" customHeight="false" outlineLevel="0" collapsed="false">
      <c r="A539" s="20" t="n">
        <v>45878</v>
      </c>
      <c r="B539" s="2" t="n">
        <v>21</v>
      </c>
      <c r="C539" s="2" t="s">
        <v>77</v>
      </c>
      <c r="D539" s="21" t="n">
        <v>77100</v>
      </c>
      <c r="E539" s="2" t="s">
        <v>52</v>
      </c>
      <c r="F539" s="2" t="s">
        <v>108</v>
      </c>
    </row>
    <row r="540" customFormat="false" ht="15" hidden="false" customHeight="false" outlineLevel="0" collapsed="false">
      <c r="A540" s="20" t="n">
        <v>45879</v>
      </c>
      <c r="B540" s="2" t="n">
        <v>12</v>
      </c>
      <c r="C540" s="2" t="s">
        <v>67</v>
      </c>
      <c r="D540" s="21" t="n">
        <v>73500</v>
      </c>
      <c r="E540" s="2" t="s">
        <v>55</v>
      </c>
      <c r="F540" s="2" t="s">
        <v>108</v>
      </c>
    </row>
    <row r="541" customFormat="false" ht="15" hidden="false" customHeight="false" outlineLevel="0" collapsed="false">
      <c r="A541" s="20" t="n">
        <v>45879</v>
      </c>
      <c r="B541" s="2" t="n">
        <v>22</v>
      </c>
      <c r="C541" s="2" t="s">
        <v>79</v>
      </c>
      <c r="D541" s="21" t="n">
        <v>185900</v>
      </c>
      <c r="E541" s="2" t="s">
        <v>55</v>
      </c>
      <c r="F541" s="2" t="s">
        <v>108</v>
      </c>
    </row>
    <row r="542" customFormat="false" ht="15" hidden="false" customHeight="false" outlineLevel="0" collapsed="false">
      <c r="A542" s="20" t="n">
        <v>45881</v>
      </c>
      <c r="B542" s="2" t="n">
        <v>19</v>
      </c>
      <c r="C542" s="2" t="s">
        <v>75</v>
      </c>
      <c r="D542" s="21" t="n">
        <v>129200</v>
      </c>
      <c r="E542" s="2" t="s">
        <v>52</v>
      </c>
      <c r="F542" s="2" t="s">
        <v>108</v>
      </c>
    </row>
    <row r="543" customFormat="false" ht="15" hidden="false" customHeight="false" outlineLevel="0" collapsed="false">
      <c r="A543" s="20" t="n">
        <v>45882</v>
      </c>
      <c r="B543" s="2" t="n">
        <v>7</v>
      </c>
      <c r="C543" s="2" t="s">
        <v>62</v>
      </c>
      <c r="D543" s="21" t="n">
        <v>48500</v>
      </c>
      <c r="E543" s="2" t="s">
        <v>52</v>
      </c>
      <c r="F543" s="2" t="s">
        <v>108</v>
      </c>
    </row>
    <row r="544" customFormat="false" ht="15" hidden="false" customHeight="false" outlineLevel="0" collapsed="false">
      <c r="A544" s="20" t="n">
        <v>45882</v>
      </c>
      <c r="B544" s="2" t="n">
        <v>13</v>
      </c>
      <c r="C544" s="2" t="s">
        <v>68</v>
      </c>
      <c r="D544" s="21" t="n">
        <v>47600</v>
      </c>
      <c r="E544" s="2" t="s">
        <v>52</v>
      </c>
      <c r="F544" s="2" t="s">
        <v>108</v>
      </c>
    </row>
    <row r="545" customFormat="false" ht="15" hidden="false" customHeight="false" outlineLevel="0" collapsed="false">
      <c r="A545" s="20" t="n">
        <v>45882</v>
      </c>
      <c r="B545" s="2" t="n">
        <v>18</v>
      </c>
      <c r="C545" s="2" t="s">
        <v>74</v>
      </c>
      <c r="D545" s="21" t="n">
        <v>71800</v>
      </c>
      <c r="E545" s="2" t="s">
        <v>55</v>
      </c>
      <c r="F545" s="2" t="s">
        <v>108</v>
      </c>
    </row>
    <row r="546" customFormat="false" ht="15" hidden="false" customHeight="false" outlineLevel="0" collapsed="false">
      <c r="A546" s="20" t="n">
        <v>45882</v>
      </c>
      <c r="B546" s="2" t="n">
        <v>22</v>
      </c>
      <c r="C546" s="2" t="s">
        <v>79</v>
      </c>
      <c r="D546" s="21" t="n">
        <v>189200</v>
      </c>
      <c r="E546" s="2" t="s">
        <v>55</v>
      </c>
      <c r="F546" s="2" t="s">
        <v>108</v>
      </c>
    </row>
    <row r="547" customFormat="false" ht="15" hidden="false" customHeight="false" outlineLevel="0" collapsed="false">
      <c r="A547" s="20" t="n">
        <v>45883</v>
      </c>
      <c r="B547" s="2" t="n">
        <v>1</v>
      </c>
      <c r="C547" s="2" t="s">
        <v>51</v>
      </c>
      <c r="D547" s="21" t="n">
        <v>120700</v>
      </c>
      <c r="E547" s="2" t="s">
        <v>52</v>
      </c>
      <c r="F547" s="2" t="s">
        <v>108</v>
      </c>
    </row>
    <row r="548" customFormat="false" ht="15" hidden="false" customHeight="false" outlineLevel="0" collapsed="false">
      <c r="A548" s="20" t="n">
        <v>45883</v>
      </c>
      <c r="B548" s="2" t="n">
        <v>8</v>
      </c>
      <c r="C548" s="2" t="s">
        <v>63</v>
      </c>
      <c r="D548" s="21" t="n">
        <v>148900</v>
      </c>
      <c r="E548" s="2" t="s">
        <v>55</v>
      </c>
      <c r="F548" s="2" t="s">
        <v>108</v>
      </c>
    </row>
    <row r="549" customFormat="false" ht="15" hidden="false" customHeight="false" outlineLevel="0" collapsed="false">
      <c r="A549" s="20" t="n">
        <v>45883</v>
      </c>
      <c r="B549" s="2" t="n">
        <v>11</v>
      </c>
      <c r="C549" s="2" t="s">
        <v>66</v>
      </c>
      <c r="D549" s="21" t="n">
        <v>148800</v>
      </c>
      <c r="E549" s="2" t="s">
        <v>55</v>
      </c>
      <c r="F549" s="2" t="s">
        <v>108</v>
      </c>
    </row>
    <row r="550" customFormat="false" ht="15" hidden="false" customHeight="false" outlineLevel="0" collapsed="false">
      <c r="A550" s="20" t="n">
        <v>45883</v>
      </c>
      <c r="B550" s="2" t="n">
        <v>14</v>
      </c>
      <c r="C550" s="2" t="s">
        <v>70</v>
      </c>
      <c r="D550" s="21" t="n">
        <v>79300</v>
      </c>
      <c r="E550" s="2" t="s">
        <v>52</v>
      </c>
      <c r="F550" s="2" t="s">
        <v>108</v>
      </c>
    </row>
    <row r="551" customFormat="false" ht="15" hidden="false" customHeight="false" outlineLevel="0" collapsed="false">
      <c r="A551" s="20" t="n">
        <v>45884</v>
      </c>
      <c r="B551" s="2" t="n">
        <v>17</v>
      </c>
      <c r="C551" s="2" t="s">
        <v>73</v>
      </c>
      <c r="D551" s="21" t="n">
        <v>59500</v>
      </c>
      <c r="E551" s="2" t="s">
        <v>52</v>
      </c>
      <c r="F551" s="2" t="s">
        <v>108</v>
      </c>
    </row>
    <row r="552" customFormat="false" ht="15" hidden="false" customHeight="false" outlineLevel="0" collapsed="false">
      <c r="A552" s="20" t="n">
        <v>45884</v>
      </c>
      <c r="B552" s="2" t="n">
        <v>19</v>
      </c>
      <c r="C552" s="2" t="s">
        <v>75</v>
      </c>
      <c r="D552" s="21" t="n">
        <v>125100</v>
      </c>
      <c r="E552" s="2" t="s">
        <v>52</v>
      </c>
      <c r="F552" s="2" t="s">
        <v>108</v>
      </c>
    </row>
    <row r="553" customFormat="false" ht="15" hidden="false" customHeight="false" outlineLevel="0" collapsed="false">
      <c r="A553" s="20" t="n">
        <v>45884</v>
      </c>
      <c r="B553" s="2" t="n">
        <v>21</v>
      </c>
      <c r="C553" s="2" t="s">
        <v>77</v>
      </c>
      <c r="D553" s="21" t="n">
        <v>74500</v>
      </c>
      <c r="E553" s="2" t="s">
        <v>52</v>
      </c>
      <c r="F553" s="2" t="s">
        <v>108</v>
      </c>
    </row>
    <row r="554" customFormat="false" ht="15" hidden="false" customHeight="false" outlineLevel="0" collapsed="false">
      <c r="A554" s="20" t="n">
        <v>45885</v>
      </c>
      <c r="B554" s="2" t="n">
        <v>2</v>
      </c>
      <c r="C554" s="2" t="s">
        <v>54</v>
      </c>
      <c r="D554" s="21" t="n">
        <v>58700</v>
      </c>
      <c r="E554" s="2" t="s">
        <v>55</v>
      </c>
      <c r="F554" s="2" t="s">
        <v>108</v>
      </c>
    </row>
    <row r="555" customFormat="false" ht="15" hidden="false" customHeight="false" outlineLevel="0" collapsed="false">
      <c r="A555" s="20" t="n">
        <v>45885</v>
      </c>
      <c r="B555" s="2" t="n">
        <v>4</v>
      </c>
      <c r="C555" s="2" t="s">
        <v>58</v>
      </c>
      <c r="D555" s="21" t="n">
        <v>112000</v>
      </c>
      <c r="E555" s="2" t="s">
        <v>52</v>
      </c>
      <c r="F555" s="2" t="s">
        <v>108</v>
      </c>
    </row>
    <row r="556" customFormat="false" ht="15" hidden="false" customHeight="false" outlineLevel="0" collapsed="false">
      <c r="A556" s="20" t="n">
        <v>45885</v>
      </c>
      <c r="B556" s="2" t="n">
        <v>5</v>
      </c>
      <c r="C556" s="2" t="s">
        <v>59</v>
      </c>
      <c r="D556" s="21" t="n">
        <v>212500</v>
      </c>
      <c r="E556" s="2" t="s">
        <v>52</v>
      </c>
      <c r="F556" s="2" t="s">
        <v>108</v>
      </c>
    </row>
    <row r="557" customFormat="false" ht="15" hidden="false" customHeight="false" outlineLevel="0" collapsed="false">
      <c r="A557" s="20" t="n">
        <v>45885</v>
      </c>
      <c r="B557" s="2" t="n">
        <v>16</v>
      </c>
      <c r="C557" s="2" t="s">
        <v>72</v>
      </c>
      <c r="D557" s="21" t="n">
        <v>90200</v>
      </c>
      <c r="E557" s="2" t="s">
        <v>55</v>
      </c>
      <c r="F557" s="2" t="s">
        <v>108</v>
      </c>
    </row>
    <row r="558" customFormat="false" ht="15" hidden="false" customHeight="false" outlineLevel="0" collapsed="false">
      <c r="A558" s="20" t="n">
        <v>45885</v>
      </c>
      <c r="B558" s="2" t="n">
        <v>23</v>
      </c>
      <c r="C558" s="2" t="s">
        <v>80</v>
      </c>
      <c r="D558" s="21" t="n">
        <v>87200</v>
      </c>
      <c r="E558" s="2" t="s">
        <v>55</v>
      </c>
      <c r="F558" s="2" t="s">
        <v>108</v>
      </c>
    </row>
    <row r="559" customFormat="false" ht="15" hidden="false" customHeight="false" outlineLevel="0" collapsed="false">
      <c r="A559" s="20" t="n">
        <v>45885</v>
      </c>
      <c r="B559" s="2" t="n">
        <v>24</v>
      </c>
      <c r="C559" s="2" t="s">
        <v>81</v>
      </c>
      <c r="D559" s="21" t="n">
        <v>190800</v>
      </c>
      <c r="E559" s="2" t="s">
        <v>52</v>
      </c>
      <c r="F559" s="2" t="s">
        <v>108</v>
      </c>
    </row>
    <row r="560" customFormat="false" ht="15" hidden="false" customHeight="false" outlineLevel="0" collapsed="false">
      <c r="A560" s="20" t="n">
        <v>45886</v>
      </c>
      <c r="B560" s="2" t="n">
        <v>8</v>
      </c>
      <c r="C560" s="2" t="s">
        <v>63</v>
      </c>
      <c r="D560" s="21" t="n">
        <v>107700</v>
      </c>
      <c r="E560" s="2" t="s">
        <v>55</v>
      </c>
      <c r="F560" s="2" t="s">
        <v>108</v>
      </c>
    </row>
    <row r="561" customFormat="false" ht="15" hidden="false" customHeight="false" outlineLevel="0" collapsed="false">
      <c r="A561" s="20" t="n">
        <v>45886</v>
      </c>
      <c r="B561" s="2" t="n">
        <v>9</v>
      </c>
      <c r="C561" s="2" t="s">
        <v>64</v>
      </c>
      <c r="D561" s="21" t="n">
        <v>55000</v>
      </c>
      <c r="E561" s="2" t="s">
        <v>55</v>
      </c>
      <c r="F561" s="2" t="s">
        <v>108</v>
      </c>
    </row>
    <row r="562" customFormat="false" ht="15" hidden="false" customHeight="false" outlineLevel="0" collapsed="false">
      <c r="A562" s="20" t="n">
        <v>45886</v>
      </c>
      <c r="B562" s="2" t="n">
        <v>12</v>
      </c>
      <c r="C562" s="2" t="s">
        <v>67</v>
      </c>
      <c r="D562" s="21" t="n">
        <v>98200</v>
      </c>
      <c r="E562" s="2" t="s">
        <v>55</v>
      </c>
      <c r="F562" s="2" t="s">
        <v>108</v>
      </c>
    </row>
    <row r="563" customFormat="false" ht="15" hidden="false" customHeight="false" outlineLevel="0" collapsed="false">
      <c r="A563" s="20" t="n">
        <v>45886</v>
      </c>
      <c r="B563" s="2" t="n">
        <v>15</v>
      </c>
      <c r="C563" s="2" t="s">
        <v>71</v>
      </c>
      <c r="D563" s="21" t="n">
        <v>102100</v>
      </c>
      <c r="E563" s="2" t="s">
        <v>52</v>
      </c>
      <c r="F563" s="2" t="s">
        <v>108</v>
      </c>
    </row>
    <row r="564" customFormat="false" ht="15" hidden="false" customHeight="false" outlineLevel="0" collapsed="false">
      <c r="A564" s="20" t="n">
        <v>45888</v>
      </c>
      <c r="B564" s="2" t="n">
        <v>19</v>
      </c>
      <c r="C564" s="2" t="s">
        <v>75</v>
      </c>
      <c r="D564" s="21" t="n">
        <v>109300</v>
      </c>
      <c r="E564" s="2" t="s">
        <v>52</v>
      </c>
      <c r="F564" s="2" t="s">
        <v>108</v>
      </c>
    </row>
    <row r="565" customFormat="false" ht="15" hidden="false" customHeight="false" outlineLevel="0" collapsed="false">
      <c r="A565" s="20" t="n">
        <v>45888</v>
      </c>
      <c r="B565" s="2" t="n">
        <v>23</v>
      </c>
      <c r="C565" s="2" t="s">
        <v>80</v>
      </c>
      <c r="D565" s="21" t="n">
        <v>93800</v>
      </c>
      <c r="E565" s="2" t="s">
        <v>55</v>
      </c>
      <c r="F565" s="2" t="s">
        <v>108</v>
      </c>
    </row>
    <row r="566" customFormat="false" ht="15" hidden="false" customHeight="false" outlineLevel="0" collapsed="false">
      <c r="A566" s="20" t="n">
        <v>45889</v>
      </c>
      <c r="B566" s="2" t="n">
        <v>8</v>
      </c>
      <c r="C566" s="2" t="s">
        <v>63</v>
      </c>
      <c r="D566" s="21" t="n">
        <v>106000</v>
      </c>
      <c r="E566" s="2" t="s">
        <v>55</v>
      </c>
      <c r="F566" s="2" t="s">
        <v>108</v>
      </c>
    </row>
    <row r="567" customFormat="false" ht="15" hidden="false" customHeight="false" outlineLevel="0" collapsed="false">
      <c r="A567" s="20" t="n">
        <v>45889</v>
      </c>
      <c r="B567" s="2" t="n">
        <v>14</v>
      </c>
      <c r="C567" s="2" t="s">
        <v>70</v>
      </c>
      <c r="D567" s="21" t="n">
        <v>106300</v>
      </c>
      <c r="E567" s="2" t="s">
        <v>52</v>
      </c>
      <c r="F567" s="2" t="s">
        <v>108</v>
      </c>
    </row>
    <row r="568" customFormat="false" ht="15" hidden="false" customHeight="false" outlineLevel="0" collapsed="false">
      <c r="A568" s="20" t="n">
        <v>45890</v>
      </c>
      <c r="B568" s="2" t="n">
        <v>7</v>
      </c>
      <c r="C568" s="2" t="s">
        <v>62</v>
      </c>
      <c r="D568" s="21" t="n">
        <v>63000</v>
      </c>
      <c r="E568" s="2" t="s">
        <v>52</v>
      </c>
      <c r="F568" s="2" t="s">
        <v>108</v>
      </c>
    </row>
    <row r="569" customFormat="false" ht="15" hidden="false" customHeight="false" outlineLevel="0" collapsed="false">
      <c r="A569" s="20" t="n">
        <v>45890</v>
      </c>
      <c r="B569" s="2" t="n">
        <v>21</v>
      </c>
      <c r="C569" s="2" t="s">
        <v>77</v>
      </c>
      <c r="D569" s="21" t="n">
        <v>102300</v>
      </c>
      <c r="E569" s="2" t="s">
        <v>52</v>
      </c>
      <c r="F569" s="2" t="s">
        <v>108</v>
      </c>
    </row>
    <row r="570" customFormat="false" ht="15" hidden="false" customHeight="false" outlineLevel="0" collapsed="false">
      <c r="A570" s="20" t="n">
        <v>45890</v>
      </c>
      <c r="B570" s="2" t="n">
        <v>22</v>
      </c>
      <c r="C570" s="2" t="s">
        <v>79</v>
      </c>
      <c r="D570" s="21" t="n">
        <v>164000</v>
      </c>
      <c r="E570" s="2" t="s">
        <v>55</v>
      </c>
      <c r="F570" s="2" t="s">
        <v>108</v>
      </c>
    </row>
    <row r="571" customFormat="false" ht="15" hidden="false" customHeight="false" outlineLevel="0" collapsed="false">
      <c r="A571" s="20" t="n">
        <v>45891</v>
      </c>
      <c r="B571" s="2" t="n">
        <v>1</v>
      </c>
      <c r="C571" s="2" t="s">
        <v>51</v>
      </c>
      <c r="D571" s="21" t="n">
        <v>101900</v>
      </c>
      <c r="E571" s="2" t="s">
        <v>52</v>
      </c>
      <c r="F571" s="2" t="s">
        <v>108</v>
      </c>
    </row>
    <row r="572" customFormat="false" ht="15" hidden="false" customHeight="false" outlineLevel="0" collapsed="false">
      <c r="A572" s="20" t="n">
        <v>45891</v>
      </c>
      <c r="B572" s="2" t="n">
        <v>2</v>
      </c>
      <c r="C572" s="2" t="s">
        <v>54</v>
      </c>
      <c r="D572" s="21" t="n">
        <v>60200</v>
      </c>
      <c r="E572" s="2" t="s">
        <v>55</v>
      </c>
      <c r="F572" s="2" t="s">
        <v>108</v>
      </c>
    </row>
    <row r="573" customFormat="false" ht="15" hidden="false" customHeight="false" outlineLevel="0" collapsed="false">
      <c r="A573" s="20" t="n">
        <v>45891</v>
      </c>
      <c r="B573" s="2" t="n">
        <v>4</v>
      </c>
      <c r="C573" s="2" t="s">
        <v>58</v>
      </c>
      <c r="D573" s="21" t="n">
        <v>93700</v>
      </c>
      <c r="E573" s="2" t="s">
        <v>52</v>
      </c>
      <c r="F573" s="2" t="s">
        <v>108</v>
      </c>
    </row>
    <row r="574" customFormat="false" ht="15" hidden="false" customHeight="false" outlineLevel="0" collapsed="false">
      <c r="A574" s="20" t="n">
        <v>45891</v>
      </c>
      <c r="B574" s="2" t="n">
        <v>8</v>
      </c>
      <c r="C574" s="2" t="s">
        <v>63</v>
      </c>
      <c r="D574" s="21" t="n">
        <v>163000</v>
      </c>
      <c r="E574" s="2" t="s">
        <v>55</v>
      </c>
      <c r="F574" s="2" t="s">
        <v>108</v>
      </c>
    </row>
    <row r="575" customFormat="false" ht="15" hidden="false" customHeight="false" outlineLevel="0" collapsed="false">
      <c r="A575" s="20" t="n">
        <v>45891</v>
      </c>
      <c r="B575" s="2" t="n">
        <v>11</v>
      </c>
      <c r="C575" s="2" t="s">
        <v>66</v>
      </c>
      <c r="D575" s="21" t="n">
        <v>98900</v>
      </c>
      <c r="E575" s="2" t="s">
        <v>55</v>
      </c>
      <c r="F575" s="2" t="s">
        <v>108</v>
      </c>
    </row>
    <row r="576" customFormat="false" ht="15" hidden="false" customHeight="false" outlineLevel="0" collapsed="false">
      <c r="A576" s="20" t="n">
        <v>45891</v>
      </c>
      <c r="B576" s="2" t="n">
        <v>13</v>
      </c>
      <c r="C576" s="2" t="s">
        <v>68</v>
      </c>
      <c r="D576" s="21" t="n">
        <v>53000</v>
      </c>
      <c r="E576" s="2" t="s">
        <v>52</v>
      </c>
      <c r="F576" s="2" t="s">
        <v>108</v>
      </c>
    </row>
    <row r="577" customFormat="false" ht="15" hidden="false" customHeight="false" outlineLevel="0" collapsed="false">
      <c r="A577" s="20" t="n">
        <v>45891</v>
      </c>
      <c r="B577" s="2" t="n">
        <v>19</v>
      </c>
      <c r="C577" s="2" t="s">
        <v>75</v>
      </c>
      <c r="D577" s="21" t="n">
        <v>89800</v>
      </c>
      <c r="E577" s="2" t="s">
        <v>52</v>
      </c>
      <c r="F577" s="2" t="s">
        <v>108</v>
      </c>
    </row>
    <row r="578" customFormat="false" ht="15" hidden="false" customHeight="false" outlineLevel="0" collapsed="false">
      <c r="A578" s="20" t="n">
        <v>45892</v>
      </c>
      <c r="B578" s="2" t="n">
        <v>15</v>
      </c>
      <c r="C578" s="2" t="s">
        <v>71</v>
      </c>
      <c r="D578" s="21" t="n">
        <v>109300</v>
      </c>
      <c r="E578" s="2" t="s">
        <v>52</v>
      </c>
      <c r="F578" s="2" t="s">
        <v>108</v>
      </c>
    </row>
    <row r="579" customFormat="false" ht="15" hidden="false" customHeight="false" outlineLevel="0" collapsed="false">
      <c r="A579" s="20" t="n">
        <v>45892</v>
      </c>
      <c r="B579" s="2" t="n">
        <v>16</v>
      </c>
      <c r="C579" s="2" t="s">
        <v>72</v>
      </c>
      <c r="D579" s="21" t="n">
        <v>107300</v>
      </c>
      <c r="E579" s="2" t="s">
        <v>55</v>
      </c>
      <c r="F579" s="2" t="s">
        <v>108</v>
      </c>
    </row>
    <row r="580" customFormat="false" ht="15" hidden="false" customHeight="false" outlineLevel="0" collapsed="false">
      <c r="A580" s="20" t="n">
        <v>45892</v>
      </c>
      <c r="B580" s="2" t="n">
        <v>24</v>
      </c>
      <c r="C580" s="2" t="s">
        <v>81</v>
      </c>
      <c r="D580" s="21" t="n">
        <v>190800</v>
      </c>
      <c r="E580" s="2" t="s">
        <v>52</v>
      </c>
      <c r="F580" s="2" t="s">
        <v>108</v>
      </c>
    </row>
    <row r="581" customFormat="false" ht="15" hidden="false" customHeight="false" outlineLevel="0" collapsed="false">
      <c r="A581" s="20" t="n">
        <v>45893</v>
      </c>
      <c r="B581" s="2" t="n">
        <v>5</v>
      </c>
      <c r="C581" s="2" t="s">
        <v>59</v>
      </c>
      <c r="D581" s="21" t="n">
        <v>168800</v>
      </c>
      <c r="E581" s="2" t="s">
        <v>52</v>
      </c>
      <c r="F581" s="2" t="s">
        <v>108</v>
      </c>
    </row>
    <row r="582" customFormat="false" ht="15" hidden="false" customHeight="false" outlineLevel="0" collapsed="false">
      <c r="A582" s="20" t="n">
        <v>45893</v>
      </c>
      <c r="B582" s="2" t="n">
        <v>8</v>
      </c>
      <c r="C582" s="2" t="s">
        <v>63</v>
      </c>
      <c r="D582" s="21" t="n">
        <v>159800</v>
      </c>
      <c r="E582" s="2" t="s">
        <v>55</v>
      </c>
      <c r="F582" s="2" t="s">
        <v>108</v>
      </c>
    </row>
    <row r="583" customFormat="false" ht="15" hidden="false" customHeight="false" outlineLevel="0" collapsed="false">
      <c r="A583" s="20" t="n">
        <v>45893</v>
      </c>
      <c r="B583" s="2" t="n">
        <v>9</v>
      </c>
      <c r="C583" s="2" t="s">
        <v>64</v>
      </c>
      <c r="D583" s="21" t="n">
        <v>65100</v>
      </c>
      <c r="E583" s="2" t="s">
        <v>55</v>
      </c>
      <c r="F583" s="2" t="s">
        <v>108</v>
      </c>
    </row>
    <row r="584" customFormat="false" ht="15" hidden="false" customHeight="false" outlineLevel="0" collapsed="false">
      <c r="A584" s="20" t="n">
        <v>45893</v>
      </c>
      <c r="B584" s="2" t="n">
        <v>12</v>
      </c>
      <c r="C584" s="2" t="s">
        <v>67</v>
      </c>
      <c r="D584" s="21" t="n">
        <v>115600</v>
      </c>
      <c r="E584" s="2" t="s">
        <v>55</v>
      </c>
      <c r="F584" s="2" t="s">
        <v>108</v>
      </c>
    </row>
    <row r="585" customFormat="false" ht="15" hidden="false" customHeight="false" outlineLevel="0" collapsed="false">
      <c r="A585" s="20" t="n">
        <v>45893</v>
      </c>
      <c r="B585" s="2" t="n">
        <v>18</v>
      </c>
      <c r="C585" s="2" t="s">
        <v>74</v>
      </c>
      <c r="D585" s="21" t="n">
        <v>73500</v>
      </c>
      <c r="E585" s="2" t="s">
        <v>55</v>
      </c>
      <c r="F585" s="2" t="s">
        <v>108</v>
      </c>
    </row>
    <row r="586" customFormat="false" ht="15" hidden="false" customHeight="false" outlineLevel="0" collapsed="false">
      <c r="A586" s="20" t="n">
        <v>45893</v>
      </c>
      <c r="B586" s="2" t="n">
        <v>23</v>
      </c>
      <c r="C586" s="2" t="s">
        <v>80</v>
      </c>
      <c r="D586" s="21" t="n">
        <v>99400</v>
      </c>
      <c r="E586" s="2" t="s">
        <v>55</v>
      </c>
      <c r="F586" s="2" t="s">
        <v>108</v>
      </c>
    </row>
    <row r="587" customFormat="false" ht="15" hidden="false" customHeight="false" outlineLevel="0" collapsed="false">
      <c r="A587" s="20" t="n">
        <v>45895</v>
      </c>
      <c r="B587" s="2" t="n">
        <v>19</v>
      </c>
      <c r="C587" s="2" t="s">
        <v>75</v>
      </c>
      <c r="D587" s="21" t="n">
        <v>124200</v>
      </c>
      <c r="E587" s="2" t="s">
        <v>52</v>
      </c>
      <c r="F587" s="2" t="s">
        <v>108</v>
      </c>
    </row>
    <row r="588" customFormat="false" ht="15" hidden="false" customHeight="false" outlineLevel="0" collapsed="false">
      <c r="A588" s="20" t="n">
        <v>45895</v>
      </c>
      <c r="B588" s="2" t="n">
        <v>20</v>
      </c>
      <c r="C588" s="2" t="s">
        <v>76</v>
      </c>
      <c r="D588" s="21" t="n">
        <v>148600</v>
      </c>
      <c r="E588" s="2" t="s">
        <v>52</v>
      </c>
      <c r="F588" s="2" t="s">
        <v>108</v>
      </c>
    </row>
    <row r="589" customFormat="false" ht="15" hidden="false" customHeight="false" outlineLevel="0" collapsed="false">
      <c r="A589" s="20" t="n">
        <v>45895</v>
      </c>
      <c r="B589" s="2" t="n">
        <v>22</v>
      </c>
      <c r="C589" s="2" t="s">
        <v>79</v>
      </c>
      <c r="D589" s="21" t="n">
        <v>187500</v>
      </c>
      <c r="E589" s="2" t="s">
        <v>55</v>
      </c>
      <c r="F589" s="2" t="s">
        <v>108</v>
      </c>
    </row>
    <row r="590" customFormat="false" ht="15" hidden="false" customHeight="false" outlineLevel="0" collapsed="false">
      <c r="A590" s="20" t="n">
        <v>45896</v>
      </c>
      <c r="B590" s="2" t="n">
        <v>8</v>
      </c>
      <c r="C590" s="2" t="s">
        <v>63</v>
      </c>
      <c r="D590" s="21" t="n">
        <v>116500</v>
      </c>
      <c r="E590" s="2" t="s">
        <v>55</v>
      </c>
      <c r="F590" s="2" t="s">
        <v>108</v>
      </c>
    </row>
    <row r="591" customFormat="false" ht="15" hidden="false" customHeight="false" outlineLevel="0" collapsed="false">
      <c r="A591" s="20" t="n">
        <v>45897</v>
      </c>
      <c r="B591" s="2" t="n">
        <v>2</v>
      </c>
      <c r="C591" s="2" t="s">
        <v>54</v>
      </c>
      <c r="D591" s="21" t="n">
        <v>44300</v>
      </c>
      <c r="E591" s="2" t="s">
        <v>55</v>
      </c>
      <c r="F591" s="2" t="s">
        <v>108</v>
      </c>
    </row>
    <row r="592" customFormat="false" ht="15" hidden="false" customHeight="false" outlineLevel="0" collapsed="false">
      <c r="A592" s="20" t="n">
        <v>45897</v>
      </c>
      <c r="B592" s="2" t="n">
        <v>4</v>
      </c>
      <c r="C592" s="2" t="s">
        <v>58</v>
      </c>
      <c r="D592" s="21" t="n">
        <v>104600</v>
      </c>
      <c r="E592" s="2" t="s">
        <v>52</v>
      </c>
      <c r="F592" s="2" t="s">
        <v>108</v>
      </c>
    </row>
    <row r="593" customFormat="false" ht="15" hidden="false" customHeight="false" outlineLevel="0" collapsed="false">
      <c r="A593" s="20" t="n">
        <v>45897</v>
      </c>
      <c r="B593" s="2" t="n">
        <v>7</v>
      </c>
      <c r="C593" s="2" t="s">
        <v>62</v>
      </c>
      <c r="D593" s="21" t="n">
        <v>43200</v>
      </c>
      <c r="E593" s="2" t="s">
        <v>52</v>
      </c>
      <c r="F593" s="2" t="s">
        <v>108</v>
      </c>
    </row>
    <row r="594" customFormat="false" ht="15" hidden="false" customHeight="false" outlineLevel="0" collapsed="false">
      <c r="A594" s="20" t="n">
        <v>45897</v>
      </c>
      <c r="B594" s="2" t="n">
        <v>11</v>
      </c>
      <c r="C594" s="2" t="s">
        <v>66</v>
      </c>
      <c r="D594" s="21" t="n">
        <v>103700</v>
      </c>
      <c r="E594" s="2" t="s">
        <v>55</v>
      </c>
      <c r="F594" s="2" t="s">
        <v>108</v>
      </c>
    </row>
    <row r="595" customFormat="false" ht="15" hidden="false" customHeight="false" outlineLevel="0" collapsed="false">
      <c r="A595" s="20" t="n">
        <v>45898</v>
      </c>
      <c r="B595" s="2" t="n">
        <v>8</v>
      </c>
      <c r="C595" s="2" t="s">
        <v>63</v>
      </c>
      <c r="D595" s="21" t="n">
        <v>163600</v>
      </c>
      <c r="E595" s="2" t="s">
        <v>55</v>
      </c>
      <c r="F595" s="2" t="s">
        <v>108</v>
      </c>
    </row>
    <row r="596" customFormat="false" ht="15" hidden="false" customHeight="false" outlineLevel="0" collapsed="false">
      <c r="A596" s="20" t="n">
        <v>45898</v>
      </c>
      <c r="B596" s="2" t="n">
        <v>13</v>
      </c>
      <c r="C596" s="2" t="s">
        <v>68</v>
      </c>
      <c r="D596" s="21" t="n">
        <v>45800</v>
      </c>
      <c r="E596" s="2" t="s">
        <v>52</v>
      </c>
      <c r="F596" s="2" t="s">
        <v>108</v>
      </c>
    </row>
    <row r="597" customFormat="false" ht="15" hidden="false" customHeight="false" outlineLevel="0" collapsed="false">
      <c r="A597" s="20" t="n">
        <v>45898</v>
      </c>
      <c r="B597" s="2" t="n">
        <v>15</v>
      </c>
      <c r="C597" s="2" t="s">
        <v>71</v>
      </c>
      <c r="D597" s="21" t="n">
        <v>128100</v>
      </c>
      <c r="E597" s="2" t="s">
        <v>52</v>
      </c>
      <c r="F597" s="2" t="s">
        <v>108</v>
      </c>
    </row>
    <row r="598" customFormat="false" ht="15" hidden="false" customHeight="false" outlineLevel="0" collapsed="false">
      <c r="A598" s="20" t="n">
        <v>45898</v>
      </c>
      <c r="B598" s="2" t="n">
        <v>16</v>
      </c>
      <c r="C598" s="2" t="s">
        <v>72</v>
      </c>
      <c r="D598" s="21" t="n">
        <v>70800</v>
      </c>
      <c r="E598" s="2" t="s">
        <v>55</v>
      </c>
      <c r="F598" s="2" t="s">
        <v>108</v>
      </c>
    </row>
    <row r="599" customFormat="false" ht="15" hidden="false" customHeight="false" outlineLevel="0" collapsed="false">
      <c r="A599" s="20" t="n">
        <v>45898</v>
      </c>
      <c r="B599" s="2" t="n">
        <v>21</v>
      </c>
      <c r="C599" s="2" t="s">
        <v>77</v>
      </c>
      <c r="D599" s="21" t="n">
        <v>87700</v>
      </c>
      <c r="E599" s="2" t="s">
        <v>52</v>
      </c>
      <c r="F599" s="2" t="s">
        <v>108</v>
      </c>
    </row>
    <row r="600" customFormat="false" ht="15" hidden="false" customHeight="false" outlineLevel="0" collapsed="false">
      <c r="A600" s="20" t="n">
        <v>45898</v>
      </c>
      <c r="B600" s="2" t="n">
        <v>22</v>
      </c>
      <c r="C600" s="2" t="s">
        <v>79</v>
      </c>
      <c r="D600" s="21" t="n">
        <v>201400</v>
      </c>
      <c r="E600" s="2" t="s">
        <v>55</v>
      </c>
      <c r="F600" s="2" t="s">
        <v>108</v>
      </c>
    </row>
    <row r="601" customFormat="false" ht="15" hidden="false" customHeight="false" outlineLevel="0" collapsed="false">
      <c r="A601" s="20" t="n">
        <v>45898</v>
      </c>
      <c r="B601" s="2" t="n">
        <v>23</v>
      </c>
      <c r="C601" s="2" t="s">
        <v>80</v>
      </c>
      <c r="D601" s="21" t="n">
        <v>88900</v>
      </c>
      <c r="E601" s="2" t="s">
        <v>55</v>
      </c>
      <c r="F601" s="2" t="s">
        <v>108</v>
      </c>
    </row>
    <row r="602" customFormat="false" ht="15" hidden="false" customHeight="false" outlineLevel="0" collapsed="false">
      <c r="A602" s="20" t="n">
        <v>45899</v>
      </c>
      <c r="B602" s="2" t="n">
        <v>1</v>
      </c>
      <c r="C602" s="2" t="s">
        <v>51</v>
      </c>
      <c r="D602" s="21" t="n">
        <v>106500</v>
      </c>
      <c r="E602" s="2" t="s">
        <v>52</v>
      </c>
      <c r="F602" s="2" t="s">
        <v>108</v>
      </c>
    </row>
    <row r="603" customFormat="false" ht="15" hidden="false" customHeight="false" outlineLevel="0" collapsed="false">
      <c r="A603" s="20" t="n">
        <v>45899</v>
      </c>
      <c r="B603" s="2" t="n">
        <v>18</v>
      </c>
      <c r="C603" s="2" t="s">
        <v>74</v>
      </c>
      <c r="D603" s="21" t="n">
        <v>75900</v>
      </c>
      <c r="E603" s="2" t="s">
        <v>55</v>
      </c>
      <c r="F603" s="2" t="s">
        <v>108</v>
      </c>
    </row>
    <row r="604" customFormat="false" ht="15" hidden="false" customHeight="false" outlineLevel="0" collapsed="false">
      <c r="A604" s="20" t="n">
        <v>45899</v>
      </c>
      <c r="B604" s="2" t="n">
        <v>19</v>
      </c>
      <c r="C604" s="2" t="s">
        <v>75</v>
      </c>
      <c r="D604" s="21" t="n">
        <v>115300</v>
      </c>
      <c r="E604" s="2" t="s">
        <v>52</v>
      </c>
      <c r="F604" s="2" t="s">
        <v>108</v>
      </c>
    </row>
    <row r="605" customFormat="false" ht="15" hidden="false" customHeight="false" outlineLevel="0" collapsed="false">
      <c r="A605" s="20" t="n">
        <v>45900</v>
      </c>
      <c r="B605" s="2" t="n">
        <v>5</v>
      </c>
      <c r="C605" s="2" t="s">
        <v>59</v>
      </c>
      <c r="D605" s="21" t="n">
        <v>165300</v>
      </c>
      <c r="E605" s="2" t="s">
        <v>52</v>
      </c>
      <c r="F605" s="2" t="s">
        <v>108</v>
      </c>
    </row>
    <row r="606" customFormat="false" ht="15" hidden="false" customHeight="false" outlineLevel="0" collapsed="false">
      <c r="A606" s="20" t="n">
        <v>45900</v>
      </c>
      <c r="B606" s="2" t="n">
        <v>9</v>
      </c>
      <c r="C606" s="2" t="s">
        <v>64</v>
      </c>
      <c r="D606" s="21" t="n">
        <v>64400</v>
      </c>
      <c r="E606" s="2" t="s">
        <v>55</v>
      </c>
      <c r="F606" s="2" t="s">
        <v>108</v>
      </c>
    </row>
    <row r="607" customFormat="false" ht="15" hidden="false" customHeight="false" outlineLevel="0" collapsed="false">
      <c r="A607" s="20" t="n">
        <v>45900</v>
      </c>
      <c r="B607" s="2" t="n">
        <v>14</v>
      </c>
      <c r="C607" s="2" t="s">
        <v>70</v>
      </c>
      <c r="D607" s="21" t="n">
        <v>85600</v>
      </c>
      <c r="E607" s="2" t="s">
        <v>52</v>
      </c>
      <c r="F607" s="2" t="s">
        <v>108</v>
      </c>
    </row>
    <row r="608" customFormat="false" ht="15" hidden="false" customHeight="false" outlineLevel="0" collapsed="false">
      <c r="A608" s="20" t="n">
        <v>45902</v>
      </c>
      <c r="B608" s="2" t="n">
        <v>8</v>
      </c>
      <c r="C608" s="2" t="s">
        <v>63</v>
      </c>
      <c r="D608" s="21" t="n">
        <v>132400</v>
      </c>
      <c r="E608" s="2" t="s">
        <v>55</v>
      </c>
      <c r="F608" s="2" t="s">
        <v>108</v>
      </c>
    </row>
    <row r="609" customFormat="false" ht="15" hidden="false" customHeight="false" outlineLevel="0" collapsed="false">
      <c r="A609" s="20" t="n">
        <v>45902</v>
      </c>
      <c r="B609" s="2" t="n">
        <v>12</v>
      </c>
      <c r="C609" s="2" t="s">
        <v>67</v>
      </c>
      <c r="D609" s="21" t="n">
        <v>94100</v>
      </c>
      <c r="E609" s="2" t="s">
        <v>55</v>
      </c>
      <c r="F609" s="2" t="s">
        <v>108</v>
      </c>
    </row>
    <row r="610" customFormat="false" ht="15" hidden="false" customHeight="false" outlineLevel="0" collapsed="false">
      <c r="A610" s="20" t="n">
        <v>45902</v>
      </c>
      <c r="B610" s="2" t="n">
        <v>20</v>
      </c>
      <c r="C610" s="2" t="s">
        <v>76</v>
      </c>
      <c r="D610" s="21" t="n">
        <v>184000</v>
      </c>
      <c r="E610" s="2" t="s">
        <v>52</v>
      </c>
      <c r="F610" s="2" t="s">
        <v>108</v>
      </c>
    </row>
    <row r="611" customFormat="false" ht="15" hidden="false" customHeight="false" outlineLevel="0" collapsed="false">
      <c r="A611" s="20" t="n">
        <v>45903</v>
      </c>
      <c r="B611" s="2" t="n">
        <v>2</v>
      </c>
      <c r="C611" s="2" t="s">
        <v>54</v>
      </c>
      <c r="D611" s="21" t="n">
        <v>51700</v>
      </c>
      <c r="E611" s="2" t="s">
        <v>55</v>
      </c>
      <c r="F611" s="2" t="s">
        <v>108</v>
      </c>
    </row>
    <row r="612" customFormat="false" ht="15" hidden="false" customHeight="false" outlineLevel="0" collapsed="false">
      <c r="A612" s="20" t="n">
        <v>45903</v>
      </c>
      <c r="B612" s="2" t="n">
        <v>4</v>
      </c>
      <c r="C612" s="2" t="s">
        <v>58</v>
      </c>
      <c r="D612" s="21" t="n">
        <v>154500</v>
      </c>
      <c r="E612" s="2" t="s">
        <v>52</v>
      </c>
      <c r="F612" s="2" t="s">
        <v>108</v>
      </c>
    </row>
    <row r="613" customFormat="false" ht="15" hidden="false" customHeight="false" outlineLevel="0" collapsed="false">
      <c r="A613" s="20" t="n">
        <v>45903</v>
      </c>
      <c r="B613" s="2" t="n">
        <v>6</v>
      </c>
      <c r="C613" s="2" t="s">
        <v>60</v>
      </c>
      <c r="D613" s="21" t="n">
        <v>68900</v>
      </c>
      <c r="E613" s="2" t="s">
        <v>52</v>
      </c>
      <c r="F613" s="2" t="s">
        <v>108</v>
      </c>
    </row>
    <row r="614" customFormat="false" ht="15" hidden="false" customHeight="false" outlineLevel="0" collapsed="false">
      <c r="A614" s="20" t="n">
        <v>45903</v>
      </c>
      <c r="B614" s="2" t="n">
        <v>15</v>
      </c>
      <c r="C614" s="2" t="s">
        <v>71</v>
      </c>
      <c r="D614" s="21" t="n">
        <v>154100</v>
      </c>
      <c r="E614" s="2" t="s">
        <v>52</v>
      </c>
      <c r="F614" s="2" t="s">
        <v>108</v>
      </c>
    </row>
    <row r="615" customFormat="false" ht="15" hidden="false" customHeight="false" outlineLevel="0" collapsed="false">
      <c r="A615" s="20" t="n">
        <v>45903</v>
      </c>
      <c r="B615" s="2" t="n">
        <v>18</v>
      </c>
      <c r="C615" s="2" t="s">
        <v>74</v>
      </c>
      <c r="D615" s="21" t="n">
        <v>62900</v>
      </c>
      <c r="E615" s="2" t="s">
        <v>55</v>
      </c>
      <c r="F615" s="2" t="s">
        <v>108</v>
      </c>
    </row>
    <row r="616" customFormat="false" ht="15" hidden="false" customHeight="false" outlineLevel="0" collapsed="false">
      <c r="A616" s="20" t="n">
        <v>45903</v>
      </c>
      <c r="B616" s="2" t="n">
        <v>22</v>
      </c>
      <c r="C616" s="2" t="s">
        <v>79</v>
      </c>
      <c r="D616" s="21" t="n">
        <v>195700</v>
      </c>
      <c r="E616" s="2" t="s">
        <v>55</v>
      </c>
      <c r="F616" s="2" t="s">
        <v>108</v>
      </c>
    </row>
    <row r="617" customFormat="false" ht="15" hidden="false" customHeight="false" outlineLevel="0" collapsed="false">
      <c r="A617" s="20" t="n">
        <v>45903</v>
      </c>
      <c r="B617" s="2" t="n">
        <v>23</v>
      </c>
      <c r="C617" s="2" t="s">
        <v>80</v>
      </c>
      <c r="D617" s="21" t="n">
        <v>114800</v>
      </c>
      <c r="E617" s="2" t="s">
        <v>55</v>
      </c>
      <c r="F617" s="2" t="s">
        <v>108</v>
      </c>
    </row>
    <row r="618" customFormat="false" ht="15" hidden="false" customHeight="false" outlineLevel="0" collapsed="false">
      <c r="A618" s="20" t="n">
        <v>45904</v>
      </c>
      <c r="B618" s="2" t="n">
        <v>7</v>
      </c>
      <c r="C618" s="2" t="s">
        <v>62</v>
      </c>
      <c r="D618" s="21" t="n">
        <v>52000</v>
      </c>
      <c r="E618" s="2" t="s">
        <v>52</v>
      </c>
      <c r="F618" s="2" t="s">
        <v>108</v>
      </c>
    </row>
    <row r="619" customFormat="false" ht="15" hidden="false" customHeight="false" outlineLevel="0" collapsed="false">
      <c r="A619" s="20" t="n">
        <v>45904</v>
      </c>
      <c r="B619" s="2" t="n">
        <v>11</v>
      </c>
      <c r="C619" s="2" t="s">
        <v>66</v>
      </c>
      <c r="D619" s="21" t="n">
        <v>120900</v>
      </c>
      <c r="E619" s="2" t="s">
        <v>55</v>
      </c>
      <c r="F619" s="2" t="s">
        <v>108</v>
      </c>
    </row>
    <row r="620" customFormat="false" ht="15" hidden="false" customHeight="false" outlineLevel="0" collapsed="false">
      <c r="A620" s="20" t="n">
        <v>45904</v>
      </c>
      <c r="B620" s="2" t="n">
        <v>16</v>
      </c>
      <c r="C620" s="2" t="s">
        <v>72</v>
      </c>
      <c r="D620" s="21" t="n">
        <v>73100</v>
      </c>
      <c r="E620" s="2" t="s">
        <v>55</v>
      </c>
      <c r="F620" s="2" t="s">
        <v>108</v>
      </c>
    </row>
    <row r="621" customFormat="false" ht="15" hidden="false" customHeight="false" outlineLevel="0" collapsed="false">
      <c r="A621" s="20" t="n">
        <v>45904</v>
      </c>
      <c r="B621" s="2" t="n">
        <v>19</v>
      </c>
      <c r="C621" s="2" t="s">
        <v>75</v>
      </c>
      <c r="D621" s="21" t="n">
        <v>103500</v>
      </c>
      <c r="E621" s="2" t="s">
        <v>52</v>
      </c>
      <c r="F621" s="2" t="s">
        <v>108</v>
      </c>
    </row>
    <row r="622" customFormat="false" ht="15" hidden="false" customHeight="false" outlineLevel="0" collapsed="false">
      <c r="A622" s="20" t="n">
        <v>45905</v>
      </c>
      <c r="B622" s="2" t="n">
        <v>1</v>
      </c>
      <c r="C622" s="2" t="s">
        <v>51</v>
      </c>
      <c r="D622" s="21" t="n">
        <v>123300</v>
      </c>
      <c r="E622" s="2" t="s">
        <v>52</v>
      </c>
      <c r="F622" s="2" t="s">
        <v>108</v>
      </c>
    </row>
    <row r="623" customFormat="false" ht="15" hidden="false" customHeight="false" outlineLevel="0" collapsed="false">
      <c r="A623" s="20" t="n">
        <v>45905</v>
      </c>
      <c r="B623" s="2" t="n">
        <v>13</v>
      </c>
      <c r="C623" s="2" t="s">
        <v>68</v>
      </c>
      <c r="D623" s="21" t="n">
        <v>49300</v>
      </c>
      <c r="E623" s="2" t="s">
        <v>52</v>
      </c>
      <c r="F623" s="2" t="s">
        <v>108</v>
      </c>
    </row>
    <row r="624" customFormat="false" ht="15" hidden="false" customHeight="false" outlineLevel="0" collapsed="false">
      <c r="A624" s="20" t="n">
        <v>45905</v>
      </c>
      <c r="B624" s="2" t="n">
        <v>14</v>
      </c>
      <c r="C624" s="2" t="s">
        <v>70</v>
      </c>
      <c r="D624" s="21" t="n">
        <v>99200</v>
      </c>
      <c r="E624" s="2" t="s">
        <v>52</v>
      </c>
      <c r="F624" s="2" t="s">
        <v>108</v>
      </c>
    </row>
    <row r="625" customFormat="false" ht="15" hidden="false" customHeight="false" outlineLevel="0" collapsed="false">
      <c r="A625" s="20" t="n">
        <v>45906</v>
      </c>
      <c r="B625" s="2" t="n">
        <v>8</v>
      </c>
      <c r="C625" s="2" t="s">
        <v>63</v>
      </c>
      <c r="D625" s="21" t="n">
        <v>128600</v>
      </c>
      <c r="E625" s="2" t="s">
        <v>55</v>
      </c>
      <c r="F625" s="2" t="s">
        <v>108</v>
      </c>
    </row>
    <row r="626" customFormat="false" ht="15" hidden="false" customHeight="false" outlineLevel="0" collapsed="false">
      <c r="A626" s="20" t="n">
        <v>45906</v>
      </c>
      <c r="B626" s="2" t="n">
        <v>19</v>
      </c>
      <c r="C626" s="2" t="s">
        <v>75</v>
      </c>
      <c r="D626" s="21" t="n">
        <v>126600</v>
      </c>
      <c r="E626" s="2" t="s">
        <v>52</v>
      </c>
      <c r="F626" s="2" t="s">
        <v>108</v>
      </c>
    </row>
    <row r="627" customFormat="false" ht="15" hidden="false" customHeight="false" outlineLevel="0" collapsed="false">
      <c r="A627" s="20" t="n">
        <v>45906</v>
      </c>
      <c r="B627" s="2" t="n">
        <v>21</v>
      </c>
      <c r="C627" s="2" t="s">
        <v>77</v>
      </c>
      <c r="D627" s="21" t="n">
        <v>73400</v>
      </c>
      <c r="E627" s="2" t="s">
        <v>52</v>
      </c>
      <c r="F627" s="2" t="s">
        <v>108</v>
      </c>
    </row>
    <row r="628" customFormat="false" ht="15" hidden="false" customHeight="false" outlineLevel="0" collapsed="false">
      <c r="A628" s="20" t="n">
        <v>45906</v>
      </c>
      <c r="B628" s="2" t="n">
        <v>22</v>
      </c>
      <c r="C628" s="2" t="s">
        <v>79</v>
      </c>
      <c r="D628" s="21" t="n">
        <v>214200</v>
      </c>
      <c r="E628" s="2" t="s">
        <v>55</v>
      </c>
      <c r="F628" s="2" t="s">
        <v>108</v>
      </c>
    </row>
    <row r="629" customFormat="false" ht="15" hidden="false" customHeight="false" outlineLevel="0" collapsed="false">
      <c r="A629" s="20" t="n">
        <v>45906</v>
      </c>
      <c r="B629" s="2" t="n">
        <v>23</v>
      </c>
      <c r="C629" s="2" t="s">
        <v>80</v>
      </c>
      <c r="D629" s="21" t="n">
        <v>117900</v>
      </c>
      <c r="E629" s="2" t="s">
        <v>55</v>
      </c>
      <c r="F629" s="2" t="s">
        <v>108</v>
      </c>
    </row>
    <row r="630" customFormat="false" ht="15" hidden="false" customHeight="false" outlineLevel="0" collapsed="false">
      <c r="A630" s="20" t="n">
        <v>45907</v>
      </c>
      <c r="B630" s="2" t="n">
        <v>18</v>
      </c>
      <c r="C630" s="2" t="s">
        <v>74</v>
      </c>
      <c r="D630" s="21" t="n">
        <v>51000</v>
      </c>
      <c r="E630" s="2" t="s">
        <v>55</v>
      </c>
      <c r="F630" s="2" t="s">
        <v>108</v>
      </c>
    </row>
    <row r="631" customFormat="false" ht="15" hidden="false" customHeight="false" outlineLevel="0" collapsed="false">
      <c r="A631" s="20" t="n">
        <v>45909</v>
      </c>
      <c r="B631" s="2" t="n">
        <v>4</v>
      </c>
      <c r="C631" s="2" t="s">
        <v>58</v>
      </c>
      <c r="D631" s="21" t="n">
        <v>118800</v>
      </c>
      <c r="E631" s="2" t="s">
        <v>52</v>
      </c>
      <c r="F631" s="2" t="s">
        <v>108</v>
      </c>
    </row>
    <row r="632" customFormat="false" ht="15" hidden="false" customHeight="false" outlineLevel="0" collapsed="false">
      <c r="A632" s="20" t="n">
        <v>45909</v>
      </c>
      <c r="B632" s="2" t="n">
        <v>12</v>
      </c>
      <c r="C632" s="2" t="s">
        <v>67</v>
      </c>
      <c r="D632" s="21" t="n">
        <v>106300</v>
      </c>
      <c r="E632" s="2" t="s">
        <v>55</v>
      </c>
      <c r="F632" s="2" t="s">
        <v>108</v>
      </c>
    </row>
    <row r="633" customFormat="false" ht="15" hidden="false" customHeight="false" outlineLevel="0" collapsed="false">
      <c r="A633" s="20" t="n">
        <v>45909</v>
      </c>
      <c r="B633" s="2" t="n">
        <v>15</v>
      </c>
      <c r="C633" s="2" t="s">
        <v>71</v>
      </c>
      <c r="D633" s="21" t="n">
        <v>132200</v>
      </c>
      <c r="E633" s="2" t="s">
        <v>52</v>
      </c>
      <c r="F633" s="2" t="s">
        <v>108</v>
      </c>
    </row>
    <row r="634" customFormat="false" ht="15" hidden="false" customHeight="false" outlineLevel="0" collapsed="false">
      <c r="A634" s="20" t="n">
        <v>45909</v>
      </c>
      <c r="B634" s="2" t="n">
        <v>23</v>
      </c>
      <c r="C634" s="2" t="s">
        <v>80</v>
      </c>
      <c r="D634" s="21" t="n">
        <v>110400</v>
      </c>
      <c r="E634" s="2" t="s">
        <v>55</v>
      </c>
      <c r="F634" s="2" t="s">
        <v>108</v>
      </c>
    </row>
    <row r="635" customFormat="false" ht="15" hidden="false" customHeight="false" outlineLevel="0" collapsed="false">
      <c r="A635" s="20" t="n">
        <v>45910</v>
      </c>
      <c r="B635" s="2" t="n">
        <v>8</v>
      </c>
      <c r="C635" s="2" t="s">
        <v>63</v>
      </c>
      <c r="D635" s="21" t="n">
        <v>170400</v>
      </c>
      <c r="E635" s="2" t="s">
        <v>55</v>
      </c>
      <c r="F635" s="2" t="s">
        <v>108</v>
      </c>
    </row>
    <row r="636" customFormat="false" ht="15" hidden="false" customHeight="false" outlineLevel="0" collapsed="false">
      <c r="A636" s="20" t="n">
        <v>45910</v>
      </c>
      <c r="B636" s="2" t="n">
        <v>14</v>
      </c>
      <c r="C636" s="2" t="s">
        <v>70</v>
      </c>
      <c r="D636" s="21" t="n">
        <v>102500</v>
      </c>
      <c r="E636" s="2" t="s">
        <v>52</v>
      </c>
      <c r="F636" s="2" t="s">
        <v>108</v>
      </c>
    </row>
    <row r="637" customFormat="false" ht="15" hidden="false" customHeight="false" outlineLevel="0" collapsed="false">
      <c r="A637" s="20" t="n">
        <v>45910</v>
      </c>
      <c r="B637" s="2" t="n">
        <v>19</v>
      </c>
      <c r="C637" s="2" t="s">
        <v>75</v>
      </c>
      <c r="D637" s="21" t="n">
        <v>91600</v>
      </c>
      <c r="E637" s="2" t="s">
        <v>52</v>
      </c>
      <c r="F637" s="2" t="s">
        <v>108</v>
      </c>
    </row>
    <row r="638" customFormat="false" ht="15" hidden="false" customHeight="false" outlineLevel="0" collapsed="false">
      <c r="A638" s="20" t="n">
        <v>45911</v>
      </c>
      <c r="B638" s="2" t="n">
        <v>2</v>
      </c>
      <c r="C638" s="2" t="s">
        <v>54</v>
      </c>
      <c r="D638" s="21" t="n">
        <v>70000</v>
      </c>
      <c r="E638" s="2" t="s">
        <v>55</v>
      </c>
      <c r="F638" s="2" t="s">
        <v>108</v>
      </c>
    </row>
    <row r="639" customFormat="false" ht="15" hidden="false" customHeight="false" outlineLevel="0" collapsed="false">
      <c r="A639" s="20" t="n">
        <v>45911</v>
      </c>
      <c r="B639" s="2" t="n">
        <v>7</v>
      </c>
      <c r="C639" s="2" t="s">
        <v>62</v>
      </c>
      <c r="D639" s="21" t="n">
        <v>54600</v>
      </c>
      <c r="E639" s="2" t="s">
        <v>52</v>
      </c>
      <c r="F639" s="2" t="s">
        <v>108</v>
      </c>
    </row>
    <row r="640" customFormat="false" ht="15" hidden="false" customHeight="false" outlineLevel="0" collapsed="false">
      <c r="A640" s="20" t="n">
        <v>45911</v>
      </c>
      <c r="B640" s="2" t="n">
        <v>11</v>
      </c>
      <c r="C640" s="2" t="s">
        <v>66</v>
      </c>
      <c r="D640" s="21" t="n">
        <v>146300</v>
      </c>
      <c r="E640" s="2" t="s">
        <v>55</v>
      </c>
      <c r="F640" s="2" t="s">
        <v>108</v>
      </c>
    </row>
    <row r="641" customFormat="false" ht="15" hidden="false" customHeight="false" outlineLevel="0" collapsed="false">
      <c r="A641" s="20" t="n">
        <v>45911</v>
      </c>
      <c r="B641" s="2" t="n">
        <v>20</v>
      </c>
      <c r="C641" s="2" t="s">
        <v>76</v>
      </c>
      <c r="D641" s="21" t="n">
        <v>150600</v>
      </c>
      <c r="E641" s="2" t="s">
        <v>52</v>
      </c>
      <c r="F641" s="2" t="s">
        <v>108</v>
      </c>
    </row>
    <row r="642" customFormat="false" ht="15" hidden="false" customHeight="false" outlineLevel="0" collapsed="false">
      <c r="A642" s="20" t="n">
        <v>45911</v>
      </c>
      <c r="B642" s="2" t="n">
        <v>22</v>
      </c>
      <c r="C642" s="2" t="s">
        <v>79</v>
      </c>
      <c r="D642" s="21" t="n">
        <v>206700</v>
      </c>
      <c r="E642" s="2" t="s">
        <v>55</v>
      </c>
      <c r="F642" s="2" t="s">
        <v>108</v>
      </c>
    </row>
    <row r="643" customFormat="false" ht="15" hidden="false" customHeight="false" outlineLevel="0" collapsed="false">
      <c r="A643" s="20" t="n">
        <v>45912</v>
      </c>
      <c r="B643" s="2" t="n">
        <v>1</v>
      </c>
      <c r="C643" s="2" t="s">
        <v>51</v>
      </c>
      <c r="D643" s="21" t="n">
        <v>140900</v>
      </c>
      <c r="E643" s="2" t="s">
        <v>52</v>
      </c>
      <c r="F643" s="2" t="s">
        <v>108</v>
      </c>
    </row>
    <row r="644" customFormat="false" ht="15" hidden="false" customHeight="false" outlineLevel="0" collapsed="false">
      <c r="A644" s="20" t="n">
        <v>45912</v>
      </c>
      <c r="B644" s="2" t="n">
        <v>6</v>
      </c>
      <c r="C644" s="2" t="s">
        <v>60</v>
      </c>
      <c r="D644" s="21" t="n">
        <v>67900</v>
      </c>
      <c r="E644" s="2" t="s">
        <v>52</v>
      </c>
      <c r="F644" s="2" t="s">
        <v>108</v>
      </c>
    </row>
    <row r="645" customFormat="false" ht="15" hidden="false" customHeight="false" outlineLevel="0" collapsed="false">
      <c r="A645" s="20" t="n">
        <v>45912</v>
      </c>
      <c r="B645" s="2" t="n">
        <v>13</v>
      </c>
      <c r="C645" s="2" t="s">
        <v>68</v>
      </c>
      <c r="D645" s="21" t="n">
        <v>73000</v>
      </c>
      <c r="E645" s="2" t="s">
        <v>52</v>
      </c>
      <c r="F645" s="2" t="s">
        <v>108</v>
      </c>
    </row>
    <row r="646" customFormat="false" ht="15" hidden="false" customHeight="false" outlineLevel="0" collapsed="false">
      <c r="A646" s="20" t="n">
        <v>45912</v>
      </c>
      <c r="B646" s="2" t="n">
        <v>16</v>
      </c>
      <c r="C646" s="2" t="s">
        <v>72</v>
      </c>
      <c r="D646" s="21" t="n">
        <v>76200</v>
      </c>
      <c r="E646" s="2" t="s">
        <v>55</v>
      </c>
      <c r="F646" s="2" t="s">
        <v>108</v>
      </c>
    </row>
    <row r="647" customFormat="false" ht="15" hidden="false" customHeight="false" outlineLevel="0" collapsed="false">
      <c r="A647" s="20" t="n">
        <v>45912</v>
      </c>
      <c r="B647" s="2" t="n">
        <v>19</v>
      </c>
      <c r="C647" s="2" t="s">
        <v>75</v>
      </c>
      <c r="D647" s="21" t="n">
        <v>102600</v>
      </c>
      <c r="E647" s="2" t="s">
        <v>52</v>
      </c>
      <c r="F647" s="2" t="s">
        <v>108</v>
      </c>
    </row>
    <row r="648" customFormat="false" ht="15" hidden="false" customHeight="false" outlineLevel="0" collapsed="false">
      <c r="A648" s="20" t="n">
        <v>45912</v>
      </c>
      <c r="B648" s="2" t="n">
        <v>23</v>
      </c>
      <c r="C648" s="2" t="s">
        <v>80</v>
      </c>
      <c r="D648" s="21" t="n">
        <v>77800</v>
      </c>
      <c r="E648" s="2" t="s">
        <v>55</v>
      </c>
      <c r="F648" s="2" t="s">
        <v>108</v>
      </c>
    </row>
    <row r="649" customFormat="false" ht="15" hidden="false" customHeight="false" outlineLevel="0" collapsed="false">
      <c r="A649" s="20" t="n">
        <v>45913</v>
      </c>
      <c r="B649" s="2" t="n">
        <v>8</v>
      </c>
      <c r="C649" s="2" t="s">
        <v>63</v>
      </c>
      <c r="D649" s="21" t="n">
        <v>159600</v>
      </c>
      <c r="E649" s="2" t="s">
        <v>55</v>
      </c>
      <c r="F649" s="2" t="s">
        <v>108</v>
      </c>
    </row>
    <row r="650" customFormat="false" ht="15" hidden="false" customHeight="false" outlineLevel="0" collapsed="false">
      <c r="A650" s="20" t="n">
        <v>45913</v>
      </c>
      <c r="B650" s="2" t="n">
        <v>18</v>
      </c>
      <c r="C650" s="2" t="s">
        <v>74</v>
      </c>
      <c r="D650" s="21" t="n">
        <v>60000</v>
      </c>
      <c r="E650" s="2" t="s">
        <v>55</v>
      </c>
      <c r="F650" s="2" t="s">
        <v>108</v>
      </c>
    </row>
    <row r="651" customFormat="false" ht="15" hidden="false" customHeight="false" outlineLevel="0" collapsed="false">
      <c r="A651" s="20" t="n">
        <v>45914</v>
      </c>
      <c r="B651" s="2" t="n">
        <v>15</v>
      </c>
      <c r="C651" s="2" t="s">
        <v>71</v>
      </c>
      <c r="D651" s="21" t="n">
        <v>103600</v>
      </c>
      <c r="E651" s="2" t="s">
        <v>52</v>
      </c>
      <c r="F651" s="2" t="s">
        <v>108</v>
      </c>
    </row>
    <row r="652" customFormat="false" ht="15" hidden="false" customHeight="false" outlineLevel="0" collapsed="false">
      <c r="A652" s="20" t="n">
        <v>45914</v>
      </c>
      <c r="B652" s="2" t="n">
        <v>21</v>
      </c>
      <c r="C652" s="2" t="s">
        <v>77</v>
      </c>
      <c r="D652" s="21" t="n">
        <v>103800</v>
      </c>
      <c r="E652" s="2" t="s">
        <v>52</v>
      </c>
      <c r="F652" s="2" t="s">
        <v>108</v>
      </c>
    </row>
    <row r="653" customFormat="false" ht="15" hidden="false" customHeight="false" outlineLevel="0" collapsed="false">
      <c r="A653" s="20" t="n">
        <v>45914</v>
      </c>
      <c r="B653" s="2" t="n">
        <v>22</v>
      </c>
      <c r="C653" s="2" t="s">
        <v>79</v>
      </c>
      <c r="D653" s="21" t="n">
        <v>171600</v>
      </c>
      <c r="E653" s="2" t="s">
        <v>55</v>
      </c>
      <c r="F653" s="2" t="s">
        <v>108</v>
      </c>
    </row>
    <row r="654" customFormat="false" ht="15" hidden="false" customHeight="false" outlineLevel="0" collapsed="false">
      <c r="A654" s="20" t="n">
        <v>45916</v>
      </c>
      <c r="B654" s="2" t="n">
        <v>5</v>
      </c>
      <c r="C654" s="2" t="s">
        <v>59</v>
      </c>
      <c r="D654" s="21" t="n">
        <v>200600</v>
      </c>
      <c r="E654" s="2" t="s">
        <v>52</v>
      </c>
      <c r="F654" s="2" t="s">
        <v>108</v>
      </c>
    </row>
    <row r="655" customFormat="false" ht="15" hidden="false" customHeight="false" outlineLevel="0" collapsed="false">
      <c r="A655" s="20" t="n">
        <v>45916</v>
      </c>
      <c r="B655" s="2" t="n">
        <v>19</v>
      </c>
      <c r="C655" s="2" t="s">
        <v>75</v>
      </c>
      <c r="D655" s="21" t="n">
        <v>101000</v>
      </c>
      <c r="E655" s="2" t="s">
        <v>52</v>
      </c>
      <c r="F655" s="2" t="s">
        <v>108</v>
      </c>
    </row>
    <row r="656" customFormat="false" ht="15" hidden="false" customHeight="false" outlineLevel="0" collapsed="false">
      <c r="A656" s="20" t="n">
        <v>45916</v>
      </c>
      <c r="B656" s="2" t="n">
        <v>23</v>
      </c>
      <c r="C656" s="2" t="s">
        <v>80</v>
      </c>
      <c r="D656" s="21" t="n">
        <v>112200</v>
      </c>
      <c r="E656" s="2" t="s">
        <v>55</v>
      </c>
      <c r="F656" s="2" t="s">
        <v>108</v>
      </c>
    </row>
    <row r="657" customFormat="false" ht="15" hidden="false" customHeight="false" outlineLevel="0" collapsed="false">
      <c r="A657" s="20" t="n">
        <v>45917</v>
      </c>
      <c r="B657" s="2" t="n">
        <v>9</v>
      </c>
      <c r="C657" s="2" t="s">
        <v>64</v>
      </c>
      <c r="D657" s="21" t="n">
        <v>53600</v>
      </c>
      <c r="E657" s="2" t="s">
        <v>55</v>
      </c>
      <c r="F657" s="2" t="s">
        <v>108</v>
      </c>
    </row>
    <row r="658" customFormat="false" ht="15" hidden="false" customHeight="false" outlineLevel="0" collapsed="false">
      <c r="A658" s="20" t="n">
        <v>45917</v>
      </c>
      <c r="B658" s="2" t="n">
        <v>11</v>
      </c>
      <c r="C658" s="2" t="s">
        <v>66</v>
      </c>
      <c r="D658" s="21" t="n">
        <v>151300</v>
      </c>
      <c r="E658" s="2" t="s">
        <v>55</v>
      </c>
      <c r="F658" s="2" t="s">
        <v>108</v>
      </c>
    </row>
    <row r="659" customFormat="false" ht="15" hidden="false" customHeight="false" outlineLevel="0" collapsed="false">
      <c r="A659" s="20" t="n">
        <v>45917</v>
      </c>
      <c r="B659" s="2" t="n">
        <v>12</v>
      </c>
      <c r="C659" s="2" t="s">
        <v>67</v>
      </c>
      <c r="D659" s="21" t="n">
        <v>95400</v>
      </c>
      <c r="E659" s="2" t="s">
        <v>55</v>
      </c>
      <c r="F659" s="2" t="s">
        <v>108</v>
      </c>
    </row>
    <row r="660" customFormat="false" ht="15" hidden="false" customHeight="false" outlineLevel="0" collapsed="false">
      <c r="A660" s="20" t="n">
        <v>45917</v>
      </c>
      <c r="B660" s="2" t="n">
        <v>22</v>
      </c>
      <c r="C660" s="2" t="s">
        <v>79</v>
      </c>
      <c r="D660" s="21" t="n">
        <v>176900</v>
      </c>
      <c r="E660" s="2" t="s">
        <v>55</v>
      </c>
      <c r="F660" s="2" t="s">
        <v>108</v>
      </c>
    </row>
    <row r="661" customFormat="false" ht="15" hidden="false" customHeight="false" outlineLevel="0" collapsed="false">
      <c r="A661" s="20" t="n">
        <v>45917</v>
      </c>
      <c r="B661" s="2" t="n">
        <v>24</v>
      </c>
      <c r="C661" s="2" t="s">
        <v>81</v>
      </c>
      <c r="D661" s="21" t="n">
        <v>120600</v>
      </c>
      <c r="E661" s="2" t="s">
        <v>52</v>
      </c>
      <c r="F661" s="2" t="s">
        <v>108</v>
      </c>
    </row>
    <row r="662" customFormat="false" ht="15" hidden="false" customHeight="false" outlineLevel="0" collapsed="false">
      <c r="A662" s="20" t="n">
        <v>45918</v>
      </c>
      <c r="B662" s="2" t="n">
        <v>8</v>
      </c>
      <c r="C662" s="2" t="s">
        <v>63</v>
      </c>
      <c r="D662" s="21" t="n">
        <v>173300</v>
      </c>
      <c r="E662" s="2" t="s">
        <v>55</v>
      </c>
      <c r="F662" s="2" t="s">
        <v>108</v>
      </c>
    </row>
    <row r="663" customFormat="false" ht="15" hidden="false" customHeight="false" outlineLevel="0" collapsed="false">
      <c r="A663" s="20" t="n">
        <v>45918</v>
      </c>
      <c r="B663" s="2" t="n">
        <v>16</v>
      </c>
      <c r="C663" s="2" t="s">
        <v>72</v>
      </c>
      <c r="D663" s="21" t="n">
        <v>109800</v>
      </c>
      <c r="E663" s="2" t="s">
        <v>55</v>
      </c>
      <c r="F663" s="2" t="s">
        <v>108</v>
      </c>
    </row>
    <row r="664" customFormat="false" ht="15" hidden="false" customHeight="false" outlineLevel="0" collapsed="false">
      <c r="A664" s="20" t="n">
        <v>45918</v>
      </c>
      <c r="B664" s="2" t="n">
        <v>18</v>
      </c>
      <c r="C664" s="2" t="s">
        <v>74</v>
      </c>
      <c r="D664" s="21" t="n">
        <v>53400</v>
      </c>
      <c r="E664" s="2" t="s">
        <v>55</v>
      </c>
      <c r="F664" s="2" t="s">
        <v>108</v>
      </c>
    </row>
    <row r="665" customFormat="false" ht="15" hidden="false" customHeight="false" outlineLevel="0" collapsed="false">
      <c r="A665" s="20" t="n">
        <v>45918</v>
      </c>
      <c r="B665" s="2" t="n">
        <v>19</v>
      </c>
      <c r="C665" s="2" t="s">
        <v>75</v>
      </c>
      <c r="D665" s="21" t="n">
        <v>95500</v>
      </c>
      <c r="E665" s="2" t="s">
        <v>52</v>
      </c>
      <c r="F665" s="2" t="s">
        <v>108</v>
      </c>
    </row>
    <row r="666" customFormat="false" ht="15" hidden="false" customHeight="false" outlineLevel="0" collapsed="false">
      <c r="A666" s="20" t="n">
        <v>45919</v>
      </c>
      <c r="B666" s="2" t="n">
        <v>2</v>
      </c>
      <c r="C666" s="2" t="s">
        <v>54</v>
      </c>
      <c r="D666" s="21" t="n">
        <v>56600</v>
      </c>
      <c r="E666" s="2" t="s">
        <v>55</v>
      </c>
      <c r="F666" s="2" t="s">
        <v>108</v>
      </c>
    </row>
    <row r="667" customFormat="false" ht="15" hidden="false" customHeight="false" outlineLevel="0" collapsed="false">
      <c r="A667" s="20" t="n">
        <v>45919</v>
      </c>
      <c r="B667" s="2" t="n">
        <v>7</v>
      </c>
      <c r="C667" s="2" t="s">
        <v>62</v>
      </c>
      <c r="D667" s="21" t="n">
        <v>52600</v>
      </c>
      <c r="E667" s="2" t="s">
        <v>52</v>
      </c>
      <c r="F667" s="2" t="s">
        <v>108</v>
      </c>
    </row>
    <row r="668" customFormat="false" ht="15" hidden="false" customHeight="false" outlineLevel="0" collapsed="false">
      <c r="A668" s="20" t="n">
        <v>45919</v>
      </c>
      <c r="B668" s="2" t="n">
        <v>13</v>
      </c>
      <c r="C668" s="2" t="s">
        <v>68</v>
      </c>
      <c r="D668" s="21" t="n">
        <v>72600</v>
      </c>
      <c r="E668" s="2" t="s">
        <v>52</v>
      </c>
      <c r="F668" s="2" t="s">
        <v>108</v>
      </c>
    </row>
    <row r="669" customFormat="false" ht="15" hidden="false" customHeight="false" outlineLevel="0" collapsed="false">
      <c r="A669" s="20" t="n">
        <v>45919</v>
      </c>
      <c r="B669" s="2" t="n">
        <v>14</v>
      </c>
      <c r="C669" s="2" t="s">
        <v>70</v>
      </c>
      <c r="D669" s="21" t="n">
        <v>93100</v>
      </c>
      <c r="E669" s="2" t="s">
        <v>52</v>
      </c>
      <c r="F669" s="2" t="s">
        <v>108</v>
      </c>
    </row>
    <row r="670" customFormat="false" ht="15" hidden="false" customHeight="false" outlineLevel="0" collapsed="false">
      <c r="A670" s="20" t="n">
        <v>45919</v>
      </c>
      <c r="B670" s="2" t="n">
        <v>15</v>
      </c>
      <c r="C670" s="2" t="s">
        <v>71</v>
      </c>
      <c r="D670" s="21" t="n">
        <v>98700</v>
      </c>
      <c r="E670" s="2" t="s">
        <v>52</v>
      </c>
      <c r="F670" s="2" t="s">
        <v>108</v>
      </c>
    </row>
    <row r="671" customFormat="false" ht="15" hidden="false" customHeight="false" outlineLevel="0" collapsed="false">
      <c r="A671" s="20" t="n">
        <v>45919</v>
      </c>
      <c r="B671" s="2" t="n">
        <v>20</v>
      </c>
      <c r="C671" s="2" t="s">
        <v>76</v>
      </c>
      <c r="D671" s="21" t="n">
        <v>144100</v>
      </c>
      <c r="E671" s="2" t="s">
        <v>52</v>
      </c>
      <c r="F671" s="2" t="s">
        <v>108</v>
      </c>
    </row>
    <row r="672" customFormat="false" ht="15" hidden="false" customHeight="false" outlineLevel="0" collapsed="false">
      <c r="A672" s="20" t="n">
        <v>45920</v>
      </c>
      <c r="B672" s="2" t="n">
        <v>1</v>
      </c>
      <c r="C672" s="2" t="s">
        <v>51</v>
      </c>
      <c r="D672" s="21" t="n">
        <v>121800</v>
      </c>
      <c r="E672" s="2" t="s">
        <v>52</v>
      </c>
      <c r="F672" s="2" t="s">
        <v>108</v>
      </c>
    </row>
    <row r="673" customFormat="false" ht="15" hidden="false" customHeight="false" outlineLevel="0" collapsed="false">
      <c r="A673" s="20" t="n">
        <v>45920</v>
      </c>
      <c r="B673" s="2" t="n">
        <v>4</v>
      </c>
      <c r="C673" s="2" t="s">
        <v>58</v>
      </c>
      <c r="D673" s="21" t="n">
        <v>151300</v>
      </c>
      <c r="E673" s="2" t="s">
        <v>52</v>
      </c>
      <c r="F673" s="2" t="s">
        <v>108</v>
      </c>
    </row>
    <row r="674" customFormat="false" ht="15" hidden="false" customHeight="false" outlineLevel="0" collapsed="false">
      <c r="A674" s="20" t="n">
        <v>45920</v>
      </c>
      <c r="B674" s="2" t="n">
        <v>19</v>
      </c>
      <c r="C674" s="2" t="s">
        <v>75</v>
      </c>
      <c r="D674" s="21" t="n">
        <v>97100</v>
      </c>
      <c r="E674" s="2" t="s">
        <v>52</v>
      </c>
      <c r="F674" s="2" t="s">
        <v>108</v>
      </c>
    </row>
    <row r="675" customFormat="false" ht="15" hidden="false" customHeight="false" outlineLevel="0" collapsed="false">
      <c r="A675" s="20" t="n">
        <v>45920</v>
      </c>
      <c r="B675" s="2" t="n">
        <v>22</v>
      </c>
      <c r="C675" s="2" t="s">
        <v>79</v>
      </c>
      <c r="D675" s="21" t="n">
        <v>196600</v>
      </c>
      <c r="E675" s="2" t="s">
        <v>55</v>
      </c>
      <c r="F675" s="2" t="s">
        <v>108</v>
      </c>
    </row>
    <row r="676" customFormat="false" ht="15" hidden="false" customHeight="false" outlineLevel="0" collapsed="false">
      <c r="A676" s="20" t="n">
        <v>45921</v>
      </c>
      <c r="B676" s="2" t="n">
        <v>8</v>
      </c>
      <c r="C676" s="2" t="s">
        <v>63</v>
      </c>
      <c r="D676" s="21" t="n">
        <v>142700</v>
      </c>
      <c r="E676" s="2" t="s">
        <v>55</v>
      </c>
      <c r="F676" s="2" t="s">
        <v>108</v>
      </c>
    </row>
    <row r="677" customFormat="false" ht="15" hidden="false" customHeight="false" outlineLevel="0" collapsed="false">
      <c r="A677" s="20" t="n">
        <v>45921</v>
      </c>
      <c r="B677" s="2" t="n">
        <v>23</v>
      </c>
      <c r="C677" s="2" t="s">
        <v>80</v>
      </c>
      <c r="D677" s="21" t="n">
        <v>106200</v>
      </c>
      <c r="E677" s="2" t="s">
        <v>55</v>
      </c>
      <c r="F677" s="2" t="s">
        <v>108</v>
      </c>
    </row>
    <row r="678" customFormat="false" ht="15" hidden="false" customHeight="false" outlineLevel="0" collapsed="false">
      <c r="A678" s="20" t="n">
        <v>45923</v>
      </c>
      <c r="B678" s="2" t="n">
        <v>5</v>
      </c>
      <c r="C678" s="2" t="s">
        <v>59</v>
      </c>
      <c r="D678" s="21" t="n">
        <v>189800</v>
      </c>
      <c r="E678" s="2" t="s">
        <v>52</v>
      </c>
      <c r="F678" s="2" t="s">
        <v>108</v>
      </c>
    </row>
    <row r="679" customFormat="false" ht="15" hidden="false" customHeight="false" outlineLevel="0" collapsed="false">
      <c r="A679" s="20" t="n">
        <v>45923</v>
      </c>
      <c r="B679" s="2" t="n">
        <v>11</v>
      </c>
      <c r="C679" s="2" t="s">
        <v>66</v>
      </c>
      <c r="D679" s="21" t="n">
        <v>148400</v>
      </c>
      <c r="E679" s="2" t="s">
        <v>55</v>
      </c>
      <c r="F679" s="2" t="s">
        <v>108</v>
      </c>
    </row>
    <row r="680" customFormat="false" ht="15" hidden="false" customHeight="false" outlineLevel="0" collapsed="false">
      <c r="A680" s="20" t="n">
        <v>45923</v>
      </c>
      <c r="B680" s="2" t="n">
        <v>18</v>
      </c>
      <c r="C680" s="2" t="s">
        <v>74</v>
      </c>
      <c r="D680" s="21" t="n">
        <v>62600</v>
      </c>
      <c r="E680" s="2" t="s">
        <v>55</v>
      </c>
      <c r="F680" s="2" t="s">
        <v>108</v>
      </c>
    </row>
    <row r="681" customFormat="false" ht="15" hidden="false" customHeight="false" outlineLevel="0" collapsed="false">
      <c r="A681" s="20" t="n">
        <v>45924</v>
      </c>
      <c r="B681" s="2" t="n">
        <v>8</v>
      </c>
      <c r="C681" s="2" t="s">
        <v>63</v>
      </c>
      <c r="D681" s="21" t="n">
        <v>106800</v>
      </c>
      <c r="E681" s="2" t="s">
        <v>55</v>
      </c>
      <c r="F681" s="2" t="s">
        <v>108</v>
      </c>
    </row>
    <row r="682" customFormat="false" ht="15" hidden="false" customHeight="false" outlineLevel="0" collapsed="false">
      <c r="A682" s="20" t="n">
        <v>45924</v>
      </c>
      <c r="B682" s="2" t="n">
        <v>9</v>
      </c>
      <c r="C682" s="2" t="s">
        <v>64</v>
      </c>
      <c r="D682" s="21" t="n">
        <v>71600</v>
      </c>
      <c r="E682" s="2" t="s">
        <v>55</v>
      </c>
      <c r="F682" s="2" t="s">
        <v>108</v>
      </c>
    </row>
    <row r="683" customFormat="false" ht="15" hidden="false" customHeight="false" outlineLevel="0" collapsed="false">
      <c r="A683" s="20" t="n">
        <v>45924</v>
      </c>
      <c r="B683" s="2" t="n">
        <v>12</v>
      </c>
      <c r="C683" s="2" t="s">
        <v>67</v>
      </c>
      <c r="D683" s="21" t="n">
        <v>115100</v>
      </c>
      <c r="E683" s="2" t="s">
        <v>55</v>
      </c>
      <c r="F683" s="2" t="s">
        <v>108</v>
      </c>
    </row>
    <row r="684" customFormat="false" ht="15" hidden="false" customHeight="false" outlineLevel="0" collapsed="false">
      <c r="A684" s="20" t="n">
        <v>45924</v>
      </c>
      <c r="B684" s="2" t="n">
        <v>19</v>
      </c>
      <c r="C684" s="2" t="s">
        <v>75</v>
      </c>
      <c r="D684" s="21" t="n">
        <v>94300</v>
      </c>
      <c r="E684" s="2" t="s">
        <v>52</v>
      </c>
      <c r="F684" s="2" t="s">
        <v>108</v>
      </c>
    </row>
    <row r="685" customFormat="false" ht="15" hidden="false" customHeight="false" outlineLevel="0" collapsed="false">
      <c r="A685" s="20" t="n">
        <v>45924</v>
      </c>
      <c r="B685" s="2" t="n">
        <v>22</v>
      </c>
      <c r="C685" s="2" t="s">
        <v>79</v>
      </c>
      <c r="D685" s="21" t="n">
        <v>137800</v>
      </c>
      <c r="E685" s="2" t="s">
        <v>55</v>
      </c>
      <c r="F685" s="2" t="s">
        <v>108</v>
      </c>
    </row>
    <row r="686" customFormat="false" ht="15" hidden="false" customHeight="false" outlineLevel="0" collapsed="false">
      <c r="A686" s="20" t="n">
        <v>45925</v>
      </c>
      <c r="B686" s="2" t="n">
        <v>2</v>
      </c>
      <c r="C686" s="2" t="s">
        <v>54</v>
      </c>
      <c r="D686" s="21" t="n">
        <v>54900</v>
      </c>
      <c r="E686" s="2" t="s">
        <v>55</v>
      </c>
      <c r="F686" s="2" t="s">
        <v>108</v>
      </c>
    </row>
    <row r="687" customFormat="false" ht="15" hidden="false" customHeight="false" outlineLevel="0" collapsed="false">
      <c r="A687" s="20" t="n">
        <v>45925</v>
      </c>
      <c r="B687" s="2" t="n">
        <v>14</v>
      </c>
      <c r="C687" s="2" t="s">
        <v>70</v>
      </c>
      <c r="D687" s="21" t="n">
        <v>100600</v>
      </c>
      <c r="E687" s="2" t="s">
        <v>52</v>
      </c>
      <c r="F687" s="2" t="s">
        <v>108</v>
      </c>
    </row>
    <row r="688" customFormat="false" ht="15" hidden="false" customHeight="false" outlineLevel="0" collapsed="false">
      <c r="A688" s="20" t="n">
        <v>45925</v>
      </c>
      <c r="B688" s="2" t="n">
        <v>23</v>
      </c>
      <c r="C688" s="2" t="s">
        <v>80</v>
      </c>
      <c r="D688" s="21" t="n">
        <v>102800</v>
      </c>
      <c r="E688" s="2" t="s">
        <v>55</v>
      </c>
      <c r="F688" s="2" t="s">
        <v>108</v>
      </c>
    </row>
    <row r="689" customFormat="false" ht="15" hidden="false" customHeight="false" outlineLevel="0" collapsed="false">
      <c r="A689" s="20" t="n">
        <v>45925</v>
      </c>
      <c r="B689" s="2" t="n">
        <v>24</v>
      </c>
      <c r="C689" s="2" t="s">
        <v>81</v>
      </c>
      <c r="D689" s="21" t="n">
        <v>184500</v>
      </c>
      <c r="E689" s="2" t="s">
        <v>52</v>
      </c>
      <c r="F689" s="2" t="s">
        <v>108</v>
      </c>
    </row>
    <row r="690" customFormat="false" ht="15" hidden="false" customHeight="false" outlineLevel="0" collapsed="false">
      <c r="A690" s="20" t="n">
        <v>45926</v>
      </c>
      <c r="B690" s="2" t="n">
        <v>4</v>
      </c>
      <c r="C690" s="2" t="s">
        <v>58</v>
      </c>
      <c r="D690" s="21" t="n">
        <v>138500</v>
      </c>
      <c r="E690" s="2" t="s">
        <v>52</v>
      </c>
      <c r="F690" s="2" t="s">
        <v>108</v>
      </c>
    </row>
    <row r="691" customFormat="false" ht="15" hidden="false" customHeight="false" outlineLevel="0" collapsed="false">
      <c r="A691" s="20" t="n">
        <v>45926</v>
      </c>
      <c r="B691" s="2" t="n">
        <v>7</v>
      </c>
      <c r="C691" s="2" t="s">
        <v>62</v>
      </c>
      <c r="D691" s="21" t="n">
        <v>53200</v>
      </c>
      <c r="E691" s="2" t="s">
        <v>52</v>
      </c>
      <c r="F691" s="2" t="s">
        <v>108</v>
      </c>
    </row>
    <row r="692" customFormat="false" ht="15" hidden="false" customHeight="false" outlineLevel="0" collapsed="false">
      <c r="A692" s="20" t="n">
        <v>45926</v>
      </c>
      <c r="B692" s="2" t="n">
        <v>15</v>
      </c>
      <c r="C692" s="2" t="s">
        <v>71</v>
      </c>
      <c r="D692" s="21" t="n">
        <v>149100</v>
      </c>
      <c r="E692" s="2" t="s">
        <v>52</v>
      </c>
      <c r="F692" s="2" t="s">
        <v>108</v>
      </c>
    </row>
    <row r="693" customFormat="false" ht="15" hidden="false" customHeight="false" outlineLevel="0" collapsed="false">
      <c r="A693" s="20" t="n">
        <v>45926</v>
      </c>
      <c r="B693" s="2" t="n">
        <v>16</v>
      </c>
      <c r="C693" s="2" t="s">
        <v>72</v>
      </c>
      <c r="D693" s="21" t="n">
        <v>101300</v>
      </c>
      <c r="E693" s="2" t="s">
        <v>55</v>
      </c>
      <c r="F693" s="2" t="s">
        <v>108</v>
      </c>
    </row>
    <row r="694" customFormat="false" ht="15" hidden="false" customHeight="false" outlineLevel="0" collapsed="false">
      <c r="A694" s="20" t="n">
        <v>45926</v>
      </c>
      <c r="B694" s="2" t="n">
        <v>19</v>
      </c>
      <c r="C694" s="2" t="s">
        <v>75</v>
      </c>
      <c r="D694" s="21" t="n">
        <v>95600</v>
      </c>
      <c r="E694" s="2" t="s">
        <v>52</v>
      </c>
      <c r="F694" s="2" t="s">
        <v>108</v>
      </c>
    </row>
    <row r="695" customFormat="false" ht="15" hidden="false" customHeight="false" outlineLevel="0" collapsed="false">
      <c r="A695" s="20" t="n">
        <v>45926</v>
      </c>
      <c r="B695" s="2" t="n">
        <v>20</v>
      </c>
      <c r="C695" s="2" t="s">
        <v>76</v>
      </c>
      <c r="D695" s="21" t="n">
        <v>145500</v>
      </c>
      <c r="E695" s="2" t="s">
        <v>52</v>
      </c>
      <c r="F695" s="2" t="s">
        <v>108</v>
      </c>
    </row>
    <row r="696" customFormat="false" ht="15" hidden="false" customHeight="false" outlineLevel="0" collapsed="false">
      <c r="A696" s="20" t="n">
        <v>45927</v>
      </c>
      <c r="B696" s="2" t="n">
        <v>1</v>
      </c>
      <c r="C696" s="2" t="s">
        <v>51</v>
      </c>
      <c r="D696" s="21" t="n">
        <v>101500</v>
      </c>
      <c r="E696" s="2" t="s">
        <v>52</v>
      </c>
      <c r="F696" s="2" t="s">
        <v>108</v>
      </c>
    </row>
    <row r="697" customFormat="false" ht="15" hidden="false" customHeight="false" outlineLevel="0" collapsed="false">
      <c r="A697" s="20" t="n">
        <v>45927</v>
      </c>
      <c r="B697" s="2" t="n">
        <v>8</v>
      </c>
      <c r="C697" s="2" t="s">
        <v>63</v>
      </c>
      <c r="D697" s="21" t="n">
        <v>141400</v>
      </c>
      <c r="E697" s="2" t="s">
        <v>55</v>
      </c>
      <c r="F697" s="2" t="s">
        <v>108</v>
      </c>
    </row>
    <row r="698" customFormat="false" ht="15" hidden="false" customHeight="false" outlineLevel="0" collapsed="false">
      <c r="A698" s="20" t="n">
        <v>45928</v>
      </c>
      <c r="B698" s="2" t="n">
        <v>13</v>
      </c>
      <c r="C698" s="2" t="s">
        <v>68</v>
      </c>
      <c r="D698" s="21" t="n">
        <v>46900</v>
      </c>
      <c r="E698" s="2" t="s">
        <v>52</v>
      </c>
      <c r="F698" s="2" t="s">
        <v>108</v>
      </c>
    </row>
    <row r="699" customFormat="false" ht="15" hidden="false" customHeight="false" outlineLevel="0" collapsed="false">
      <c r="A699" s="20" t="n">
        <v>45928</v>
      </c>
      <c r="B699" s="2" t="n">
        <v>18</v>
      </c>
      <c r="C699" s="2" t="s">
        <v>74</v>
      </c>
      <c r="D699" s="21" t="n">
        <v>72700</v>
      </c>
      <c r="E699" s="2" t="s">
        <v>55</v>
      </c>
      <c r="F699" s="2" t="s">
        <v>108</v>
      </c>
    </row>
    <row r="700" customFormat="false" ht="15" hidden="false" customHeight="false" outlineLevel="0" collapsed="false">
      <c r="A700" s="20" t="n">
        <v>45930</v>
      </c>
      <c r="B700" s="2" t="n">
        <v>5</v>
      </c>
      <c r="C700" s="2" t="s">
        <v>59</v>
      </c>
      <c r="D700" s="21" t="n">
        <v>146500</v>
      </c>
      <c r="E700" s="2" t="s">
        <v>52</v>
      </c>
      <c r="F700" s="2" t="s">
        <v>108</v>
      </c>
    </row>
    <row r="701" customFormat="false" ht="15" hidden="false" customHeight="false" outlineLevel="0" collapsed="false">
      <c r="A701" s="20" t="n">
        <v>45930</v>
      </c>
      <c r="B701" s="2" t="n">
        <v>14</v>
      </c>
      <c r="C701" s="2" t="s">
        <v>70</v>
      </c>
      <c r="D701" s="21" t="n">
        <v>79400</v>
      </c>
      <c r="E701" s="2" t="s">
        <v>52</v>
      </c>
      <c r="F701" s="2" t="s">
        <v>108</v>
      </c>
    </row>
    <row r="702" customFormat="false" ht="15" hidden="false" customHeight="false" outlineLevel="0" collapsed="false">
      <c r="A702" s="20" t="n">
        <v>45930</v>
      </c>
      <c r="B702" s="2" t="n">
        <v>19</v>
      </c>
      <c r="C702" s="2" t="s">
        <v>75</v>
      </c>
      <c r="D702" s="21" t="n">
        <v>104400</v>
      </c>
      <c r="E702" s="2" t="s">
        <v>52</v>
      </c>
      <c r="F702" s="2" t="s">
        <v>108</v>
      </c>
    </row>
    <row r="703" customFormat="false" ht="15" hidden="false" customHeight="false" outlineLevel="0" collapsed="false">
      <c r="A703" s="20" t="n">
        <v>45931</v>
      </c>
      <c r="B703" s="2" t="n">
        <v>8</v>
      </c>
      <c r="C703" s="2" t="s">
        <v>63</v>
      </c>
      <c r="D703" s="21" t="n">
        <v>114200</v>
      </c>
      <c r="E703" s="2" t="s">
        <v>55</v>
      </c>
      <c r="F703" s="2" t="s">
        <v>108</v>
      </c>
    </row>
    <row r="704" customFormat="false" ht="15" hidden="false" customHeight="false" outlineLevel="0" collapsed="false">
      <c r="A704" s="20" t="n">
        <v>45931</v>
      </c>
      <c r="B704" s="2" t="n">
        <v>11</v>
      </c>
      <c r="C704" s="2" t="s">
        <v>66</v>
      </c>
      <c r="D704" s="21" t="n">
        <v>159900</v>
      </c>
      <c r="E704" s="2" t="s">
        <v>55</v>
      </c>
      <c r="F704" s="2" t="s">
        <v>108</v>
      </c>
    </row>
    <row r="705" customFormat="false" ht="15" hidden="false" customHeight="false" outlineLevel="0" collapsed="false">
      <c r="A705" s="20" t="n">
        <v>45931</v>
      </c>
      <c r="B705" s="2" t="n">
        <v>15</v>
      </c>
      <c r="C705" s="2" t="s">
        <v>71</v>
      </c>
      <c r="D705" s="21" t="n">
        <v>132600</v>
      </c>
      <c r="E705" s="2" t="s">
        <v>52</v>
      </c>
      <c r="F705" s="2" t="s">
        <v>108</v>
      </c>
    </row>
    <row r="706" customFormat="false" ht="15" hidden="false" customHeight="false" outlineLevel="0" collapsed="false">
      <c r="A706" s="20" t="n">
        <v>45932</v>
      </c>
      <c r="B706" s="2" t="n">
        <v>4</v>
      </c>
      <c r="C706" s="2" t="s">
        <v>58</v>
      </c>
      <c r="D706" s="21" t="n">
        <v>131900</v>
      </c>
      <c r="E706" s="2" t="s">
        <v>52</v>
      </c>
      <c r="F706" s="2" t="s">
        <v>108</v>
      </c>
    </row>
    <row r="707" customFormat="false" ht="15" hidden="false" customHeight="false" outlineLevel="0" collapsed="false">
      <c r="A707" s="20" t="n">
        <v>45932</v>
      </c>
      <c r="B707" s="2" t="n">
        <v>12</v>
      </c>
      <c r="C707" s="2" t="s">
        <v>67</v>
      </c>
      <c r="D707" s="21" t="n">
        <v>123800</v>
      </c>
      <c r="E707" s="2" t="s">
        <v>55</v>
      </c>
      <c r="F707" s="2" t="s">
        <v>108</v>
      </c>
    </row>
    <row r="708" customFormat="false" ht="15" hidden="false" customHeight="false" outlineLevel="0" collapsed="false">
      <c r="A708" s="20" t="n">
        <v>45932</v>
      </c>
      <c r="B708" s="2" t="n">
        <v>22</v>
      </c>
      <c r="C708" s="2" t="s">
        <v>79</v>
      </c>
      <c r="D708" s="21" t="n">
        <v>136200</v>
      </c>
      <c r="E708" s="2" t="s">
        <v>55</v>
      </c>
      <c r="F708" s="2" t="s">
        <v>108</v>
      </c>
    </row>
    <row r="709" customFormat="false" ht="15" hidden="false" customHeight="false" outlineLevel="0" collapsed="false">
      <c r="A709" s="20" t="n">
        <v>45932</v>
      </c>
      <c r="B709" s="2" t="n">
        <v>23</v>
      </c>
      <c r="C709" s="2" t="s">
        <v>80</v>
      </c>
      <c r="D709" s="21" t="n">
        <v>120600</v>
      </c>
      <c r="E709" s="2" t="s">
        <v>55</v>
      </c>
      <c r="F709" s="2" t="s">
        <v>108</v>
      </c>
    </row>
    <row r="710" customFormat="false" ht="15" hidden="false" customHeight="false" outlineLevel="0" collapsed="false">
      <c r="A710" s="20" t="n">
        <v>45932</v>
      </c>
      <c r="B710" s="2" t="n">
        <v>24</v>
      </c>
      <c r="C710" s="2" t="s">
        <v>81</v>
      </c>
      <c r="D710" s="21" t="n">
        <v>142800</v>
      </c>
      <c r="E710" s="2" t="s">
        <v>52</v>
      </c>
      <c r="F710" s="2" t="s">
        <v>108</v>
      </c>
    </row>
    <row r="711" customFormat="false" ht="15" hidden="false" customHeight="false" outlineLevel="0" collapsed="false">
      <c r="A711" s="20" t="n">
        <v>45933</v>
      </c>
      <c r="B711" s="2" t="n">
        <v>2</v>
      </c>
      <c r="C711" s="2" t="s">
        <v>54</v>
      </c>
      <c r="D711" s="21" t="n">
        <v>46900</v>
      </c>
      <c r="E711" s="2" t="s">
        <v>55</v>
      </c>
      <c r="F711" s="2" t="s">
        <v>108</v>
      </c>
    </row>
    <row r="712" customFormat="false" ht="15" hidden="false" customHeight="false" outlineLevel="0" collapsed="false">
      <c r="A712" s="20" t="n">
        <v>45933</v>
      </c>
      <c r="B712" s="2" t="n">
        <v>7</v>
      </c>
      <c r="C712" s="2" t="s">
        <v>62</v>
      </c>
      <c r="D712" s="21" t="n">
        <v>60300</v>
      </c>
      <c r="E712" s="2" t="s">
        <v>52</v>
      </c>
      <c r="F712" s="2" t="s">
        <v>108</v>
      </c>
    </row>
    <row r="713" customFormat="false" ht="15" hidden="false" customHeight="false" outlineLevel="0" collapsed="false">
      <c r="A713" s="20" t="n">
        <v>45933</v>
      </c>
      <c r="B713" s="2" t="n">
        <v>8</v>
      </c>
      <c r="C713" s="2" t="s">
        <v>63</v>
      </c>
      <c r="D713" s="21" t="n">
        <v>135200</v>
      </c>
      <c r="E713" s="2" t="s">
        <v>55</v>
      </c>
      <c r="F713" s="2" t="s">
        <v>108</v>
      </c>
    </row>
    <row r="714" customFormat="false" ht="15" hidden="false" customHeight="false" outlineLevel="0" collapsed="false">
      <c r="A714" s="20" t="n">
        <v>45933</v>
      </c>
      <c r="B714" s="2" t="n">
        <v>9</v>
      </c>
      <c r="C714" s="2" t="s">
        <v>64</v>
      </c>
      <c r="D714" s="21" t="n">
        <v>69900</v>
      </c>
      <c r="E714" s="2" t="s">
        <v>55</v>
      </c>
      <c r="F714" s="2" t="s">
        <v>108</v>
      </c>
    </row>
    <row r="715" customFormat="false" ht="15" hidden="false" customHeight="false" outlineLevel="0" collapsed="false">
      <c r="A715" s="20" t="n">
        <v>45933</v>
      </c>
      <c r="B715" s="2" t="n">
        <v>16</v>
      </c>
      <c r="C715" s="2" t="s">
        <v>72</v>
      </c>
      <c r="D715" s="21" t="n">
        <v>102500</v>
      </c>
      <c r="E715" s="2" t="s">
        <v>55</v>
      </c>
      <c r="F715" s="2" t="s">
        <v>108</v>
      </c>
    </row>
    <row r="716" customFormat="false" ht="15" hidden="false" customHeight="false" outlineLevel="0" collapsed="false">
      <c r="A716" s="20" t="n">
        <v>45933</v>
      </c>
      <c r="B716" s="2" t="n">
        <v>19</v>
      </c>
      <c r="C716" s="2" t="s">
        <v>75</v>
      </c>
      <c r="D716" s="21" t="n">
        <v>121100</v>
      </c>
      <c r="E716" s="2" t="s">
        <v>52</v>
      </c>
      <c r="F716" s="2" t="s">
        <v>108</v>
      </c>
    </row>
    <row r="717" customFormat="false" ht="15" hidden="false" customHeight="false" outlineLevel="0" collapsed="false">
      <c r="A717" s="20" t="n">
        <v>45933</v>
      </c>
      <c r="B717" s="2" t="n">
        <v>20</v>
      </c>
      <c r="C717" s="2" t="s">
        <v>76</v>
      </c>
      <c r="D717" s="21" t="n">
        <v>136300</v>
      </c>
      <c r="E717" s="2" t="s">
        <v>52</v>
      </c>
      <c r="F717" s="2" t="s">
        <v>108</v>
      </c>
    </row>
    <row r="718" customFormat="false" ht="15" hidden="false" customHeight="false" outlineLevel="0" collapsed="false">
      <c r="A718" s="20" t="n">
        <v>45934</v>
      </c>
      <c r="B718" s="2" t="n">
        <v>18</v>
      </c>
      <c r="C718" s="2" t="s">
        <v>74</v>
      </c>
      <c r="D718" s="21" t="n">
        <v>76700</v>
      </c>
      <c r="E718" s="2" t="s">
        <v>55</v>
      </c>
      <c r="F718" s="2" t="s">
        <v>108</v>
      </c>
    </row>
    <row r="719" customFormat="false" ht="15" hidden="false" customHeight="false" outlineLevel="0" collapsed="false">
      <c r="A719" s="20" t="n">
        <v>45935</v>
      </c>
      <c r="B719" s="2" t="n">
        <v>1</v>
      </c>
      <c r="C719" s="2" t="s">
        <v>51</v>
      </c>
      <c r="D719" s="21" t="n">
        <v>103800</v>
      </c>
      <c r="E719" s="2" t="s">
        <v>52</v>
      </c>
      <c r="F719" s="2" t="s">
        <v>108</v>
      </c>
    </row>
    <row r="720" customFormat="false" ht="15" hidden="false" customHeight="false" outlineLevel="0" collapsed="false">
      <c r="A720" s="20" t="n">
        <v>45935</v>
      </c>
      <c r="B720" s="2" t="n">
        <v>14</v>
      </c>
      <c r="C720" s="2" t="s">
        <v>70</v>
      </c>
      <c r="D720" s="21" t="n">
        <v>76600</v>
      </c>
      <c r="E720" s="2" t="s">
        <v>52</v>
      </c>
      <c r="F720" s="2" t="s">
        <v>108</v>
      </c>
    </row>
    <row r="721" customFormat="false" ht="15" hidden="false" customHeight="false" outlineLevel="0" collapsed="false">
      <c r="A721" s="20" t="n">
        <v>45935</v>
      </c>
      <c r="B721" s="2" t="n">
        <v>23</v>
      </c>
      <c r="C721" s="2" t="s">
        <v>80</v>
      </c>
      <c r="D721" s="21" t="n">
        <v>98200</v>
      </c>
      <c r="E721" s="2" t="s">
        <v>55</v>
      </c>
      <c r="F721" s="2" t="s">
        <v>108</v>
      </c>
    </row>
    <row r="722" customFormat="false" ht="15" hidden="false" customHeight="false" outlineLevel="0" collapsed="false">
      <c r="A722" s="20" t="n">
        <v>45937</v>
      </c>
      <c r="B722" s="2" t="n">
        <v>5</v>
      </c>
      <c r="C722" s="2" t="s">
        <v>59</v>
      </c>
      <c r="D722" s="21" t="n">
        <v>228600</v>
      </c>
      <c r="E722" s="2" t="s">
        <v>52</v>
      </c>
      <c r="F722" s="2" t="s">
        <v>108</v>
      </c>
    </row>
    <row r="723" customFormat="false" ht="15" hidden="false" customHeight="false" outlineLevel="0" collapsed="false">
      <c r="A723" s="20" t="n">
        <v>45937</v>
      </c>
      <c r="B723" s="2" t="n">
        <v>6</v>
      </c>
      <c r="C723" s="2" t="s">
        <v>60</v>
      </c>
      <c r="D723" s="21" t="n">
        <v>77900</v>
      </c>
      <c r="E723" s="2" t="s">
        <v>52</v>
      </c>
      <c r="F723" s="2" t="s">
        <v>108</v>
      </c>
    </row>
    <row r="724" customFormat="false" ht="15" hidden="false" customHeight="false" outlineLevel="0" collapsed="false">
      <c r="A724" s="20" t="n">
        <v>45937</v>
      </c>
      <c r="B724" s="2" t="n">
        <v>8</v>
      </c>
      <c r="C724" s="2" t="s">
        <v>63</v>
      </c>
      <c r="D724" s="21" t="n">
        <v>140700</v>
      </c>
      <c r="E724" s="2" t="s">
        <v>55</v>
      </c>
      <c r="F724" s="2" t="s">
        <v>108</v>
      </c>
    </row>
    <row r="725" customFormat="false" ht="15" hidden="false" customHeight="false" outlineLevel="0" collapsed="false">
      <c r="A725" s="20" t="n">
        <v>45937</v>
      </c>
      <c r="B725" s="2" t="n">
        <v>13</v>
      </c>
      <c r="C725" s="2" t="s">
        <v>68</v>
      </c>
      <c r="D725" s="21" t="n">
        <v>59200</v>
      </c>
      <c r="E725" s="2" t="s">
        <v>52</v>
      </c>
      <c r="F725" s="2" t="s">
        <v>108</v>
      </c>
    </row>
    <row r="726" customFormat="false" ht="15" hidden="false" customHeight="false" outlineLevel="0" collapsed="false">
      <c r="A726" s="20" t="n">
        <v>45937</v>
      </c>
      <c r="B726" s="2" t="n">
        <v>22</v>
      </c>
      <c r="C726" s="2" t="s">
        <v>79</v>
      </c>
      <c r="D726" s="21" t="n">
        <v>212900</v>
      </c>
      <c r="E726" s="2" t="s">
        <v>55</v>
      </c>
      <c r="F726" s="2" t="s">
        <v>108</v>
      </c>
    </row>
    <row r="727" customFormat="false" ht="15" hidden="false" customHeight="false" outlineLevel="0" collapsed="false">
      <c r="A727" s="20" t="n">
        <v>45938</v>
      </c>
      <c r="B727" s="2" t="n">
        <v>19</v>
      </c>
      <c r="C727" s="2" t="s">
        <v>75</v>
      </c>
      <c r="D727" s="21" t="n">
        <v>109600</v>
      </c>
      <c r="E727" s="2" t="s">
        <v>52</v>
      </c>
      <c r="F727" s="2" t="s">
        <v>108</v>
      </c>
    </row>
    <row r="728" customFormat="false" ht="15" hidden="false" customHeight="false" outlineLevel="0" collapsed="false">
      <c r="A728" s="20" t="n">
        <v>45939</v>
      </c>
      <c r="B728" s="2" t="n">
        <v>2</v>
      </c>
      <c r="C728" s="2" t="s">
        <v>54</v>
      </c>
      <c r="D728" s="21" t="n">
        <v>71900</v>
      </c>
      <c r="E728" s="2" t="s">
        <v>55</v>
      </c>
      <c r="F728" s="2" t="s">
        <v>108</v>
      </c>
    </row>
    <row r="729" customFormat="false" ht="15" hidden="false" customHeight="false" outlineLevel="0" collapsed="false">
      <c r="A729" s="20" t="n">
        <v>45939</v>
      </c>
      <c r="B729" s="2" t="n">
        <v>4</v>
      </c>
      <c r="C729" s="2" t="s">
        <v>58</v>
      </c>
      <c r="D729" s="21" t="n">
        <v>138700</v>
      </c>
      <c r="E729" s="2" t="s">
        <v>52</v>
      </c>
      <c r="F729" s="2" t="s">
        <v>108</v>
      </c>
    </row>
    <row r="730" customFormat="false" ht="15" hidden="false" customHeight="false" outlineLevel="0" collapsed="false">
      <c r="A730" s="20" t="n">
        <v>45939</v>
      </c>
      <c r="B730" s="2" t="n">
        <v>7</v>
      </c>
      <c r="C730" s="2" t="s">
        <v>62</v>
      </c>
      <c r="D730" s="21" t="n">
        <v>59900</v>
      </c>
      <c r="E730" s="2" t="s">
        <v>52</v>
      </c>
      <c r="F730" s="2" t="s">
        <v>108</v>
      </c>
    </row>
    <row r="731" customFormat="false" ht="15" hidden="false" customHeight="false" outlineLevel="0" collapsed="false">
      <c r="A731" s="20" t="n">
        <v>45939</v>
      </c>
      <c r="B731" s="2" t="n">
        <v>11</v>
      </c>
      <c r="C731" s="2" t="s">
        <v>66</v>
      </c>
      <c r="D731" s="21" t="n">
        <v>155200</v>
      </c>
      <c r="E731" s="2" t="s">
        <v>55</v>
      </c>
      <c r="F731" s="2" t="s">
        <v>108</v>
      </c>
    </row>
    <row r="732" customFormat="false" ht="15" hidden="false" customHeight="false" outlineLevel="0" collapsed="false">
      <c r="A732" s="20" t="n">
        <v>45939</v>
      </c>
      <c r="B732" s="2" t="n">
        <v>18</v>
      </c>
      <c r="C732" s="2" t="s">
        <v>74</v>
      </c>
      <c r="D732" s="21" t="n">
        <v>54700</v>
      </c>
      <c r="E732" s="2" t="s">
        <v>55</v>
      </c>
      <c r="F732" s="2" t="s">
        <v>108</v>
      </c>
    </row>
  </sheetData>
  <autoFilter ref="A1:F7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</cols>
  <sheetData>
    <row r="1" customFormat="false" ht="31.5" hidden="false" customHeight="true" outlineLevel="0" collapsed="false">
      <c r="A1" s="7" t="s">
        <v>83</v>
      </c>
      <c r="B1" s="7" t="s">
        <v>39</v>
      </c>
      <c r="C1" s="7" t="s">
        <v>40</v>
      </c>
      <c r="D1" s="7" t="s">
        <v>112</v>
      </c>
      <c r="E1" s="7" t="s">
        <v>113</v>
      </c>
      <c r="F1" s="7" t="s">
        <v>85</v>
      </c>
    </row>
    <row r="2" customFormat="false" ht="15" hidden="false" customHeight="false" outlineLevel="0" collapsed="false">
      <c r="A2" s="20" t="n">
        <v>45676</v>
      </c>
      <c r="B2" s="2" t="n">
        <v>19</v>
      </c>
      <c r="C2" s="2" t="s">
        <v>75</v>
      </c>
      <c r="D2" s="21" t="n">
        <v>384300</v>
      </c>
      <c r="E2" s="2" t="s">
        <v>114</v>
      </c>
      <c r="F2" s="2" t="s">
        <v>100</v>
      </c>
    </row>
    <row r="3" customFormat="false" ht="15" hidden="false" customHeight="false" outlineLevel="0" collapsed="false">
      <c r="A3" s="20" t="n">
        <v>45679</v>
      </c>
      <c r="B3" s="2" t="n">
        <v>3</v>
      </c>
      <c r="C3" s="2" t="s">
        <v>56</v>
      </c>
      <c r="D3" s="21" t="n">
        <v>448600</v>
      </c>
      <c r="E3" s="2" t="s">
        <v>114</v>
      </c>
      <c r="F3" s="2" t="s">
        <v>100</v>
      </c>
    </row>
    <row r="4" customFormat="false" ht="15" hidden="false" customHeight="false" outlineLevel="0" collapsed="false">
      <c r="A4" s="20" t="n">
        <v>45681</v>
      </c>
      <c r="B4" s="2" t="n">
        <v>7</v>
      </c>
      <c r="C4" s="2" t="s">
        <v>62</v>
      </c>
      <c r="D4" s="21" t="n">
        <v>171900</v>
      </c>
      <c r="E4" s="2" t="s">
        <v>114</v>
      </c>
      <c r="F4" s="2" t="s">
        <v>100</v>
      </c>
    </row>
    <row r="5" customFormat="false" ht="15" hidden="false" customHeight="false" outlineLevel="0" collapsed="false">
      <c r="A5" s="20" t="n">
        <v>45681</v>
      </c>
      <c r="B5" s="2" t="n">
        <v>10</v>
      </c>
      <c r="C5" s="2" t="s">
        <v>65</v>
      </c>
      <c r="D5" s="21" t="n">
        <v>213500</v>
      </c>
      <c r="E5" s="2" t="s">
        <v>114</v>
      </c>
      <c r="F5" s="2" t="s">
        <v>100</v>
      </c>
    </row>
    <row r="6" customFormat="false" ht="15" hidden="false" customHeight="false" outlineLevel="0" collapsed="false">
      <c r="A6" s="20" t="n">
        <v>45681</v>
      </c>
      <c r="B6" s="2" t="n">
        <v>21</v>
      </c>
      <c r="C6" s="2" t="s">
        <v>77</v>
      </c>
      <c r="D6" s="21" t="n">
        <v>260100</v>
      </c>
      <c r="E6" s="2" t="s">
        <v>114</v>
      </c>
      <c r="F6" s="2" t="s">
        <v>100</v>
      </c>
    </row>
    <row r="7" customFormat="false" ht="15" hidden="false" customHeight="false" outlineLevel="0" collapsed="false">
      <c r="A7" s="20" t="n">
        <v>45682</v>
      </c>
      <c r="B7" s="2" t="n">
        <v>14</v>
      </c>
      <c r="C7" s="2" t="s">
        <v>70</v>
      </c>
      <c r="D7" s="21" t="n">
        <v>307600</v>
      </c>
      <c r="E7" s="2" t="s">
        <v>114</v>
      </c>
      <c r="F7" s="2" t="s">
        <v>100</v>
      </c>
    </row>
    <row r="8" customFormat="false" ht="15" hidden="false" customHeight="false" outlineLevel="0" collapsed="false">
      <c r="A8" s="20" t="n">
        <v>45684</v>
      </c>
      <c r="B8" s="2" t="n">
        <v>6</v>
      </c>
      <c r="C8" s="2" t="s">
        <v>60</v>
      </c>
      <c r="D8" s="21" t="n">
        <v>131600</v>
      </c>
      <c r="E8" s="2" t="s">
        <v>114</v>
      </c>
      <c r="F8" s="2" t="s">
        <v>100</v>
      </c>
    </row>
    <row r="9" customFormat="false" ht="15" hidden="false" customHeight="false" outlineLevel="0" collapsed="false">
      <c r="A9" s="20" t="n">
        <v>45684</v>
      </c>
      <c r="B9" s="2" t="n">
        <v>13</v>
      </c>
      <c r="C9" s="2" t="s">
        <v>68</v>
      </c>
      <c r="D9" s="21" t="n">
        <v>94800</v>
      </c>
      <c r="E9" s="2" t="s">
        <v>114</v>
      </c>
      <c r="F9" s="2" t="s">
        <v>100</v>
      </c>
    </row>
    <row r="10" customFormat="false" ht="15" hidden="false" customHeight="false" outlineLevel="0" collapsed="false">
      <c r="A10" s="20" t="n">
        <v>45685</v>
      </c>
      <c r="B10" s="2" t="n">
        <v>4</v>
      </c>
      <c r="C10" s="2" t="s">
        <v>58</v>
      </c>
      <c r="D10" s="21" t="n">
        <v>457200</v>
      </c>
      <c r="E10" s="2" t="s">
        <v>114</v>
      </c>
      <c r="F10" s="2" t="s">
        <v>100</v>
      </c>
    </row>
    <row r="11" customFormat="false" ht="15" hidden="false" customHeight="false" outlineLevel="0" collapsed="false">
      <c r="A11" s="20" t="n">
        <v>45685</v>
      </c>
      <c r="B11" s="2" t="n">
        <v>5</v>
      </c>
      <c r="C11" s="2" t="s">
        <v>59</v>
      </c>
      <c r="D11" s="21" t="n">
        <v>372000</v>
      </c>
      <c r="E11" s="2" t="s">
        <v>114</v>
      </c>
      <c r="F11" s="2" t="s">
        <v>100</v>
      </c>
    </row>
    <row r="12" customFormat="false" ht="15" hidden="false" customHeight="false" outlineLevel="0" collapsed="false">
      <c r="A12" s="20" t="n">
        <v>45686</v>
      </c>
      <c r="B12" s="2" t="n">
        <v>15</v>
      </c>
      <c r="C12" s="2" t="s">
        <v>71</v>
      </c>
      <c r="D12" s="21" t="n">
        <v>549500</v>
      </c>
      <c r="E12" s="2" t="s">
        <v>114</v>
      </c>
      <c r="F12" s="2" t="s">
        <v>100</v>
      </c>
    </row>
    <row r="13" customFormat="false" ht="15" hidden="false" customHeight="false" outlineLevel="0" collapsed="false">
      <c r="A13" s="20" t="n">
        <v>45686</v>
      </c>
      <c r="B13" s="2" t="n">
        <v>17</v>
      </c>
      <c r="C13" s="2" t="s">
        <v>73</v>
      </c>
      <c r="D13" s="21" t="n">
        <v>217100</v>
      </c>
      <c r="E13" s="2" t="s">
        <v>114</v>
      </c>
      <c r="F13" s="2" t="s">
        <v>100</v>
      </c>
    </row>
    <row r="14" customFormat="false" ht="15" hidden="false" customHeight="false" outlineLevel="0" collapsed="false">
      <c r="A14" s="20" t="n">
        <v>45687</v>
      </c>
      <c r="B14" s="2" t="n">
        <v>20</v>
      </c>
      <c r="C14" s="2" t="s">
        <v>76</v>
      </c>
      <c r="D14" s="21" t="n">
        <v>500600</v>
      </c>
      <c r="E14" s="2" t="s">
        <v>114</v>
      </c>
      <c r="F14" s="2" t="s">
        <v>100</v>
      </c>
    </row>
    <row r="15" customFormat="false" ht="15" hidden="false" customHeight="false" outlineLevel="0" collapsed="false">
      <c r="A15" s="20" t="n">
        <v>45688</v>
      </c>
      <c r="B15" s="2" t="n">
        <v>1</v>
      </c>
      <c r="C15" s="2" t="s">
        <v>51</v>
      </c>
      <c r="D15" s="21" t="n">
        <v>515900</v>
      </c>
      <c r="E15" s="2" t="s">
        <v>114</v>
      </c>
      <c r="F15" s="2" t="s">
        <v>100</v>
      </c>
    </row>
    <row r="16" customFormat="false" ht="15" hidden="false" customHeight="false" outlineLevel="0" collapsed="false">
      <c r="A16" s="20" t="n">
        <v>45691</v>
      </c>
      <c r="B16" s="2" t="n">
        <v>19</v>
      </c>
      <c r="C16" s="2" t="s">
        <v>75</v>
      </c>
      <c r="D16" s="21" t="n">
        <v>375800</v>
      </c>
      <c r="E16" s="2" t="s">
        <v>114</v>
      </c>
      <c r="F16" s="2" t="s">
        <v>100</v>
      </c>
    </row>
    <row r="17" customFormat="false" ht="15" hidden="false" customHeight="false" outlineLevel="0" collapsed="false">
      <c r="A17" s="20" t="n">
        <v>45699</v>
      </c>
      <c r="B17" s="2" t="n">
        <v>3</v>
      </c>
      <c r="C17" s="2" t="s">
        <v>56</v>
      </c>
      <c r="D17" s="21" t="n">
        <v>427100</v>
      </c>
      <c r="E17" s="2" t="s">
        <v>114</v>
      </c>
      <c r="F17" s="2" t="s">
        <v>100</v>
      </c>
    </row>
    <row r="18" customFormat="false" ht="15" hidden="false" customHeight="false" outlineLevel="0" collapsed="false">
      <c r="A18" s="20" t="n">
        <v>45700</v>
      </c>
      <c r="B18" s="2" t="n">
        <v>21</v>
      </c>
      <c r="C18" s="2" t="s">
        <v>77</v>
      </c>
      <c r="D18" s="21" t="n">
        <v>237900</v>
      </c>
      <c r="E18" s="2" t="s">
        <v>114</v>
      </c>
      <c r="F18" s="2" t="s">
        <v>100</v>
      </c>
    </row>
    <row r="19" customFormat="false" ht="15" hidden="false" customHeight="false" outlineLevel="0" collapsed="false">
      <c r="A19" s="20" t="n">
        <v>45702</v>
      </c>
      <c r="B19" s="2" t="n">
        <v>7</v>
      </c>
      <c r="C19" s="2" t="s">
        <v>62</v>
      </c>
      <c r="D19" s="21" t="n">
        <v>118700</v>
      </c>
      <c r="E19" s="2" t="s">
        <v>114</v>
      </c>
      <c r="F19" s="2" t="s">
        <v>100</v>
      </c>
    </row>
    <row r="20" customFormat="false" ht="15" hidden="false" customHeight="false" outlineLevel="0" collapsed="false">
      <c r="A20" s="20" t="n">
        <v>45702</v>
      </c>
      <c r="B20" s="2" t="n">
        <v>10</v>
      </c>
      <c r="C20" s="2" t="s">
        <v>65</v>
      </c>
      <c r="D20" s="21" t="n">
        <v>181600</v>
      </c>
      <c r="E20" s="2" t="s">
        <v>114</v>
      </c>
      <c r="F20" s="2" t="s">
        <v>100</v>
      </c>
    </row>
    <row r="21" customFormat="false" ht="15" hidden="false" customHeight="false" outlineLevel="0" collapsed="false">
      <c r="A21" s="20" t="n">
        <v>45705</v>
      </c>
      <c r="B21" s="2" t="n">
        <v>6</v>
      </c>
      <c r="C21" s="2" t="s">
        <v>60</v>
      </c>
      <c r="D21" s="21" t="n">
        <v>5200</v>
      </c>
      <c r="E21" s="2" t="s">
        <v>114</v>
      </c>
      <c r="F21" s="2" t="s">
        <v>100</v>
      </c>
    </row>
    <row r="22" customFormat="false" ht="15" hidden="false" customHeight="false" outlineLevel="0" collapsed="false">
      <c r="A22" s="20" t="n">
        <v>45706</v>
      </c>
      <c r="B22" s="2" t="n">
        <v>13</v>
      </c>
      <c r="C22" s="2" t="s">
        <v>68</v>
      </c>
      <c r="D22" s="21" t="n">
        <v>58000</v>
      </c>
      <c r="E22" s="2" t="s">
        <v>114</v>
      </c>
      <c r="F22" s="2" t="s">
        <v>100</v>
      </c>
    </row>
    <row r="23" customFormat="false" ht="15" hidden="false" customHeight="false" outlineLevel="0" collapsed="false">
      <c r="A23" s="20" t="n">
        <v>45707</v>
      </c>
      <c r="B23" s="2" t="n">
        <v>19</v>
      </c>
      <c r="C23" s="2" t="s">
        <v>75</v>
      </c>
      <c r="D23" s="21" t="n">
        <v>446300</v>
      </c>
      <c r="E23" s="2" t="s">
        <v>114</v>
      </c>
      <c r="F23" s="2" t="s">
        <v>100</v>
      </c>
    </row>
    <row r="24" customFormat="false" ht="15" hidden="false" customHeight="false" outlineLevel="0" collapsed="false">
      <c r="A24" s="20" t="n">
        <v>45708</v>
      </c>
      <c r="B24" s="2" t="n">
        <v>4</v>
      </c>
      <c r="C24" s="2" t="s">
        <v>58</v>
      </c>
      <c r="D24" s="21" t="n">
        <v>326300</v>
      </c>
      <c r="E24" s="2" t="s">
        <v>114</v>
      </c>
      <c r="F24" s="2" t="s">
        <v>100</v>
      </c>
    </row>
    <row r="25" customFormat="false" ht="15" hidden="false" customHeight="false" outlineLevel="0" collapsed="false">
      <c r="A25" s="20" t="n">
        <v>45708</v>
      </c>
      <c r="B25" s="2" t="n">
        <v>14</v>
      </c>
      <c r="C25" s="2" t="s">
        <v>70</v>
      </c>
      <c r="D25" s="21" t="n">
        <v>339400</v>
      </c>
      <c r="E25" s="2" t="s">
        <v>114</v>
      </c>
      <c r="F25" s="2" t="s">
        <v>100</v>
      </c>
    </row>
    <row r="26" customFormat="false" ht="15" hidden="false" customHeight="false" outlineLevel="0" collapsed="false">
      <c r="A26" s="20" t="n">
        <v>45708</v>
      </c>
      <c r="B26" s="2" t="n">
        <v>17</v>
      </c>
      <c r="C26" s="2" t="s">
        <v>73</v>
      </c>
      <c r="D26" s="21" t="n">
        <v>181600</v>
      </c>
      <c r="E26" s="2" t="s">
        <v>114</v>
      </c>
      <c r="F26" s="2" t="s">
        <v>100</v>
      </c>
    </row>
    <row r="27" customFormat="false" ht="15" hidden="false" customHeight="false" outlineLevel="0" collapsed="false">
      <c r="A27" s="20" t="n">
        <v>45710</v>
      </c>
      <c r="B27" s="2" t="n">
        <v>15</v>
      </c>
      <c r="C27" s="2" t="s">
        <v>71</v>
      </c>
      <c r="D27" s="21" t="n">
        <v>405300</v>
      </c>
      <c r="E27" s="2" t="s">
        <v>114</v>
      </c>
      <c r="F27" s="2" t="s">
        <v>100</v>
      </c>
    </row>
    <row r="28" customFormat="false" ht="15" hidden="false" customHeight="false" outlineLevel="0" collapsed="false">
      <c r="A28" s="20" t="n">
        <v>45712</v>
      </c>
      <c r="B28" s="2" t="n">
        <v>1</v>
      </c>
      <c r="C28" s="2" t="s">
        <v>51</v>
      </c>
      <c r="D28" s="21" t="n">
        <v>207300</v>
      </c>
      <c r="E28" s="2" t="s">
        <v>114</v>
      </c>
      <c r="F28" s="2" t="s">
        <v>100</v>
      </c>
    </row>
    <row r="29" customFormat="false" ht="15" hidden="false" customHeight="false" outlineLevel="0" collapsed="false">
      <c r="A29" s="20" t="n">
        <v>45715</v>
      </c>
      <c r="B29" s="2" t="n">
        <v>5</v>
      </c>
      <c r="C29" s="2" t="s">
        <v>59</v>
      </c>
      <c r="D29" s="21" t="n">
        <v>677600</v>
      </c>
      <c r="E29" s="2" t="s">
        <v>114</v>
      </c>
      <c r="F29" s="2" t="s">
        <v>100</v>
      </c>
    </row>
    <row r="30" customFormat="false" ht="15" hidden="false" customHeight="false" outlineLevel="0" collapsed="false">
      <c r="A30" s="20" t="n">
        <v>45715</v>
      </c>
      <c r="B30" s="2" t="n">
        <v>21</v>
      </c>
      <c r="C30" s="2" t="s">
        <v>77</v>
      </c>
      <c r="D30" s="21" t="n">
        <v>127400</v>
      </c>
      <c r="E30" s="2" t="s">
        <v>114</v>
      </c>
      <c r="F30" s="2" t="s">
        <v>100</v>
      </c>
    </row>
    <row r="31" customFormat="false" ht="15" hidden="false" customHeight="false" outlineLevel="0" collapsed="false">
      <c r="A31" s="20" t="n">
        <v>45717</v>
      </c>
      <c r="B31" s="2" t="n">
        <v>3</v>
      </c>
      <c r="C31" s="2" t="s">
        <v>56</v>
      </c>
      <c r="D31" s="21" t="n">
        <v>359000</v>
      </c>
      <c r="E31" s="2" t="s">
        <v>114</v>
      </c>
      <c r="F31" s="2" t="s">
        <v>100</v>
      </c>
    </row>
    <row r="32" customFormat="false" ht="15" hidden="false" customHeight="false" outlineLevel="0" collapsed="false">
      <c r="A32" s="20" t="n">
        <v>45718</v>
      </c>
      <c r="B32" s="2" t="n">
        <v>20</v>
      </c>
      <c r="C32" s="2" t="s">
        <v>76</v>
      </c>
      <c r="D32" s="21" t="n">
        <v>676200</v>
      </c>
      <c r="E32" s="2" t="s">
        <v>114</v>
      </c>
      <c r="F32" s="2" t="s">
        <v>100</v>
      </c>
    </row>
    <row r="33" customFormat="false" ht="15" hidden="false" customHeight="false" outlineLevel="0" collapsed="false">
      <c r="A33" s="20" t="n">
        <v>45723</v>
      </c>
      <c r="B33" s="2" t="n">
        <v>7</v>
      </c>
      <c r="C33" s="2" t="s">
        <v>62</v>
      </c>
      <c r="D33" s="21" t="n">
        <v>135500</v>
      </c>
      <c r="E33" s="2" t="s">
        <v>114</v>
      </c>
      <c r="F33" s="2" t="s">
        <v>100</v>
      </c>
    </row>
    <row r="34" customFormat="false" ht="15" hidden="false" customHeight="false" outlineLevel="0" collapsed="false">
      <c r="A34" s="20" t="n">
        <v>45723</v>
      </c>
      <c r="B34" s="2" t="n">
        <v>10</v>
      </c>
      <c r="C34" s="2" t="s">
        <v>65</v>
      </c>
      <c r="D34" s="21" t="n">
        <v>169400</v>
      </c>
      <c r="E34" s="2" t="s">
        <v>114</v>
      </c>
      <c r="F34" s="2" t="s">
        <v>100</v>
      </c>
    </row>
    <row r="35" customFormat="false" ht="15" hidden="false" customHeight="false" outlineLevel="0" collapsed="false">
      <c r="A35" s="20" t="n">
        <v>45723</v>
      </c>
      <c r="B35" s="2" t="n">
        <v>19</v>
      </c>
      <c r="C35" s="2" t="s">
        <v>75</v>
      </c>
      <c r="D35" s="21" t="n">
        <v>276000</v>
      </c>
      <c r="E35" s="2" t="s">
        <v>114</v>
      </c>
      <c r="F35" s="2" t="s">
        <v>100</v>
      </c>
    </row>
    <row r="36" customFormat="false" ht="15" hidden="false" customHeight="false" outlineLevel="0" collapsed="false">
      <c r="A36" s="20" t="n">
        <v>45728</v>
      </c>
      <c r="B36" s="2" t="n">
        <v>13</v>
      </c>
      <c r="C36" s="2" t="s">
        <v>68</v>
      </c>
      <c r="D36" s="21" t="n">
        <v>155500</v>
      </c>
      <c r="E36" s="2" t="s">
        <v>114</v>
      </c>
      <c r="F36" s="2" t="s">
        <v>100</v>
      </c>
    </row>
    <row r="37" customFormat="false" ht="15" hidden="false" customHeight="false" outlineLevel="0" collapsed="false">
      <c r="A37" s="20" t="n">
        <v>45729</v>
      </c>
      <c r="B37" s="2" t="n">
        <v>17</v>
      </c>
      <c r="C37" s="2" t="s">
        <v>73</v>
      </c>
      <c r="D37" s="21" t="n">
        <v>145300</v>
      </c>
      <c r="E37" s="2" t="s">
        <v>114</v>
      </c>
      <c r="F37" s="2" t="s">
        <v>100</v>
      </c>
    </row>
    <row r="38" customFormat="false" ht="15" hidden="false" customHeight="false" outlineLevel="0" collapsed="false">
      <c r="A38" s="20" t="n">
        <v>45731</v>
      </c>
      <c r="B38" s="2" t="n">
        <v>6</v>
      </c>
      <c r="C38" s="2" t="s">
        <v>60</v>
      </c>
      <c r="D38" s="21" t="n">
        <v>164400</v>
      </c>
      <c r="E38" s="2" t="s">
        <v>114</v>
      </c>
      <c r="F38" s="2" t="s">
        <v>100</v>
      </c>
    </row>
    <row r="39" customFormat="false" ht="15" hidden="false" customHeight="false" outlineLevel="0" collapsed="false">
      <c r="A39" s="20" t="n">
        <v>45732</v>
      </c>
      <c r="B39" s="2" t="n">
        <v>4</v>
      </c>
      <c r="C39" s="2" t="s">
        <v>58</v>
      </c>
      <c r="D39" s="21" t="n">
        <v>445800</v>
      </c>
      <c r="E39" s="2" t="s">
        <v>114</v>
      </c>
      <c r="F39" s="2" t="s">
        <v>100</v>
      </c>
    </row>
    <row r="40" customFormat="false" ht="15" hidden="false" customHeight="false" outlineLevel="0" collapsed="false">
      <c r="A40" s="20" t="n">
        <v>45732</v>
      </c>
      <c r="B40" s="2" t="n">
        <v>14</v>
      </c>
      <c r="C40" s="2" t="s">
        <v>70</v>
      </c>
      <c r="D40" s="21" t="n">
        <v>374800</v>
      </c>
      <c r="E40" s="2" t="s">
        <v>114</v>
      </c>
      <c r="F40" s="2" t="s">
        <v>100</v>
      </c>
    </row>
    <row r="41" customFormat="false" ht="15" hidden="false" customHeight="false" outlineLevel="0" collapsed="false">
      <c r="A41" s="20" t="n">
        <v>45734</v>
      </c>
      <c r="B41" s="2" t="n">
        <v>3</v>
      </c>
      <c r="C41" s="2" t="s">
        <v>56</v>
      </c>
      <c r="D41" s="21" t="n">
        <v>429200</v>
      </c>
      <c r="E41" s="2" t="s">
        <v>114</v>
      </c>
      <c r="F41" s="2" t="s">
        <v>100</v>
      </c>
    </row>
    <row r="42" customFormat="false" ht="15" hidden="false" customHeight="false" outlineLevel="0" collapsed="false">
      <c r="A42" s="20" t="n">
        <v>45735</v>
      </c>
      <c r="B42" s="2" t="n">
        <v>21</v>
      </c>
      <c r="C42" s="2" t="s">
        <v>77</v>
      </c>
      <c r="D42" s="21" t="n">
        <v>216700</v>
      </c>
      <c r="E42" s="2" t="s">
        <v>114</v>
      </c>
      <c r="F42" s="2" t="s">
        <v>100</v>
      </c>
    </row>
    <row r="43" customFormat="false" ht="15" hidden="false" customHeight="false" outlineLevel="0" collapsed="false">
      <c r="A43" s="20" t="n">
        <v>45736</v>
      </c>
      <c r="B43" s="2" t="n">
        <v>15</v>
      </c>
      <c r="C43" s="2" t="s">
        <v>71</v>
      </c>
      <c r="D43" s="21" t="n">
        <v>474700</v>
      </c>
      <c r="E43" s="2" t="s">
        <v>114</v>
      </c>
      <c r="F43" s="2" t="s">
        <v>100</v>
      </c>
    </row>
    <row r="44" customFormat="false" ht="15" hidden="false" customHeight="false" outlineLevel="0" collapsed="false">
      <c r="A44" s="20" t="n">
        <v>45738</v>
      </c>
      <c r="B44" s="2" t="n">
        <v>19</v>
      </c>
      <c r="C44" s="2" t="s">
        <v>75</v>
      </c>
      <c r="D44" s="21" t="n">
        <v>311700</v>
      </c>
      <c r="E44" s="2" t="s">
        <v>114</v>
      </c>
      <c r="F44" s="2" t="s">
        <v>100</v>
      </c>
    </row>
    <row r="45" customFormat="false" ht="15" hidden="false" customHeight="false" outlineLevel="0" collapsed="false">
      <c r="A45" s="20" t="n">
        <v>45741</v>
      </c>
      <c r="B45" s="2" t="n">
        <v>1</v>
      </c>
      <c r="C45" s="2" t="s">
        <v>51</v>
      </c>
      <c r="D45" s="21" t="n">
        <v>309600</v>
      </c>
      <c r="E45" s="2" t="s">
        <v>114</v>
      </c>
      <c r="F45" s="2" t="s">
        <v>100</v>
      </c>
    </row>
    <row r="46" customFormat="false" ht="15" hidden="false" customHeight="false" outlineLevel="0" collapsed="false">
      <c r="A46" s="20" t="n">
        <v>45743</v>
      </c>
      <c r="B46" s="2" t="n">
        <v>5</v>
      </c>
      <c r="C46" s="2" t="s">
        <v>59</v>
      </c>
      <c r="D46" s="21" t="n">
        <v>695400</v>
      </c>
      <c r="E46" s="2" t="s">
        <v>114</v>
      </c>
      <c r="F46" s="2" t="s">
        <v>100</v>
      </c>
    </row>
    <row r="47" customFormat="false" ht="15" hidden="false" customHeight="false" outlineLevel="0" collapsed="false">
      <c r="A47" s="20" t="n">
        <v>45743</v>
      </c>
      <c r="B47" s="2" t="n">
        <v>7</v>
      </c>
      <c r="C47" s="2" t="s">
        <v>62</v>
      </c>
      <c r="D47" s="21" t="n">
        <v>125700</v>
      </c>
      <c r="E47" s="2" t="s">
        <v>114</v>
      </c>
      <c r="F47" s="2" t="s">
        <v>100</v>
      </c>
    </row>
    <row r="48" customFormat="false" ht="15" hidden="false" customHeight="false" outlineLevel="0" collapsed="false">
      <c r="A48" s="20" t="n">
        <v>45745</v>
      </c>
      <c r="B48" s="2" t="n">
        <v>10</v>
      </c>
      <c r="C48" s="2" t="s">
        <v>65</v>
      </c>
      <c r="D48" s="21" t="n">
        <v>177500</v>
      </c>
      <c r="E48" s="2" t="s">
        <v>114</v>
      </c>
      <c r="F48" s="2" t="s">
        <v>100</v>
      </c>
    </row>
    <row r="49" customFormat="false" ht="15" hidden="false" customHeight="false" outlineLevel="0" collapsed="false">
      <c r="A49" s="20" t="n">
        <v>45749</v>
      </c>
      <c r="B49" s="2" t="n">
        <v>20</v>
      </c>
      <c r="C49" s="2" t="s">
        <v>76</v>
      </c>
      <c r="D49" s="21" t="n">
        <v>546300</v>
      </c>
      <c r="E49" s="2" t="s">
        <v>114</v>
      </c>
      <c r="F49" s="2" t="s">
        <v>100</v>
      </c>
    </row>
    <row r="50" customFormat="false" ht="15" hidden="false" customHeight="false" outlineLevel="0" collapsed="false">
      <c r="A50" s="20" t="n">
        <v>45751</v>
      </c>
      <c r="B50" s="2" t="n">
        <v>3</v>
      </c>
      <c r="C50" s="2" t="s">
        <v>56</v>
      </c>
      <c r="D50" s="21" t="n">
        <v>391000</v>
      </c>
      <c r="E50" s="2" t="s">
        <v>114</v>
      </c>
      <c r="F50" s="2" t="s">
        <v>100</v>
      </c>
    </row>
    <row r="51" customFormat="false" ht="15" hidden="false" customHeight="false" outlineLevel="0" collapsed="false">
      <c r="A51" s="20" t="n">
        <v>45752</v>
      </c>
      <c r="B51" s="2" t="n">
        <v>13</v>
      </c>
      <c r="C51" s="2" t="s">
        <v>68</v>
      </c>
      <c r="D51" s="21" t="n">
        <v>130600</v>
      </c>
      <c r="E51" s="2" t="s">
        <v>114</v>
      </c>
      <c r="F51" s="2" t="s">
        <v>100</v>
      </c>
    </row>
    <row r="52" customFormat="false" ht="15" hidden="false" customHeight="false" outlineLevel="0" collapsed="false">
      <c r="A52" s="20" t="n">
        <v>45752</v>
      </c>
      <c r="B52" s="2" t="n">
        <v>19</v>
      </c>
      <c r="C52" s="2" t="s">
        <v>75</v>
      </c>
      <c r="D52" s="21" t="n">
        <v>247800</v>
      </c>
      <c r="E52" s="2" t="s">
        <v>114</v>
      </c>
      <c r="F52" s="2" t="s">
        <v>100</v>
      </c>
    </row>
    <row r="53" customFormat="false" ht="15" hidden="false" customHeight="false" outlineLevel="0" collapsed="false">
      <c r="A53" s="20" t="n">
        <v>45753</v>
      </c>
      <c r="B53" s="2" t="n">
        <v>17</v>
      </c>
      <c r="C53" s="2" t="s">
        <v>73</v>
      </c>
      <c r="D53" s="21" t="n">
        <v>158900</v>
      </c>
      <c r="E53" s="2" t="s">
        <v>114</v>
      </c>
      <c r="F53" s="2" t="s">
        <v>100</v>
      </c>
    </row>
    <row r="54" customFormat="false" ht="15" hidden="false" customHeight="false" outlineLevel="0" collapsed="false">
      <c r="A54" s="20" t="n">
        <v>45755</v>
      </c>
      <c r="B54" s="2" t="n">
        <v>6</v>
      </c>
      <c r="C54" s="2" t="s">
        <v>60</v>
      </c>
      <c r="D54" s="21" t="n">
        <v>160300</v>
      </c>
      <c r="E54" s="2" t="s">
        <v>114</v>
      </c>
      <c r="F54" s="2" t="s">
        <v>100</v>
      </c>
    </row>
    <row r="55" customFormat="false" ht="15" hidden="false" customHeight="false" outlineLevel="0" collapsed="false">
      <c r="A55" s="20" t="n">
        <v>45756</v>
      </c>
      <c r="B55" s="2" t="n">
        <v>21</v>
      </c>
      <c r="C55" s="2" t="s">
        <v>77</v>
      </c>
      <c r="D55" s="21" t="n">
        <v>245700</v>
      </c>
      <c r="E55" s="2" t="s">
        <v>114</v>
      </c>
      <c r="F55" s="2" t="s">
        <v>100</v>
      </c>
    </row>
    <row r="56" customFormat="false" ht="15" hidden="false" customHeight="false" outlineLevel="0" collapsed="false">
      <c r="A56" s="20" t="n">
        <v>45758</v>
      </c>
      <c r="B56" s="2" t="n">
        <v>14</v>
      </c>
      <c r="C56" s="2" t="s">
        <v>70</v>
      </c>
      <c r="D56" s="21" t="n">
        <v>345600</v>
      </c>
      <c r="E56" s="2" t="s">
        <v>114</v>
      </c>
      <c r="F56" s="2" t="s">
        <v>100</v>
      </c>
    </row>
    <row r="57" customFormat="false" ht="15" hidden="false" customHeight="false" outlineLevel="0" collapsed="false">
      <c r="A57" s="20" t="n">
        <v>45759</v>
      </c>
      <c r="B57" s="2" t="n">
        <v>4</v>
      </c>
      <c r="C57" s="2" t="s">
        <v>58</v>
      </c>
      <c r="D57" s="21" t="n">
        <v>459200</v>
      </c>
      <c r="E57" s="2" t="s">
        <v>114</v>
      </c>
      <c r="F57" s="2" t="s">
        <v>100</v>
      </c>
    </row>
    <row r="58" customFormat="false" ht="15" hidden="false" customHeight="false" outlineLevel="0" collapsed="false">
      <c r="A58" s="20" t="n">
        <v>45763</v>
      </c>
      <c r="B58" s="2" t="n">
        <v>7</v>
      </c>
      <c r="C58" s="2" t="s">
        <v>62</v>
      </c>
      <c r="D58" s="21" t="n">
        <v>135200</v>
      </c>
      <c r="E58" s="2" t="s">
        <v>114</v>
      </c>
      <c r="F58" s="2" t="s">
        <v>100</v>
      </c>
    </row>
    <row r="59" customFormat="false" ht="15" hidden="false" customHeight="false" outlineLevel="0" collapsed="false">
      <c r="A59" s="20" t="n">
        <v>45763</v>
      </c>
      <c r="B59" s="2" t="n">
        <v>15</v>
      </c>
      <c r="C59" s="2" t="s">
        <v>71</v>
      </c>
      <c r="D59" s="21" t="n">
        <v>469500</v>
      </c>
      <c r="E59" s="2" t="s">
        <v>114</v>
      </c>
      <c r="F59" s="2" t="s">
        <v>100</v>
      </c>
    </row>
    <row r="60" customFormat="false" ht="15" hidden="false" customHeight="false" outlineLevel="0" collapsed="false">
      <c r="A60" s="20" t="n">
        <v>45766</v>
      </c>
      <c r="B60" s="2" t="n">
        <v>10</v>
      </c>
      <c r="C60" s="2" t="s">
        <v>65</v>
      </c>
      <c r="D60" s="21" t="n">
        <v>175000</v>
      </c>
      <c r="E60" s="2" t="s">
        <v>114</v>
      </c>
      <c r="F60" s="2" t="s">
        <v>100</v>
      </c>
    </row>
    <row r="61" customFormat="false" ht="15" hidden="false" customHeight="false" outlineLevel="0" collapsed="false">
      <c r="A61" s="20" t="n">
        <v>45768</v>
      </c>
      <c r="B61" s="2" t="n">
        <v>1</v>
      </c>
      <c r="C61" s="2" t="s">
        <v>51</v>
      </c>
      <c r="D61" s="21" t="n">
        <v>209300</v>
      </c>
      <c r="E61" s="2" t="s">
        <v>114</v>
      </c>
      <c r="F61" s="2" t="s">
        <v>100</v>
      </c>
    </row>
    <row r="62" customFormat="false" ht="15" hidden="false" customHeight="false" outlineLevel="0" collapsed="false">
      <c r="A62" s="20" t="n">
        <v>45768</v>
      </c>
      <c r="B62" s="2" t="n">
        <v>19</v>
      </c>
      <c r="C62" s="2" t="s">
        <v>75</v>
      </c>
      <c r="D62" s="21" t="n">
        <v>478100</v>
      </c>
      <c r="E62" s="2" t="s">
        <v>114</v>
      </c>
      <c r="F62" s="2" t="s">
        <v>100</v>
      </c>
    </row>
    <row r="63" customFormat="false" ht="15" hidden="false" customHeight="false" outlineLevel="0" collapsed="false">
      <c r="A63" s="20" t="n">
        <v>45770</v>
      </c>
      <c r="B63" s="2" t="n">
        <v>3</v>
      </c>
      <c r="C63" s="2" t="s">
        <v>56</v>
      </c>
      <c r="D63" s="21" t="n">
        <v>490300</v>
      </c>
      <c r="E63" s="2" t="s">
        <v>114</v>
      </c>
      <c r="F63" s="2" t="s">
        <v>100</v>
      </c>
    </row>
    <row r="64" customFormat="false" ht="15" hidden="false" customHeight="false" outlineLevel="0" collapsed="false">
      <c r="A64" s="20" t="n">
        <v>45772</v>
      </c>
      <c r="B64" s="2" t="n">
        <v>5</v>
      </c>
      <c r="C64" s="2" t="s">
        <v>59</v>
      </c>
      <c r="D64" s="21" t="n">
        <v>680500</v>
      </c>
      <c r="E64" s="2" t="s">
        <v>114</v>
      </c>
      <c r="F64" s="2" t="s">
        <v>100</v>
      </c>
    </row>
    <row r="65" customFormat="false" ht="15" hidden="false" customHeight="false" outlineLevel="0" collapsed="false">
      <c r="A65" s="20" t="n">
        <v>45772</v>
      </c>
      <c r="B65" s="2" t="n">
        <v>21</v>
      </c>
      <c r="C65" s="2" t="s">
        <v>77</v>
      </c>
      <c r="D65" s="21" t="n">
        <v>147500</v>
      </c>
      <c r="E65" s="2" t="s">
        <v>114</v>
      </c>
      <c r="F65" s="2" t="s">
        <v>100</v>
      </c>
    </row>
    <row r="66" customFormat="false" ht="15" hidden="false" customHeight="false" outlineLevel="0" collapsed="false">
      <c r="A66" s="20" t="n">
        <v>45773</v>
      </c>
      <c r="B66" s="2" t="n">
        <v>6</v>
      </c>
      <c r="C66" s="2" t="s">
        <v>60</v>
      </c>
      <c r="D66" s="21" t="n">
        <v>105100</v>
      </c>
      <c r="E66" s="2" t="s">
        <v>114</v>
      </c>
      <c r="F66" s="2" t="s">
        <v>100</v>
      </c>
    </row>
    <row r="67" customFormat="false" ht="15" hidden="false" customHeight="false" outlineLevel="0" collapsed="false">
      <c r="A67" s="20" t="n">
        <v>45774</v>
      </c>
      <c r="B67" s="2" t="n">
        <v>20</v>
      </c>
      <c r="C67" s="2" t="s">
        <v>76</v>
      </c>
      <c r="D67" s="21" t="n">
        <v>488300</v>
      </c>
      <c r="E67" s="2" t="s">
        <v>114</v>
      </c>
      <c r="F67" s="2" t="s">
        <v>100</v>
      </c>
    </row>
    <row r="68" customFormat="false" ht="15" hidden="false" customHeight="false" outlineLevel="0" collapsed="false">
      <c r="A68" s="20" t="n">
        <v>45775</v>
      </c>
      <c r="B68" s="2" t="n">
        <v>13</v>
      </c>
      <c r="C68" s="2" t="s">
        <v>68</v>
      </c>
      <c r="D68" s="21" t="n">
        <v>117100</v>
      </c>
      <c r="E68" s="2" t="s">
        <v>114</v>
      </c>
      <c r="F68" s="2" t="s">
        <v>100</v>
      </c>
    </row>
    <row r="69" customFormat="false" ht="15" hidden="false" customHeight="false" outlineLevel="0" collapsed="false">
      <c r="A69" s="20" t="n">
        <v>45780</v>
      </c>
      <c r="B69" s="2" t="n">
        <v>17</v>
      </c>
      <c r="C69" s="2" t="s">
        <v>73</v>
      </c>
      <c r="D69" s="21" t="n">
        <v>161400</v>
      </c>
      <c r="E69" s="2" t="s">
        <v>114</v>
      </c>
      <c r="F69" s="2" t="s">
        <v>100</v>
      </c>
    </row>
    <row r="70" customFormat="false" ht="15" hidden="false" customHeight="false" outlineLevel="0" collapsed="false">
      <c r="A70" s="20" t="n">
        <v>45783</v>
      </c>
      <c r="B70" s="2" t="n">
        <v>4</v>
      </c>
      <c r="C70" s="2" t="s">
        <v>58</v>
      </c>
      <c r="D70" s="21" t="n">
        <v>443100</v>
      </c>
      <c r="E70" s="2" t="s">
        <v>114</v>
      </c>
      <c r="F70" s="2" t="s">
        <v>100</v>
      </c>
    </row>
    <row r="71" customFormat="false" ht="15" hidden="false" customHeight="false" outlineLevel="0" collapsed="false">
      <c r="A71" s="20" t="n">
        <v>45783</v>
      </c>
      <c r="B71" s="2" t="n">
        <v>7</v>
      </c>
      <c r="C71" s="2" t="s">
        <v>62</v>
      </c>
      <c r="D71" s="21" t="n">
        <v>91000</v>
      </c>
      <c r="E71" s="2" t="s">
        <v>114</v>
      </c>
      <c r="F71" s="2" t="s">
        <v>100</v>
      </c>
    </row>
    <row r="72" customFormat="false" ht="15" hidden="false" customHeight="false" outlineLevel="0" collapsed="false">
      <c r="A72" s="20" t="n">
        <v>45784</v>
      </c>
      <c r="B72" s="2" t="n">
        <v>19</v>
      </c>
      <c r="C72" s="2" t="s">
        <v>75</v>
      </c>
      <c r="D72" s="21" t="n">
        <v>418100</v>
      </c>
      <c r="E72" s="2" t="s">
        <v>114</v>
      </c>
      <c r="F72" s="2" t="s">
        <v>100</v>
      </c>
    </row>
    <row r="73" customFormat="false" ht="15" hidden="false" customHeight="false" outlineLevel="0" collapsed="false">
      <c r="A73" s="20" t="n">
        <v>45785</v>
      </c>
      <c r="B73" s="2" t="n">
        <v>14</v>
      </c>
      <c r="C73" s="2" t="s">
        <v>70</v>
      </c>
      <c r="D73" s="21" t="n">
        <v>327700</v>
      </c>
      <c r="E73" s="2" t="s">
        <v>114</v>
      </c>
      <c r="F73" s="2" t="s">
        <v>100</v>
      </c>
    </row>
    <row r="74" customFormat="false" ht="15" hidden="false" customHeight="false" outlineLevel="0" collapsed="false">
      <c r="A74" s="20" t="n">
        <v>45786</v>
      </c>
      <c r="B74" s="2" t="n">
        <v>15</v>
      </c>
      <c r="C74" s="2" t="s">
        <v>71</v>
      </c>
      <c r="D74" s="21" t="n">
        <v>501400</v>
      </c>
      <c r="E74" s="2" t="s">
        <v>114</v>
      </c>
      <c r="F74" s="2" t="s">
        <v>100</v>
      </c>
    </row>
    <row r="75" customFormat="false" ht="15" hidden="false" customHeight="false" outlineLevel="0" collapsed="false">
      <c r="A75" s="20" t="n">
        <v>45787</v>
      </c>
      <c r="B75" s="2" t="n">
        <v>21</v>
      </c>
      <c r="C75" s="2" t="s">
        <v>77</v>
      </c>
      <c r="D75" s="21" t="n">
        <v>172700</v>
      </c>
      <c r="E75" s="2" t="s">
        <v>114</v>
      </c>
      <c r="F75" s="2" t="s">
        <v>100</v>
      </c>
    </row>
    <row r="76" customFormat="false" ht="15" hidden="false" customHeight="false" outlineLevel="0" collapsed="false">
      <c r="A76" s="20" t="n">
        <v>45788</v>
      </c>
      <c r="B76" s="2" t="n">
        <v>10</v>
      </c>
      <c r="C76" s="2" t="s">
        <v>65</v>
      </c>
      <c r="D76" s="21" t="n">
        <v>111800</v>
      </c>
      <c r="E76" s="2" t="s">
        <v>114</v>
      </c>
      <c r="F76" s="2" t="s">
        <v>100</v>
      </c>
    </row>
    <row r="77" customFormat="false" ht="15" hidden="false" customHeight="false" outlineLevel="0" collapsed="false">
      <c r="A77" s="20" t="n">
        <v>45789</v>
      </c>
      <c r="B77" s="2" t="n">
        <v>3</v>
      </c>
      <c r="C77" s="2" t="s">
        <v>56</v>
      </c>
      <c r="D77" s="21" t="n">
        <v>136800</v>
      </c>
      <c r="E77" s="2" t="s">
        <v>114</v>
      </c>
      <c r="F77" s="2" t="s">
        <v>100</v>
      </c>
    </row>
    <row r="78" customFormat="false" ht="15" hidden="false" customHeight="false" outlineLevel="0" collapsed="false">
      <c r="A78" s="20" t="n">
        <v>45791</v>
      </c>
      <c r="B78" s="2" t="n">
        <v>1</v>
      </c>
      <c r="C78" s="2" t="s">
        <v>51</v>
      </c>
      <c r="D78" s="21" t="n">
        <v>208000</v>
      </c>
      <c r="E78" s="2" t="s">
        <v>114</v>
      </c>
      <c r="F78" s="2" t="s">
        <v>100</v>
      </c>
    </row>
    <row r="79" customFormat="false" ht="15" hidden="false" customHeight="false" outlineLevel="0" collapsed="false">
      <c r="A79" s="20" t="n">
        <v>45796</v>
      </c>
      <c r="B79" s="2" t="n">
        <v>6</v>
      </c>
      <c r="C79" s="2" t="s">
        <v>60</v>
      </c>
      <c r="D79" s="21" t="n">
        <v>144900</v>
      </c>
      <c r="E79" s="2" t="s">
        <v>114</v>
      </c>
      <c r="F79" s="2" t="s">
        <v>100</v>
      </c>
    </row>
    <row r="80" customFormat="false" ht="15" hidden="false" customHeight="false" outlineLevel="0" collapsed="false">
      <c r="A80" s="20" t="n">
        <v>45797</v>
      </c>
      <c r="B80" s="2" t="n">
        <v>13</v>
      </c>
      <c r="C80" s="2" t="s">
        <v>68</v>
      </c>
      <c r="D80" s="21" t="n">
        <v>63700</v>
      </c>
      <c r="E80" s="2" t="s">
        <v>114</v>
      </c>
      <c r="F80" s="2" t="s">
        <v>100</v>
      </c>
    </row>
    <row r="81" customFormat="false" ht="15" hidden="false" customHeight="false" outlineLevel="0" collapsed="false">
      <c r="A81" s="20" t="n">
        <v>45799</v>
      </c>
      <c r="B81" s="2" t="n">
        <v>5</v>
      </c>
      <c r="C81" s="2" t="s">
        <v>59</v>
      </c>
      <c r="D81" s="21" t="n">
        <v>601600</v>
      </c>
      <c r="E81" s="2" t="s">
        <v>114</v>
      </c>
      <c r="F81" s="2" t="s">
        <v>100</v>
      </c>
    </row>
    <row r="82" customFormat="false" ht="15" hidden="false" customHeight="false" outlineLevel="0" collapsed="false">
      <c r="A82" s="20" t="n">
        <v>45799</v>
      </c>
      <c r="B82" s="2" t="n">
        <v>20</v>
      </c>
      <c r="C82" s="2" t="s">
        <v>76</v>
      </c>
      <c r="D82" s="21" t="n">
        <v>525600</v>
      </c>
      <c r="E82" s="2" t="s">
        <v>114</v>
      </c>
      <c r="F82" s="2" t="s">
        <v>100</v>
      </c>
    </row>
    <row r="83" customFormat="false" ht="15" hidden="false" customHeight="false" outlineLevel="0" collapsed="false">
      <c r="A83" s="20" t="n">
        <v>45801</v>
      </c>
      <c r="B83" s="2" t="n">
        <v>17</v>
      </c>
      <c r="C83" s="2" t="s">
        <v>73</v>
      </c>
      <c r="D83" s="21" t="n">
        <v>150700</v>
      </c>
      <c r="E83" s="2" t="s">
        <v>114</v>
      </c>
      <c r="F83" s="2" t="s">
        <v>100</v>
      </c>
    </row>
    <row r="84" customFormat="false" ht="15" hidden="false" customHeight="false" outlineLevel="0" collapsed="false">
      <c r="A84" s="20" t="n">
        <v>45801</v>
      </c>
      <c r="B84" s="2" t="n">
        <v>19</v>
      </c>
      <c r="C84" s="2" t="s">
        <v>75</v>
      </c>
      <c r="D84" s="21" t="n">
        <v>564700</v>
      </c>
      <c r="E84" s="2" t="s">
        <v>114</v>
      </c>
      <c r="F84" s="2" t="s">
        <v>100</v>
      </c>
    </row>
    <row r="85" customFormat="false" ht="15" hidden="false" customHeight="false" outlineLevel="0" collapsed="false">
      <c r="A85" s="20" t="n">
        <v>45803</v>
      </c>
      <c r="B85" s="2" t="n">
        <v>21</v>
      </c>
      <c r="C85" s="2" t="s">
        <v>77</v>
      </c>
      <c r="D85" s="21" t="n">
        <v>79100</v>
      </c>
      <c r="E85" s="2" t="s">
        <v>114</v>
      </c>
      <c r="F85" s="2" t="s">
        <v>100</v>
      </c>
    </row>
    <row r="86" customFormat="false" ht="15" hidden="false" customHeight="false" outlineLevel="0" collapsed="false">
      <c r="A86" s="20" t="n">
        <v>45805</v>
      </c>
      <c r="B86" s="2" t="n">
        <v>7</v>
      </c>
      <c r="C86" s="2" t="s">
        <v>62</v>
      </c>
      <c r="D86" s="21" t="n">
        <v>149400</v>
      </c>
      <c r="E86" s="2" t="s">
        <v>114</v>
      </c>
      <c r="F86" s="2" t="s">
        <v>100</v>
      </c>
    </row>
    <row r="87" customFormat="false" ht="15" hidden="false" customHeight="false" outlineLevel="0" collapsed="false">
      <c r="A87" s="20" t="n">
        <v>45807</v>
      </c>
      <c r="B87" s="2" t="n">
        <v>4</v>
      </c>
      <c r="C87" s="2" t="s">
        <v>58</v>
      </c>
      <c r="D87" s="21" t="n">
        <v>377600</v>
      </c>
      <c r="E87" s="2" t="s">
        <v>114</v>
      </c>
      <c r="F87" s="2" t="s">
        <v>100</v>
      </c>
    </row>
    <row r="88" customFormat="false" ht="15" hidden="false" customHeight="false" outlineLevel="0" collapsed="false">
      <c r="A88" s="20" t="n">
        <v>45808</v>
      </c>
      <c r="B88" s="2" t="n">
        <v>14</v>
      </c>
      <c r="C88" s="2" t="s">
        <v>70</v>
      </c>
      <c r="D88" s="21" t="n">
        <v>372700</v>
      </c>
      <c r="E88" s="2" t="s">
        <v>114</v>
      </c>
      <c r="F88" s="2" t="s">
        <v>100</v>
      </c>
    </row>
    <row r="89" customFormat="false" ht="15" hidden="false" customHeight="false" outlineLevel="0" collapsed="false">
      <c r="A89" s="20" t="n">
        <v>45809</v>
      </c>
      <c r="B89" s="2" t="n">
        <v>10</v>
      </c>
      <c r="C89" s="2" t="s">
        <v>65</v>
      </c>
      <c r="D89" s="21" t="n">
        <v>106200</v>
      </c>
      <c r="E89" s="2" t="s">
        <v>17</v>
      </c>
      <c r="F89" s="2" t="s">
        <v>108</v>
      </c>
    </row>
    <row r="90" customFormat="false" ht="15" hidden="false" customHeight="false" outlineLevel="0" collapsed="false">
      <c r="A90" s="20" t="n">
        <v>45809</v>
      </c>
      <c r="B90" s="2" t="n">
        <v>15</v>
      </c>
      <c r="C90" s="2" t="s">
        <v>71</v>
      </c>
      <c r="D90" s="21" t="n">
        <v>415500</v>
      </c>
      <c r="E90" s="2" t="s">
        <v>17</v>
      </c>
      <c r="F90" s="2" t="s">
        <v>108</v>
      </c>
    </row>
    <row r="91" customFormat="false" ht="15" hidden="false" customHeight="false" outlineLevel="0" collapsed="false">
      <c r="A91" s="20" t="n">
        <v>45809</v>
      </c>
      <c r="B91" s="2" t="n">
        <v>23</v>
      </c>
      <c r="C91" s="2" t="s">
        <v>80</v>
      </c>
      <c r="D91" s="21" t="n">
        <v>100300</v>
      </c>
      <c r="E91" s="2" t="s">
        <v>17</v>
      </c>
      <c r="F91" s="2" t="s">
        <v>108</v>
      </c>
    </row>
    <row r="92" customFormat="false" ht="15" hidden="false" customHeight="false" outlineLevel="0" collapsed="false">
      <c r="A92" s="20" t="n">
        <v>45811</v>
      </c>
      <c r="B92" s="2" t="n">
        <v>12</v>
      </c>
      <c r="C92" s="2" t="s">
        <v>67</v>
      </c>
      <c r="D92" s="21" t="n">
        <v>83200</v>
      </c>
      <c r="E92" s="2" t="s">
        <v>89</v>
      </c>
      <c r="F92" s="2" t="s">
        <v>108</v>
      </c>
    </row>
    <row r="93" customFormat="false" ht="15" hidden="false" customHeight="false" outlineLevel="0" collapsed="false">
      <c r="A93" s="20" t="n">
        <v>45812</v>
      </c>
      <c r="B93" s="2" t="n">
        <v>3</v>
      </c>
      <c r="C93" s="2" t="s">
        <v>56</v>
      </c>
      <c r="D93" s="21" t="n">
        <v>480600</v>
      </c>
      <c r="E93" s="2" t="s">
        <v>17</v>
      </c>
      <c r="F93" s="2" t="s">
        <v>108</v>
      </c>
    </row>
    <row r="94" customFormat="false" ht="15" hidden="false" customHeight="false" outlineLevel="0" collapsed="false">
      <c r="A94" s="20" t="n">
        <v>45812</v>
      </c>
      <c r="B94" s="2" t="n">
        <v>8</v>
      </c>
      <c r="C94" s="2" t="s">
        <v>63</v>
      </c>
      <c r="D94" s="21" t="n">
        <v>144300</v>
      </c>
      <c r="E94" s="2" t="s">
        <v>17</v>
      </c>
      <c r="F94" s="2" t="s">
        <v>108</v>
      </c>
    </row>
    <row r="95" customFormat="false" ht="15" hidden="false" customHeight="false" outlineLevel="0" collapsed="false">
      <c r="A95" s="20" t="n">
        <v>45812</v>
      </c>
      <c r="B95" s="2" t="n">
        <v>9</v>
      </c>
      <c r="C95" s="2" t="s">
        <v>64</v>
      </c>
      <c r="D95" s="21" t="n">
        <v>63600</v>
      </c>
      <c r="E95" s="2" t="s">
        <v>89</v>
      </c>
      <c r="F95" s="2" t="s">
        <v>108</v>
      </c>
    </row>
    <row r="96" customFormat="false" ht="15" hidden="false" customHeight="false" outlineLevel="0" collapsed="false">
      <c r="A96" s="20" t="n">
        <v>45812</v>
      </c>
      <c r="B96" s="2" t="n">
        <v>11</v>
      </c>
      <c r="C96" s="2" t="s">
        <v>66</v>
      </c>
      <c r="D96" s="21" t="n">
        <v>141900</v>
      </c>
      <c r="E96" s="2" t="s">
        <v>17</v>
      </c>
      <c r="F96" s="2" t="s">
        <v>108</v>
      </c>
    </row>
    <row r="97" customFormat="false" ht="15" hidden="false" customHeight="false" outlineLevel="0" collapsed="false">
      <c r="A97" s="20" t="n">
        <v>45812</v>
      </c>
      <c r="B97" s="2" t="n">
        <v>16</v>
      </c>
      <c r="C97" s="2" t="s">
        <v>72</v>
      </c>
      <c r="D97" s="21" t="n">
        <v>72100</v>
      </c>
      <c r="E97" s="2" t="s">
        <v>89</v>
      </c>
      <c r="F97" s="2" t="s">
        <v>108</v>
      </c>
    </row>
    <row r="98" customFormat="false" ht="15" hidden="false" customHeight="false" outlineLevel="0" collapsed="false">
      <c r="A98" s="20" t="n">
        <v>45812</v>
      </c>
      <c r="B98" s="2" t="n">
        <v>18</v>
      </c>
      <c r="C98" s="2" t="s">
        <v>74</v>
      </c>
      <c r="D98" s="21" t="n">
        <v>65900</v>
      </c>
      <c r="E98" s="2" t="s">
        <v>17</v>
      </c>
      <c r="F98" s="2" t="s">
        <v>108</v>
      </c>
    </row>
    <row r="99" customFormat="false" ht="15" hidden="false" customHeight="false" outlineLevel="0" collapsed="false">
      <c r="A99" s="20" t="n">
        <v>45814</v>
      </c>
      <c r="B99" s="2" t="n">
        <v>2</v>
      </c>
      <c r="C99" s="2" t="s">
        <v>54</v>
      </c>
      <c r="D99" s="21" t="n">
        <v>42100</v>
      </c>
      <c r="E99" s="2" t="s">
        <v>17</v>
      </c>
      <c r="F99" s="2" t="s">
        <v>108</v>
      </c>
    </row>
    <row r="100" customFormat="false" ht="15" hidden="false" customHeight="false" outlineLevel="0" collapsed="false">
      <c r="A100" s="20" t="n">
        <v>45814</v>
      </c>
      <c r="B100" s="2" t="n">
        <v>23</v>
      </c>
      <c r="C100" s="2" t="s">
        <v>80</v>
      </c>
      <c r="D100" s="21" t="n">
        <v>74900</v>
      </c>
      <c r="E100" s="2" t="s">
        <v>17</v>
      </c>
      <c r="F100" s="2" t="s">
        <v>108</v>
      </c>
    </row>
    <row r="101" customFormat="false" ht="15" hidden="false" customHeight="false" outlineLevel="0" collapsed="false">
      <c r="A101" s="20" t="n">
        <v>45815</v>
      </c>
      <c r="B101" s="2" t="n">
        <v>22</v>
      </c>
      <c r="C101" s="2" t="s">
        <v>79</v>
      </c>
      <c r="D101" s="21" t="n">
        <v>186900</v>
      </c>
      <c r="E101" s="2" t="s">
        <v>17</v>
      </c>
      <c r="F101" s="2" t="s">
        <v>108</v>
      </c>
    </row>
    <row r="102" customFormat="false" ht="15" hidden="false" customHeight="false" outlineLevel="0" collapsed="false">
      <c r="A102" s="20" t="n">
        <v>45816</v>
      </c>
      <c r="B102" s="2" t="n">
        <v>8</v>
      </c>
      <c r="C102" s="2" t="s">
        <v>63</v>
      </c>
      <c r="D102" s="21" t="n">
        <v>110700</v>
      </c>
      <c r="E102" s="2" t="s">
        <v>17</v>
      </c>
      <c r="F102" s="2" t="s">
        <v>108</v>
      </c>
    </row>
    <row r="103" customFormat="false" ht="15" hidden="false" customHeight="false" outlineLevel="0" collapsed="false">
      <c r="A103" s="20" t="n">
        <v>45816</v>
      </c>
      <c r="B103" s="2" t="n">
        <v>19</v>
      </c>
      <c r="C103" s="2" t="s">
        <v>75</v>
      </c>
      <c r="D103" s="21" t="n">
        <v>329500</v>
      </c>
      <c r="E103" s="2" t="s">
        <v>89</v>
      </c>
      <c r="F103" s="2" t="s">
        <v>108</v>
      </c>
    </row>
    <row r="104" customFormat="false" ht="15" hidden="false" customHeight="false" outlineLevel="0" collapsed="false">
      <c r="A104" s="20" t="n">
        <v>45818</v>
      </c>
      <c r="B104" s="2" t="n">
        <v>18</v>
      </c>
      <c r="C104" s="2" t="s">
        <v>74</v>
      </c>
      <c r="D104" s="21" t="n">
        <v>73100</v>
      </c>
      <c r="E104" s="2" t="s">
        <v>17</v>
      </c>
      <c r="F104" s="2" t="s">
        <v>108</v>
      </c>
    </row>
    <row r="105" customFormat="false" ht="15" hidden="false" customHeight="false" outlineLevel="0" collapsed="false">
      <c r="A105" s="20" t="n">
        <v>45818</v>
      </c>
      <c r="B105" s="2" t="n">
        <v>22</v>
      </c>
      <c r="C105" s="2" t="s">
        <v>79</v>
      </c>
      <c r="D105" s="21" t="n">
        <v>130700</v>
      </c>
      <c r="E105" s="2" t="s">
        <v>89</v>
      </c>
      <c r="F105" s="2" t="s">
        <v>108</v>
      </c>
    </row>
    <row r="106" customFormat="false" ht="15" hidden="false" customHeight="false" outlineLevel="0" collapsed="false">
      <c r="A106" s="20" t="n">
        <v>45819</v>
      </c>
      <c r="B106" s="2" t="n">
        <v>1</v>
      </c>
      <c r="C106" s="2" t="s">
        <v>51</v>
      </c>
      <c r="D106" s="21" t="n">
        <v>376900</v>
      </c>
      <c r="E106" s="2" t="s">
        <v>89</v>
      </c>
      <c r="F106" s="2" t="s">
        <v>108</v>
      </c>
    </row>
    <row r="107" customFormat="false" ht="15" hidden="false" customHeight="false" outlineLevel="0" collapsed="false">
      <c r="A107" s="20" t="n">
        <v>45819</v>
      </c>
      <c r="B107" s="2" t="n">
        <v>6</v>
      </c>
      <c r="C107" s="2" t="s">
        <v>60</v>
      </c>
      <c r="D107" s="21" t="n">
        <v>199100</v>
      </c>
      <c r="E107" s="2" t="s">
        <v>89</v>
      </c>
      <c r="F107" s="2" t="s">
        <v>108</v>
      </c>
    </row>
    <row r="108" customFormat="false" ht="15" hidden="false" customHeight="false" outlineLevel="0" collapsed="false">
      <c r="A108" s="20" t="n">
        <v>45819</v>
      </c>
      <c r="B108" s="2" t="n">
        <v>23</v>
      </c>
      <c r="C108" s="2" t="s">
        <v>80</v>
      </c>
      <c r="D108" s="21" t="n">
        <v>96300</v>
      </c>
      <c r="E108" s="2" t="s">
        <v>17</v>
      </c>
      <c r="F108" s="2" t="s">
        <v>108</v>
      </c>
    </row>
    <row r="109" customFormat="false" ht="15" hidden="false" customHeight="false" outlineLevel="0" collapsed="false">
      <c r="A109" s="20" t="n">
        <v>45820</v>
      </c>
      <c r="B109" s="2" t="n">
        <v>2</v>
      </c>
      <c r="C109" s="2" t="s">
        <v>54</v>
      </c>
      <c r="D109" s="21" t="n">
        <v>60500</v>
      </c>
      <c r="E109" s="2" t="s">
        <v>17</v>
      </c>
      <c r="F109" s="2" t="s">
        <v>108</v>
      </c>
    </row>
    <row r="110" customFormat="false" ht="15" hidden="false" customHeight="false" outlineLevel="0" collapsed="false">
      <c r="A110" s="20" t="n">
        <v>45820</v>
      </c>
      <c r="B110" s="2" t="n">
        <v>8</v>
      </c>
      <c r="C110" s="2" t="s">
        <v>63</v>
      </c>
      <c r="D110" s="21" t="n">
        <v>145200</v>
      </c>
      <c r="E110" s="2" t="s">
        <v>17</v>
      </c>
      <c r="F110" s="2" t="s">
        <v>108</v>
      </c>
    </row>
    <row r="111" customFormat="false" ht="15" hidden="false" customHeight="false" outlineLevel="0" collapsed="false">
      <c r="A111" s="20" t="n">
        <v>45820</v>
      </c>
      <c r="B111" s="2" t="n">
        <v>11</v>
      </c>
      <c r="C111" s="2" t="s">
        <v>66</v>
      </c>
      <c r="D111" s="21" t="n">
        <v>116500</v>
      </c>
      <c r="E111" s="2" t="s">
        <v>89</v>
      </c>
      <c r="F111" s="2" t="s">
        <v>108</v>
      </c>
    </row>
    <row r="112" customFormat="false" ht="15" hidden="false" customHeight="false" outlineLevel="0" collapsed="false">
      <c r="A112" s="20" t="n">
        <v>45820</v>
      </c>
      <c r="B112" s="2" t="n">
        <v>12</v>
      </c>
      <c r="C112" s="2" t="s">
        <v>67</v>
      </c>
      <c r="D112" s="21" t="n">
        <v>83700</v>
      </c>
      <c r="E112" s="2" t="s">
        <v>17</v>
      </c>
      <c r="F112" s="2" t="s">
        <v>108</v>
      </c>
    </row>
    <row r="113" customFormat="false" ht="15" hidden="false" customHeight="false" outlineLevel="0" collapsed="false">
      <c r="A113" s="20" t="n">
        <v>45820</v>
      </c>
      <c r="B113" s="2" t="n">
        <v>16</v>
      </c>
      <c r="C113" s="2" t="s">
        <v>72</v>
      </c>
      <c r="D113" s="21" t="n">
        <v>72300</v>
      </c>
      <c r="E113" s="2" t="s">
        <v>17</v>
      </c>
      <c r="F113" s="2" t="s">
        <v>108</v>
      </c>
    </row>
    <row r="114" customFormat="false" ht="15" hidden="false" customHeight="false" outlineLevel="0" collapsed="false">
      <c r="A114" s="20" t="n">
        <v>45821</v>
      </c>
      <c r="B114" s="2" t="n">
        <v>9</v>
      </c>
      <c r="C114" s="2" t="s">
        <v>64</v>
      </c>
      <c r="D114" s="21" t="n">
        <v>45800</v>
      </c>
      <c r="E114" s="2" t="s">
        <v>17</v>
      </c>
      <c r="F114" s="2" t="s">
        <v>108</v>
      </c>
    </row>
    <row r="115" customFormat="false" ht="15" hidden="false" customHeight="false" outlineLevel="0" collapsed="false">
      <c r="A115" s="20" t="n">
        <v>45821</v>
      </c>
      <c r="B115" s="2" t="n">
        <v>22</v>
      </c>
      <c r="C115" s="2" t="s">
        <v>79</v>
      </c>
      <c r="D115" s="21" t="n">
        <v>199100</v>
      </c>
      <c r="E115" s="2" t="s">
        <v>17</v>
      </c>
      <c r="F115" s="2" t="s">
        <v>108</v>
      </c>
    </row>
    <row r="116" customFormat="false" ht="15" hidden="false" customHeight="false" outlineLevel="0" collapsed="false">
      <c r="A116" s="20" t="n">
        <v>45822</v>
      </c>
      <c r="B116" s="2" t="n">
        <v>13</v>
      </c>
      <c r="C116" s="2" t="s">
        <v>68</v>
      </c>
      <c r="D116" s="21" t="n">
        <v>165600</v>
      </c>
      <c r="E116" s="2" t="s">
        <v>89</v>
      </c>
      <c r="F116" s="2" t="s">
        <v>108</v>
      </c>
    </row>
    <row r="117" customFormat="false" ht="15" hidden="false" customHeight="false" outlineLevel="0" collapsed="false">
      <c r="A117" s="20" t="n">
        <v>45822</v>
      </c>
      <c r="B117" s="2" t="n">
        <v>21</v>
      </c>
      <c r="C117" s="2" t="s">
        <v>77</v>
      </c>
      <c r="D117" s="21" t="n">
        <v>198400</v>
      </c>
      <c r="E117" s="2" t="s">
        <v>89</v>
      </c>
      <c r="F117" s="2" t="s">
        <v>108</v>
      </c>
    </row>
    <row r="118" customFormat="false" ht="15" hidden="false" customHeight="false" outlineLevel="0" collapsed="false">
      <c r="A118" s="20" t="n">
        <v>45825</v>
      </c>
      <c r="B118" s="2" t="n">
        <v>7</v>
      </c>
      <c r="C118" s="2" t="s">
        <v>62</v>
      </c>
      <c r="D118" s="21" t="n">
        <v>151500</v>
      </c>
      <c r="E118" s="2" t="s">
        <v>89</v>
      </c>
      <c r="F118" s="2" t="s">
        <v>108</v>
      </c>
    </row>
    <row r="119" customFormat="false" ht="15" hidden="false" customHeight="false" outlineLevel="0" collapsed="false">
      <c r="A119" s="20" t="n">
        <v>45826</v>
      </c>
      <c r="B119" s="2" t="n">
        <v>11</v>
      </c>
      <c r="C119" s="2" t="s">
        <v>66</v>
      </c>
      <c r="D119" s="21" t="n">
        <v>133100</v>
      </c>
      <c r="E119" s="2" t="s">
        <v>17</v>
      </c>
      <c r="F119" s="2" t="s">
        <v>108</v>
      </c>
    </row>
    <row r="120" customFormat="false" ht="15" hidden="false" customHeight="false" outlineLevel="0" collapsed="false">
      <c r="A120" s="20" t="n">
        <v>45827</v>
      </c>
      <c r="B120" s="2" t="n">
        <v>22</v>
      </c>
      <c r="C120" s="2" t="s">
        <v>79</v>
      </c>
      <c r="D120" s="21" t="n">
        <v>188500</v>
      </c>
      <c r="E120" s="2" t="s">
        <v>17</v>
      </c>
      <c r="F120" s="2" t="s">
        <v>108</v>
      </c>
    </row>
    <row r="121" customFormat="false" ht="15" hidden="false" customHeight="false" outlineLevel="0" collapsed="false">
      <c r="A121" s="20" t="n">
        <v>45827</v>
      </c>
      <c r="B121" s="2" t="n">
        <v>23</v>
      </c>
      <c r="C121" s="2" t="s">
        <v>80</v>
      </c>
      <c r="D121" s="21" t="n">
        <v>102800</v>
      </c>
      <c r="E121" s="2" t="s">
        <v>17</v>
      </c>
      <c r="F121" s="2" t="s">
        <v>108</v>
      </c>
    </row>
    <row r="122" customFormat="false" ht="15" hidden="false" customHeight="false" outlineLevel="0" collapsed="false">
      <c r="A122" s="20" t="n">
        <v>45828</v>
      </c>
      <c r="B122" s="2" t="n">
        <v>2</v>
      </c>
      <c r="C122" s="2" t="s">
        <v>54</v>
      </c>
      <c r="D122" s="21" t="n">
        <v>63700</v>
      </c>
      <c r="E122" s="2" t="s">
        <v>89</v>
      </c>
      <c r="F122" s="2" t="s">
        <v>108</v>
      </c>
    </row>
    <row r="123" customFormat="false" ht="15" hidden="false" customHeight="false" outlineLevel="0" collapsed="false">
      <c r="A123" s="20" t="n">
        <v>45828</v>
      </c>
      <c r="B123" s="2" t="n">
        <v>4</v>
      </c>
      <c r="C123" s="2" t="s">
        <v>58</v>
      </c>
      <c r="D123" s="21" t="n">
        <v>418200</v>
      </c>
      <c r="E123" s="2" t="s">
        <v>89</v>
      </c>
      <c r="F123" s="2" t="s">
        <v>108</v>
      </c>
    </row>
    <row r="124" customFormat="false" ht="15" hidden="false" customHeight="false" outlineLevel="0" collapsed="false">
      <c r="A124" s="20" t="n">
        <v>45828</v>
      </c>
      <c r="B124" s="2" t="n">
        <v>8</v>
      </c>
      <c r="C124" s="2" t="s">
        <v>63</v>
      </c>
      <c r="D124" s="21" t="n">
        <v>150000</v>
      </c>
      <c r="E124" s="2" t="s">
        <v>89</v>
      </c>
      <c r="F124" s="2" t="s">
        <v>108</v>
      </c>
    </row>
    <row r="125" customFormat="false" ht="15" hidden="false" customHeight="false" outlineLevel="0" collapsed="false">
      <c r="A125" s="20" t="n">
        <v>45828</v>
      </c>
      <c r="B125" s="2" t="n">
        <v>9</v>
      </c>
      <c r="C125" s="2" t="s">
        <v>64</v>
      </c>
      <c r="D125" s="21" t="n">
        <v>68200</v>
      </c>
      <c r="E125" s="2" t="s">
        <v>89</v>
      </c>
      <c r="F125" s="2" t="s">
        <v>108</v>
      </c>
    </row>
    <row r="126" customFormat="false" ht="15" hidden="false" customHeight="false" outlineLevel="0" collapsed="false">
      <c r="A126" s="20" t="n">
        <v>45828</v>
      </c>
      <c r="B126" s="2" t="n">
        <v>16</v>
      </c>
      <c r="C126" s="2" t="s">
        <v>72</v>
      </c>
      <c r="D126" s="21" t="n">
        <v>95300</v>
      </c>
      <c r="E126" s="2" t="s">
        <v>17</v>
      </c>
      <c r="F126" s="2" t="s">
        <v>108</v>
      </c>
    </row>
    <row r="127" customFormat="false" ht="15" hidden="false" customHeight="false" outlineLevel="0" collapsed="false">
      <c r="A127" s="20" t="n">
        <v>45828</v>
      </c>
      <c r="B127" s="2" t="n">
        <v>17</v>
      </c>
      <c r="C127" s="2" t="s">
        <v>73</v>
      </c>
      <c r="D127" s="21" t="n">
        <v>204200</v>
      </c>
      <c r="E127" s="2" t="s">
        <v>89</v>
      </c>
      <c r="F127" s="2" t="s">
        <v>108</v>
      </c>
    </row>
    <row r="128" customFormat="false" ht="15" hidden="false" customHeight="false" outlineLevel="0" collapsed="false">
      <c r="A128" s="20" t="n">
        <v>45829</v>
      </c>
      <c r="B128" s="2" t="n">
        <v>12</v>
      </c>
      <c r="C128" s="2" t="s">
        <v>67</v>
      </c>
      <c r="D128" s="21" t="n">
        <v>107500</v>
      </c>
      <c r="E128" s="2" t="s">
        <v>89</v>
      </c>
      <c r="F128" s="2" t="s">
        <v>108</v>
      </c>
    </row>
    <row r="129" customFormat="false" ht="15" hidden="false" customHeight="false" outlineLevel="0" collapsed="false">
      <c r="A129" s="20" t="n">
        <v>45830</v>
      </c>
      <c r="B129" s="2" t="n">
        <v>3</v>
      </c>
      <c r="C129" s="2" t="s">
        <v>56</v>
      </c>
      <c r="D129" s="21" t="n">
        <v>445500</v>
      </c>
      <c r="E129" s="2" t="s">
        <v>89</v>
      </c>
      <c r="F129" s="2" t="s">
        <v>108</v>
      </c>
    </row>
    <row r="130" customFormat="false" ht="15" hidden="false" customHeight="false" outlineLevel="0" collapsed="false">
      <c r="A130" s="20" t="n">
        <v>45830</v>
      </c>
      <c r="B130" s="2" t="n">
        <v>5</v>
      </c>
      <c r="C130" s="2" t="s">
        <v>59</v>
      </c>
      <c r="D130" s="21" t="n">
        <v>720300</v>
      </c>
      <c r="E130" s="2" t="s">
        <v>89</v>
      </c>
      <c r="F130" s="2" t="s">
        <v>108</v>
      </c>
    </row>
    <row r="131" customFormat="false" ht="15" hidden="false" customHeight="false" outlineLevel="0" collapsed="false">
      <c r="A131" s="20" t="n">
        <v>45830</v>
      </c>
      <c r="B131" s="2" t="n">
        <v>10</v>
      </c>
      <c r="C131" s="2" t="s">
        <v>65</v>
      </c>
      <c r="D131" s="21" t="n">
        <v>180500</v>
      </c>
      <c r="E131" s="2" t="s">
        <v>89</v>
      </c>
      <c r="F131" s="2" t="s">
        <v>108</v>
      </c>
    </row>
    <row r="132" customFormat="false" ht="15" hidden="false" customHeight="false" outlineLevel="0" collapsed="false">
      <c r="A132" s="20" t="n">
        <v>45830</v>
      </c>
      <c r="B132" s="2" t="n">
        <v>14</v>
      </c>
      <c r="C132" s="2" t="s">
        <v>70</v>
      </c>
      <c r="D132" s="21" t="n">
        <v>285000</v>
      </c>
      <c r="E132" s="2" t="s">
        <v>17</v>
      </c>
      <c r="F132" s="2" t="s">
        <v>108</v>
      </c>
    </row>
    <row r="133" customFormat="false" ht="15" hidden="false" customHeight="false" outlineLevel="0" collapsed="false">
      <c r="A133" s="20" t="n">
        <v>45830</v>
      </c>
      <c r="B133" s="2" t="n">
        <v>18</v>
      </c>
      <c r="C133" s="2" t="s">
        <v>74</v>
      </c>
      <c r="D133" s="21" t="n">
        <v>65700</v>
      </c>
      <c r="E133" s="2" t="s">
        <v>17</v>
      </c>
      <c r="F133" s="2" t="s">
        <v>108</v>
      </c>
    </row>
    <row r="134" customFormat="false" ht="15" hidden="false" customHeight="false" outlineLevel="0" collapsed="false">
      <c r="A134" s="20" t="n">
        <v>45830</v>
      </c>
      <c r="B134" s="2" t="n">
        <v>19</v>
      </c>
      <c r="C134" s="2" t="s">
        <v>75</v>
      </c>
      <c r="D134" s="21" t="n">
        <v>377100</v>
      </c>
      <c r="E134" s="2" t="s">
        <v>89</v>
      </c>
      <c r="F134" s="2" t="s">
        <v>108</v>
      </c>
    </row>
    <row r="135" customFormat="false" ht="15" hidden="false" customHeight="false" outlineLevel="0" collapsed="false">
      <c r="A135" s="20" t="n">
        <v>45830</v>
      </c>
      <c r="B135" s="2" t="n">
        <v>23</v>
      </c>
      <c r="C135" s="2" t="s">
        <v>80</v>
      </c>
      <c r="D135" s="21" t="n">
        <v>96200</v>
      </c>
      <c r="E135" s="2" t="s">
        <v>17</v>
      </c>
      <c r="F135" s="2" t="s">
        <v>108</v>
      </c>
    </row>
    <row r="136" customFormat="false" ht="15" hidden="false" customHeight="false" outlineLevel="0" collapsed="false">
      <c r="A136" s="20" t="n">
        <v>45831</v>
      </c>
      <c r="B136" s="2" t="n">
        <v>20</v>
      </c>
      <c r="C136" s="2" t="s">
        <v>76</v>
      </c>
      <c r="D136" s="21" t="n">
        <v>427000</v>
      </c>
      <c r="E136" s="2" t="s">
        <v>17</v>
      </c>
      <c r="F136" s="2" t="s">
        <v>108</v>
      </c>
    </row>
    <row r="137" customFormat="false" ht="15" hidden="false" customHeight="false" outlineLevel="0" collapsed="false">
      <c r="A137" s="20" t="n">
        <v>45832</v>
      </c>
      <c r="B137" s="2" t="n">
        <v>8</v>
      </c>
      <c r="C137" s="2" t="s">
        <v>63</v>
      </c>
      <c r="D137" s="21" t="n">
        <v>129500</v>
      </c>
      <c r="E137" s="2" t="s">
        <v>17</v>
      </c>
      <c r="F137" s="2" t="s">
        <v>108</v>
      </c>
    </row>
    <row r="138" customFormat="false" ht="15" hidden="false" customHeight="false" outlineLevel="0" collapsed="false">
      <c r="A138" s="20" t="n">
        <v>45832</v>
      </c>
      <c r="B138" s="2" t="n">
        <v>11</v>
      </c>
      <c r="C138" s="2" t="s">
        <v>66</v>
      </c>
      <c r="D138" s="21" t="n">
        <v>142000</v>
      </c>
      <c r="E138" s="2" t="s">
        <v>17</v>
      </c>
      <c r="F138" s="2" t="s">
        <v>108</v>
      </c>
    </row>
    <row r="139" customFormat="false" ht="15" hidden="false" customHeight="false" outlineLevel="0" collapsed="false">
      <c r="A139" s="20" t="n">
        <v>45832</v>
      </c>
      <c r="B139" s="2" t="n">
        <v>15</v>
      </c>
      <c r="C139" s="2" t="s">
        <v>71</v>
      </c>
      <c r="D139" s="21" t="n">
        <v>423900</v>
      </c>
      <c r="E139" s="2" t="s">
        <v>17</v>
      </c>
      <c r="F139" s="2" t="s">
        <v>108</v>
      </c>
    </row>
    <row r="140" customFormat="false" ht="15" hidden="false" customHeight="false" outlineLevel="0" collapsed="false">
      <c r="A140" s="20" t="n">
        <v>45834</v>
      </c>
      <c r="B140" s="2" t="n">
        <v>8</v>
      </c>
      <c r="C140" s="2" t="s">
        <v>63</v>
      </c>
      <c r="D140" s="21" t="n">
        <v>125100</v>
      </c>
      <c r="E140" s="2" t="s">
        <v>17</v>
      </c>
      <c r="F140" s="2" t="s">
        <v>108</v>
      </c>
    </row>
    <row r="141" customFormat="false" ht="15" hidden="false" customHeight="false" outlineLevel="0" collapsed="false">
      <c r="A141" s="20" t="n">
        <v>45835</v>
      </c>
      <c r="B141" s="2" t="n">
        <v>2</v>
      </c>
      <c r="C141" s="2" t="s">
        <v>54</v>
      </c>
      <c r="D141" s="21" t="n">
        <v>47400</v>
      </c>
      <c r="E141" s="2" t="s">
        <v>17</v>
      </c>
      <c r="F141" s="2" t="s">
        <v>108</v>
      </c>
    </row>
    <row r="142" customFormat="false" ht="15" hidden="false" customHeight="false" outlineLevel="0" collapsed="false">
      <c r="A142" s="20" t="n">
        <v>45835</v>
      </c>
      <c r="B142" s="2" t="n">
        <v>9</v>
      </c>
      <c r="C142" s="2" t="s">
        <v>64</v>
      </c>
      <c r="D142" s="21" t="n">
        <v>46700</v>
      </c>
      <c r="E142" s="2" t="s">
        <v>17</v>
      </c>
      <c r="F142" s="2" t="s">
        <v>108</v>
      </c>
    </row>
    <row r="143" customFormat="false" ht="15" hidden="false" customHeight="false" outlineLevel="0" collapsed="false">
      <c r="A143" s="20" t="n">
        <v>45835</v>
      </c>
      <c r="B143" s="2" t="n">
        <v>16</v>
      </c>
      <c r="C143" s="2" t="s">
        <v>72</v>
      </c>
      <c r="D143" s="21" t="n">
        <v>76100</v>
      </c>
      <c r="E143" s="2" t="s">
        <v>17</v>
      </c>
      <c r="F143" s="2" t="s">
        <v>108</v>
      </c>
    </row>
    <row r="144" customFormat="false" ht="15" hidden="false" customHeight="false" outlineLevel="0" collapsed="false">
      <c r="A144" s="20" t="n">
        <v>45835</v>
      </c>
      <c r="B144" s="2" t="n">
        <v>22</v>
      </c>
      <c r="C144" s="2" t="s">
        <v>79</v>
      </c>
      <c r="D144" s="21" t="n">
        <v>188600</v>
      </c>
      <c r="E144" s="2" t="s">
        <v>17</v>
      </c>
      <c r="F144" s="2" t="s">
        <v>108</v>
      </c>
    </row>
    <row r="145" customFormat="false" ht="15" hidden="false" customHeight="false" outlineLevel="0" collapsed="false">
      <c r="A145" s="20" t="n">
        <v>45835</v>
      </c>
      <c r="B145" s="2" t="n">
        <v>23</v>
      </c>
      <c r="C145" s="2" t="s">
        <v>80</v>
      </c>
      <c r="D145" s="21" t="n">
        <v>107600</v>
      </c>
      <c r="E145" s="2" t="s">
        <v>89</v>
      </c>
      <c r="F145" s="2" t="s">
        <v>108</v>
      </c>
    </row>
    <row r="146" customFormat="false" ht="15" hidden="false" customHeight="false" outlineLevel="0" collapsed="false">
      <c r="A146" s="20" t="n">
        <v>45836</v>
      </c>
      <c r="B146" s="2" t="n">
        <v>18</v>
      </c>
      <c r="C146" s="2" t="s">
        <v>74</v>
      </c>
      <c r="D146" s="21" t="n">
        <v>55200</v>
      </c>
      <c r="E146" s="2" t="s">
        <v>17</v>
      </c>
      <c r="F146" s="2" t="s">
        <v>108</v>
      </c>
    </row>
    <row r="147" customFormat="false" ht="15" hidden="false" customHeight="false" outlineLevel="0" collapsed="false">
      <c r="A147" s="20" t="n">
        <v>45839</v>
      </c>
      <c r="B147" s="2" t="n">
        <v>11</v>
      </c>
      <c r="C147" s="2" t="s">
        <v>66</v>
      </c>
      <c r="D147" s="21" t="n">
        <v>108900</v>
      </c>
      <c r="E147" s="2" t="s">
        <v>17</v>
      </c>
      <c r="F147" s="2" t="s">
        <v>108</v>
      </c>
    </row>
    <row r="148" customFormat="false" ht="15" hidden="false" customHeight="false" outlineLevel="0" collapsed="false">
      <c r="A148" s="20" t="n">
        <v>45839</v>
      </c>
      <c r="B148" s="2" t="n">
        <v>22</v>
      </c>
      <c r="C148" s="2" t="s">
        <v>79</v>
      </c>
      <c r="D148" s="21" t="n">
        <v>151000</v>
      </c>
      <c r="E148" s="2" t="s">
        <v>89</v>
      </c>
      <c r="F148" s="2" t="s">
        <v>108</v>
      </c>
    </row>
    <row r="149" customFormat="false" ht="15" hidden="false" customHeight="false" outlineLevel="0" collapsed="false">
      <c r="A149" s="20" t="n">
        <v>45841</v>
      </c>
      <c r="B149" s="2" t="n">
        <v>16</v>
      </c>
      <c r="C149" s="2" t="s">
        <v>72</v>
      </c>
      <c r="D149" s="21" t="n">
        <v>68300</v>
      </c>
      <c r="E149" s="2" t="s">
        <v>89</v>
      </c>
      <c r="F149" s="2" t="s">
        <v>108</v>
      </c>
    </row>
    <row r="150" customFormat="false" ht="15" hidden="false" customHeight="false" outlineLevel="0" collapsed="false">
      <c r="A150" s="20" t="n">
        <v>45841</v>
      </c>
      <c r="B150" s="2" t="n">
        <v>18</v>
      </c>
      <c r="C150" s="2" t="s">
        <v>74</v>
      </c>
      <c r="D150" s="21" t="n">
        <v>55100</v>
      </c>
      <c r="E150" s="2" t="s">
        <v>17</v>
      </c>
      <c r="F150" s="2" t="s">
        <v>108</v>
      </c>
    </row>
    <row r="151" customFormat="false" ht="15" hidden="false" customHeight="false" outlineLevel="0" collapsed="false">
      <c r="A151" s="20" t="n">
        <v>45842</v>
      </c>
      <c r="B151" s="2" t="n">
        <v>2</v>
      </c>
      <c r="C151" s="2" t="s">
        <v>54</v>
      </c>
      <c r="D151" s="21" t="n">
        <v>48400</v>
      </c>
      <c r="E151" s="2" t="s">
        <v>89</v>
      </c>
      <c r="F151" s="2" t="s">
        <v>108</v>
      </c>
    </row>
    <row r="152" customFormat="false" ht="15" hidden="false" customHeight="false" outlineLevel="0" collapsed="false">
      <c r="A152" s="20" t="n">
        <v>45842</v>
      </c>
      <c r="B152" s="2" t="n">
        <v>8</v>
      </c>
      <c r="C152" s="2" t="s">
        <v>63</v>
      </c>
      <c r="D152" s="21" t="n">
        <v>123800</v>
      </c>
      <c r="E152" s="2" t="s">
        <v>17</v>
      </c>
      <c r="F152" s="2" t="s">
        <v>108</v>
      </c>
    </row>
    <row r="153" customFormat="false" ht="15" hidden="false" customHeight="false" outlineLevel="0" collapsed="false">
      <c r="A153" s="20" t="n">
        <v>45843</v>
      </c>
      <c r="B153" s="2" t="n">
        <v>23</v>
      </c>
      <c r="C153" s="2" t="s">
        <v>80</v>
      </c>
      <c r="D153" s="21" t="n">
        <v>82000</v>
      </c>
      <c r="E153" s="2" t="s">
        <v>17</v>
      </c>
      <c r="F153" s="2" t="s">
        <v>108</v>
      </c>
    </row>
    <row r="154" customFormat="false" ht="15" hidden="false" customHeight="false" outlineLevel="0" collapsed="false">
      <c r="A154" s="20" t="n">
        <v>45844</v>
      </c>
      <c r="B154" s="2" t="n">
        <v>8</v>
      </c>
      <c r="C154" s="2" t="s">
        <v>63</v>
      </c>
      <c r="D154" s="21" t="n">
        <v>156600</v>
      </c>
      <c r="E154" s="2" t="s">
        <v>89</v>
      </c>
      <c r="F154" s="2" t="s">
        <v>108</v>
      </c>
    </row>
    <row r="155" customFormat="false" ht="15" hidden="false" customHeight="false" outlineLevel="0" collapsed="false">
      <c r="A155" s="20" t="n">
        <v>45844</v>
      </c>
      <c r="B155" s="2" t="n">
        <v>9</v>
      </c>
      <c r="C155" s="2" t="s">
        <v>64</v>
      </c>
      <c r="D155" s="21" t="n">
        <v>65300</v>
      </c>
      <c r="E155" s="2" t="s">
        <v>17</v>
      </c>
      <c r="F155" s="2" t="s">
        <v>108</v>
      </c>
    </row>
    <row r="156" customFormat="false" ht="15" hidden="false" customHeight="false" outlineLevel="0" collapsed="false">
      <c r="A156" s="20" t="n">
        <v>45844</v>
      </c>
      <c r="B156" s="2" t="n">
        <v>21</v>
      </c>
      <c r="C156" s="2" t="s">
        <v>77</v>
      </c>
      <c r="D156" s="21" t="n">
        <v>203100</v>
      </c>
      <c r="E156" s="2" t="s">
        <v>17</v>
      </c>
      <c r="F156" s="2" t="s">
        <v>108</v>
      </c>
    </row>
    <row r="157" customFormat="false" ht="15" hidden="false" customHeight="false" outlineLevel="0" collapsed="false">
      <c r="A157" s="20" t="n">
        <v>45844</v>
      </c>
      <c r="B157" s="2" t="n">
        <v>22</v>
      </c>
      <c r="C157" s="2" t="s">
        <v>79</v>
      </c>
      <c r="D157" s="21" t="n">
        <v>181300</v>
      </c>
      <c r="E157" s="2" t="s">
        <v>89</v>
      </c>
      <c r="F157" s="2" t="s">
        <v>108</v>
      </c>
    </row>
    <row r="158" customFormat="false" ht="15" hidden="false" customHeight="false" outlineLevel="0" collapsed="false">
      <c r="A158" s="20" t="n">
        <v>45845</v>
      </c>
      <c r="B158" s="2" t="n">
        <v>6</v>
      </c>
      <c r="C158" s="2" t="s">
        <v>60</v>
      </c>
      <c r="D158" s="21" t="n">
        <v>115600</v>
      </c>
      <c r="E158" s="2" t="s">
        <v>89</v>
      </c>
      <c r="F158" s="2" t="s">
        <v>108</v>
      </c>
    </row>
    <row r="159" customFormat="false" ht="15" hidden="false" customHeight="false" outlineLevel="0" collapsed="false">
      <c r="A159" s="20" t="n">
        <v>45845</v>
      </c>
      <c r="B159" s="2" t="n">
        <v>19</v>
      </c>
      <c r="C159" s="2" t="s">
        <v>75</v>
      </c>
      <c r="D159" s="21" t="n">
        <v>448500</v>
      </c>
      <c r="E159" s="2" t="s">
        <v>89</v>
      </c>
      <c r="F159" s="2" t="s">
        <v>108</v>
      </c>
    </row>
    <row r="160" customFormat="false" ht="15" hidden="false" customHeight="false" outlineLevel="0" collapsed="false">
      <c r="A160" s="20" t="n">
        <v>45847</v>
      </c>
      <c r="B160" s="2" t="n">
        <v>1</v>
      </c>
      <c r="C160" s="2" t="s">
        <v>51</v>
      </c>
      <c r="D160" s="21" t="n">
        <v>447700</v>
      </c>
      <c r="E160" s="2" t="s">
        <v>89</v>
      </c>
      <c r="F160" s="2" t="s">
        <v>108</v>
      </c>
    </row>
    <row r="161" customFormat="false" ht="15" hidden="false" customHeight="false" outlineLevel="0" collapsed="false">
      <c r="A161" s="20" t="n">
        <v>45847</v>
      </c>
      <c r="B161" s="2" t="n">
        <v>13</v>
      </c>
      <c r="C161" s="2" t="s">
        <v>68</v>
      </c>
      <c r="D161" s="21" t="n">
        <v>53000</v>
      </c>
      <c r="E161" s="2" t="s">
        <v>17</v>
      </c>
      <c r="F161" s="2" t="s">
        <v>108</v>
      </c>
    </row>
    <row r="162" customFormat="false" ht="15" hidden="false" customHeight="false" outlineLevel="0" collapsed="false">
      <c r="A162" s="20" t="n">
        <v>45847</v>
      </c>
      <c r="B162" s="2" t="n">
        <v>22</v>
      </c>
      <c r="C162" s="2" t="s">
        <v>79</v>
      </c>
      <c r="D162" s="21" t="n">
        <v>181800</v>
      </c>
      <c r="E162" s="2" t="s">
        <v>17</v>
      </c>
      <c r="F162" s="2" t="s">
        <v>108</v>
      </c>
    </row>
    <row r="163" customFormat="false" ht="15" hidden="false" customHeight="false" outlineLevel="0" collapsed="false">
      <c r="A163" s="20" t="n">
        <v>45848</v>
      </c>
      <c r="B163" s="2" t="n">
        <v>2</v>
      </c>
      <c r="C163" s="2" t="s">
        <v>54</v>
      </c>
      <c r="D163" s="21" t="n">
        <v>52400</v>
      </c>
      <c r="E163" s="2" t="s">
        <v>89</v>
      </c>
      <c r="F163" s="2" t="s">
        <v>108</v>
      </c>
    </row>
    <row r="164" customFormat="false" ht="15" hidden="false" customHeight="false" outlineLevel="0" collapsed="false">
      <c r="A164" s="20" t="n">
        <v>45848</v>
      </c>
      <c r="B164" s="2" t="n">
        <v>8</v>
      </c>
      <c r="C164" s="2" t="s">
        <v>63</v>
      </c>
      <c r="D164" s="21" t="n">
        <v>142500</v>
      </c>
      <c r="E164" s="2" t="s">
        <v>89</v>
      </c>
      <c r="F164" s="2" t="s">
        <v>108</v>
      </c>
    </row>
    <row r="165" customFormat="false" ht="15" hidden="false" customHeight="false" outlineLevel="0" collapsed="false">
      <c r="A165" s="20" t="n">
        <v>45848</v>
      </c>
      <c r="B165" s="2" t="n">
        <v>16</v>
      </c>
      <c r="C165" s="2" t="s">
        <v>72</v>
      </c>
      <c r="D165" s="21" t="n">
        <v>102400</v>
      </c>
      <c r="E165" s="2" t="s">
        <v>17</v>
      </c>
      <c r="F165" s="2" t="s">
        <v>108</v>
      </c>
    </row>
    <row r="166" customFormat="false" ht="15" hidden="false" customHeight="false" outlineLevel="0" collapsed="false">
      <c r="A166" s="20" t="n">
        <v>45848</v>
      </c>
      <c r="B166" s="2" t="n">
        <v>23</v>
      </c>
      <c r="C166" s="2" t="s">
        <v>80</v>
      </c>
      <c r="D166" s="21" t="n">
        <v>72900</v>
      </c>
      <c r="E166" s="2" t="s">
        <v>17</v>
      </c>
      <c r="F166" s="2" t="s">
        <v>108</v>
      </c>
    </row>
    <row r="167" customFormat="false" ht="15" hidden="false" customHeight="false" outlineLevel="0" collapsed="false">
      <c r="A167" s="20" t="n">
        <v>45849</v>
      </c>
      <c r="B167" s="2" t="n">
        <v>3</v>
      </c>
      <c r="C167" s="2" t="s">
        <v>56</v>
      </c>
      <c r="D167" s="21" t="n">
        <v>399100</v>
      </c>
      <c r="E167" s="2" t="s">
        <v>89</v>
      </c>
      <c r="F167" s="2" t="s">
        <v>108</v>
      </c>
    </row>
    <row r="168" customFormat="false" ht="15" hidden="false" customHeight="false" outlineLevel="0" collapsed="false">
      <c r="A168" s="20" t="n">
        <v>45849</v>
      </c>
      <c r="B168" s="2" t="n">
        <v>7</v>
      </c>
      <c r="C168" s="2" t="s">
        <v>62</v>
      </c>
      <c r="D168" s="21" t="n">
        <v>133200</v>
      </c>
      <c r="E168" s="2" t="s">
        <v>115</v>
      </c>
      <c r="F168" s="2" t="s">
        <v>108</v>
      </c>
    </row>
    <row r="169" customFormat="false" ht="15" hidden="false" customHeight="false" outlineLevel="0" collapsed="false">
      <c r="A169" s="20" t="n">
        <v>45850</v>
      </c>
      <c r="B169" s="2" t="n">
        <v>17</v>
      </c>
      <c r="C169" s="2" t="s">
        <v>73</v>
      </c>
      <c r="D169" s="21" t="n">
        <v>181600</v>
      </c>
      <c r="E169" s="2" t="s">
        <v>89</v>
      </c>
      <c r="F169" s="2" t="s">
        <v>108</v>
      </c>
    </row>
    <row r="170" customFormat="false" ht="15" hidden="false" customHeight="false" outlineLevel="0" collapsed="false">
      <c r="A170" s="20" t="n">
        <v>45850</v>
      </c>
      <c r="B170" s="2" t="n">
        <v>18</v>
      </c>
      <c r="C170" s="2" t="s">
        <v>74</v>
      </c>
      <c r="D170" s="21" t="n">
        <v>45300</v>
      </c>
      <c r="E170" s="2" t="s">
        <v>17</v>
      </c>
      <c r="F170" s="2" t="s">
        <v>108</v>
      </c>
    </row>
    <row r="171" customFormat="false" ht="15" hidden="false" customHeight="false" outlineLevel="0" collapsed="false">
      <c r="A171" s="20" t="n">
        <v>45851</v>
      </c>
      <c r="B171" s="2" t="n">
        <v>10</v>
      </c>
      <c r="C171" s="2" t="s">
        <v>65</v>
      </c>
      <c r="D171" s="21" t="n">
        <v>213900</v>
      </c>
      <c r="E171" s="2" t="s">
        <v>89</v>
      </c>
      <c r="F171" s="2" t="s">
        <v>108</v>
      </c>
    </row>
    <row r="172" customFormat="false" ht="15" hidden="false" customHeight="false" outlineLevel="0" collapsed="false">
      <c r="A172" s="20" t="n">
        <v>45853</v>
      </c>
      <c r="B172" s="2" t="n">
        <v>9</v>
      </c>
      <c r="C172" s="2" t="s">
        <v>64</v>
      </c>
      <c r="D172" s="21" t="n">
        <v>75200</v>
      </c>
      <c r="E172" s="2" t="s">
        <v>17</v>
      </c>
      <c r="F172" s="2" t="s">
        <v>108</v>
      </c>
    </row>
    <row r="173" customFormat="false" ht="15" hidden="false" customHeight="false" outlineLevel="0" collapsed="false">
      <c r="A173" s="20" t="n">
        <v>45853</v>
      </c>
      <c r="B173" s="2" t="n">
        <v>11</v>
      </c>
      <c r="C173" s="2" t="s">
        <v>66</v>
      </c>
      <c r="D173" s="21" t="n">
        <v>132500</v>
      </c>
      <c r="E173" s="2" t="s">
        <v>17</v>
      </c>
      <c r="F173" s="2" t="s">
        <v>108</v>
      </c>
    </row>
    <row r="174" customFormat="false" ht="15" hidden="false" customHeight="false" outlineLevel="0" collapsed="false">
      <c r="A174" s="20" t="n">
        <v>45853</v>
      </c>
      <c r="B174" s="2" t="n">
        <v>12</v>
      </c>
      <c r="C174" s="2" t="s">
        <v>67</v>
      </c>
      <c r="D174" s="21" t="n">
        <v>95100</v>
      </c>
      <c r="E174" s="2" t="s">
        <v>17</v>
      </c>
      <c r="F174" s="2" t="s">
        <v>108</v>
      </c>
    </row>
    <row r="175" customFormat="false" ht="15" hidden="false" customHeight="false" outlineLevel="0" collapsed="false">
      <c r="A175" s="20" t="n">
        <v>45853</v>
      </c>
      <c r="B175" s="2" t="n">
        <v>14</v>
      </c>
      <c r="C175" s="2" t="s">
        <v>70</v>
      </c>
      <c r="D175" s="21" t="n">
        <v>358100</v>
      </c>
      <c r="E175" s="2" t="s">
        <v>17</v>
      </c>
      <c r="F175" s="2" t="s">
        <v>108</v>
      </c>
    </row>
    <row r="176" customFormat="false" ht="15" hidden="false" customHeight="false" outlineLevel="0" collapsed="false">
      <c r="A176" s="20" t="n">
        <v>45854</v>
      </c>
      <c r="B176" s="2" t="n">
        <v>2</v>
      </c>
      <c r="C176" s="2" t="s">
        <v>54</v>
      </c>
      <c r="D176" s="21" t="n">
        <v>54500</v>
      </c>
      <c r="E176" s="2" t="s">
        <v>89</v>
      </c>
      <c r="F176" s="2" t="s">
        <v>108</v>
      </c>
    </row>
    <row r="177" customFormat="false" ht="15" hidden="false" customHeight="false" outlineLevel="0" collapsed="false">
      <c r="A177" s="20" t="n">
        <v>45854</v>
      </c>
      <c r="B177" s="2" t="n">
        <v>4</v>
      </c>
      <c r="C177" s="2" t="s">
        <v>58</v>
      </c>
      <c r="D177" s="21" t="n">
        <v>477200</v>
      </c>
      <c r="E177" s="2" t="s">
        <v>89</v>
      </c>
      <c r="F177" s="2" t="s">
        <v>108</v>
      </c>
    </row>
    <row r="178" customFormat="false" ht="15" hidden="false" customHeight="false" outlineLevel="0" collapsed="false">
      <c r="A178" s="20" t="n">
        <v>45854</v>
      </c>
      <c r="B178" s="2" t="n">
        <v>18</v>
      </c>
      <c r="C178" s="2" t="s">
        <v>74</v>
      </c>
      <c r="D178" s="21" t="n">
        <v>65700</v>
      </c>
      <c r="E178" s="2" t="s">
        <v>17</v>
      </c>
      <c r="F178" s="2" t="s">
        <v>108</v>
      </c>
    </row>
    <row r="179" customFormat="false" ht="15" hidden="false" customHeight="false" outlineLevel="0" collapsed="false">
      <c r="A179" s="20" t="n">
        <v>45855</v>
      </c>
      <c r="B179" s="2" t="n">
        <v>22</v>
      </c>
      <c r="C179" s="2" t="s">
        <v>79</v>
      </c>
      <c r="D179" s="21" t="n">
        <v>159200</v>
      </c>
      <c r="E179" s="2" t="s">
        <v>17</v>
      </c>
      <c r="F179" s="2" t="s">
        <v>108</v>
      </c>
    </row>
    <row r="180" customFormat="false" ht="15" hidden="false" customHeight="false" outlineLevel="0" collapsed="false">
      <c r="A180" s="20" t="n">
        <v>45855</v>
      </c>
      <c r="B180" s="2" t="n">
        <v>23</v>
      </c>
      <c r="C180" s="2" t="s">
        <v>80</v>
      </c>
      <c r="D180" s="21" t="n">
        <v>72900</v>
      </c>
      <c r="E180" s="2" t="s">
        <v>89</v>
      </c>
      <c r="F180" s="2" t="s">
        <v>108</v>
      </c>
    </row>
    <row r="181" customFormat="false" ht="15" hidden="false" customHeight="false" outlineLevel="0" collapsed="false">
      <c r="A181" s="20" t="n">
        <v>45856</v>
      </c>
      <c r="B181" s="2" t="n">
        <v>8</v>
      </c>
      <c r="C181" s="2" t="s">
        <v>63</v>
      </c>
      <c r="D181" s="21" t="n">
        <v>116800</v>
      </c>
      <c r="E181" s="2" t="s">
        <v>17</v>
      </c>
      <c r="F181" s="2" t="s">
        <v>108</v>
      </c>
    </row>
    <row r="182" customFormat="false" ht="15" hidden="false" customHeight="false" outlineLevel="0" collapsed="false">
      <c r="A182" s="20" t="n">
        <v>45856</v>
      </c>
      <c r="B182" s="2" t="n">
        <v>16</v>
      </c>
      <c r="C182" s="2" t="s">
        <v>72</v>
      </c>
      <c r="D182" s="21" t="n">
        <v>93100</v>
      </c>
      <c r="E182" s="2" t="s">
        <v>17</v>
      </c>
      <c r="F182" s="2" t="s">
        <v>108</v>
      </c>
    </row>
    <row r="183" customFormat="false" ht="15" hidden="false" customHeight="false" outlineLevel="0" collapsed="false">
      <c r="A183" s="20" t="n">
        <v>45857</v>
      </c>
      <c r="B183" s="2" t="n">
        <v>5</v>
      </c>
      <c r="C183" s="2" t="s">
        <v>59</v>
      </c>
      <c r="D183" s="21" t="n">
        <v>396800</v>
      </c>
      <c r="E183" s="2" t="s">
        <v>89</v>
      </c>
      <c r="F183" s="2" t="s">
        <v>108</v>
      </c>
    </row>
    <row r="184" customFormat="false" ht="15" hidden="false" customHeight="false" outlineLevel="0" collapsed="false">
      <c r="A184" s="20" t="n">
        <v>45857</v>
      </c>
      <c r="B184" s="2" t="n">
        <v>15</v>
      </c>
      <c r="C184" s="2" t="s">
        <v>71</v>
      </c>
      <c r="D184" s="21" t="n">
        <v>386800</v>
      </c>
      <c r="E184" s="2" t="s">
        <v>17</v>
      </c>
      <c r="F184" s="2" t="s">
        <v>108</v>
      </c>
    </row>
    <row r="185" customFormat="false" ht="15" hidden="false" customHeight="false" outlineLevel="0" collapsed="false">
      <c r="A185" s="20" t="n">
        <v>45860</v>
      </c>
      <c r="B185" s="2" t="n">
        <v>8</v>
      </c>
      <c r="C185" s="2" t="s">
        <v>63</v>
      </c>
      <c r="D185" s="21" t="n">
        <v>132200</v>
      </c>
      <c r="E185" s="2" t="s">
        <v>17</v>
      </c>
      <c r="F185" s="2" t="s">
        <v>108</v>
      </c>
    </row>
    <row r="186" customFormat="false" ht="15" hidden="false" customHeight="false" outlineLevel="0" collapsed="false">
      <c r="A186" s="20" t="n">
        <v>45860</v>
      </c>
      <c r="B186" s="2" t="n">
        <v>11</v>
      </c>
      <c r="C186" s="2" t="s">
        <v>66</v>
      </c>
      <c r="D186" s="21" t="n">
        <v>101800</v>
      </c>
      <c r="E186" s="2" t="s">
        <v>89</v>
      </c>
      <c r="F186" s="2" t="s">
        <v>108</v>
      </c>
    </row>
    <row r="187" customFormat="false" ht="15" hidden="false" customHeight="false" outlineLevel="0" collapsed="false">
      <c r="A187" s="20" t="n">
        <v>45860</v>
      </c>
      <c r="B187" s="2" t="n">
        <v>19</v>
      </c>
      <c r="C187" s="2" t="s">
        <v>75</v>
      </c>
      <c r="D187" s="21" t="n">
        <v>377900</v>
      </c>
      <c r="E187" s="2" t="s">
        <v>89</v>
      </c>
      <c r="F187" s="2" t="s">
        <v>108</v>
      </c>
    </row>
    <row r="188" customFormat="false" ht="15" hidden="false" customHeight="false" outlineLevel="0" collapsed="false">
      <c r="A188" s="20" t="n">
        <v>45860</v>
      </c>
      <c r="B188" s="2" t="n">
        <v>23</v>
      </c>
      <c r="C188" s="2" t="s">
        <v>80</v>
      </c>
      <c r="D188" s="21" t="n">
        <v>93300</v>
      </c>
      <c r="E188" s="2" t="s">
        <v>17</v>
      </c>
      <c r="F188" s="2" t="s">
        <v>108</v>
      </c>
    </row>
    <row r="189" customFormat="false" ht="15" hidden="false" customHeight="false" outlineLevel="0" collapsed="false">
      <c r="A189" s="20" t="n">
        <v>45862</v>
      </c>
      <c r="B189" s="2" t="n">
        <v>2</v>
      </c>
      <c r="C189" s="2" t="s">
        <v>54</v>
      </c>
      <c r="D189" s="21" t="n">
        <v>57400</v>
      </c>
      <c r="E189" s="2" t="s">
        <v>17</v>
      </c>
      <c r="F189" s="2" t="s">
        <v>108</v>
      </c>
    </row>
    <row r="190" customFormat="false" ht="15" hidden="false" customHeight="false" outlineLevel="0" collapsed="false">
      <c r="A190" s="20" t="n">
        <v>45862</v>
      </c>
      <c r="B190" s="2" t="n">
        <v>9</v>
      </c>
      <c r="C190" s="2" t="s">
        <v>64</v>
      </c>
      <c r="D190" s="21" t="n">
        <v>74700</v>
      </c>
      <c r="E190" s="2" t="s">
        <v>89</v>
      </c>
      <c r="F190" s="2" t="s">
        <v>108</v>
      </c>
    </row>
    <row r="191" customFormat="false" ht="15" hidden="false" customHeight="false" outlineLevel="0" collapsed="false">
      <c r="A191" s="20" t="n">
        <v>45862</v>
      </c>
      <c r="B191" s="2" t="n">
        <v>12</v>
      </c>
      <c r="C191" s="2" t="s">
        <v>67</v>
      </c>
      <c r="D191" s="21" t="n">
        <v>107300</v>
      </c>
      <c r="E191" s="2" t="s">
        <v>17</v>
      </c>
      <c r="F191" s="2" t="s">
        <v>108</v>
      </c>
    </row>
    <row r="192" customFormat="false" ht="15" hidden="false" customHeight="false" outlineLevel="0" collapsed="false">
      <c r="A192" s="20" t="n">
        <v>45862</v>
      </c>
      <c r="B192" s="2" t="n">
        <v>16</v>
      </c>
      <c r="C192" s="2" t="s">
        <v>72</v>
      </c>
      <c r="D192" s="21" t="n">
        <v>104300</v>
      </c>
      <c r="E192" s="2" t="s">
        <v>89</v>
      </c>
      <c r="F192" s="2" t="s">
        <v>108</v>
      </c>
    </row>
    <row r="193" customFormat="false" ht="15" hidden="false" customHeight="false" outlineLevel="0" collapsed="false">
      <c r="A193" s="20" t="n">
        <v>45863</v>
      </c>
      <c r="B193" s="2" t="n">
        <v>23</v>
      </c>
      <c r="C193" s="2" t="s">
        <v>80</v>
      </c>
      <c r="D193" s="21" t="n">
        <v>101300</v>
      </c>
      <c r="E193" s="2" t="s">
        <v>17</v>
      </c>
      <c r="F193" s="2" t="s">
        <v>108</v>
      </c>
    </row>
    <row r="194" customFormat="false" ht="15" hidden="false" customHeight="false" outlineLevel="0" collapsed="false">
      <c r="A194" s="20" t="n">
        <v>45864</v>
      </c>
      <c r="B194" s="2" t="n">
        <v>8</v>
      </c>
      <c r="C194" s="2" t="s">
        <v>63</v>
      </c>
      <c r="D194" s="21" t="n">
        <v>132500</v>
      </c>
      <c r="E194" s="2" t="s">
        <v>89</v>
      </c>
      <c r="F194" s="2" t="s">
        <v>108</v>
      </c>
    </row>
    <row r="195" customFormat="false" ht="15" hidden="false" customHeight="false" outlineLevel="0" collapsed="false">
      <c r="A195" s="20" t="n">
        <v>45864</v>
      </c>
      <c r="B195" s="2" t="n">
        <v>18</v>
      </c>
      <c r="C195" s="2" t="s">
        <v>74</v>
      </c>
      <c r="D195" s="21" t="n">
        <v>61200</v>
      </c>
      <c r="E195" s="2" t="s">
        <v>17</v>
      </c>
      <c r="F195" s="2" t="s">
        <v>108</v>
      </c>
    </row>
    <row r="196" customFormat="false" ht="15" hidden="false" customHeight="false" outlineLevel="0" collapsed="false">
      <c r="A196" s="20" t="n">
        <v>45864</v>
      </c>
      <c r="B196" s="2" t="n">
        <v>20</v>
      </c>
      <c r="C196" s="2" t="s">
        <v>76</v>
      </c>
      <c r="D196" s="21" t="n">
        <v>507600</v>
      </c>
      <c r="E196" s="2" t="s">
        <v>89</v>
      </c>
      <c r="F196" s="2" t="s">
        <v>108</v>
      </c>
    </row>
    <row r="197" customFormat="false" ht="15" hidden="false" customHeight="false" outlineLevel="0" collapsed="false">
      <c r="A197" s="20" t="n">
        <v>45864</v>
      </c>
      <c r="B197" s="2" t="n">
        <v>21</v>
      </c>
      <c r="C197" s="2" t="s">
        <v>77</v>
      </c>
      <c r="D197" s="21" t="n">
        <v>266900</v>
      </c>
      <c r="E197" s="2" t="s">
        <v>89</v>
      </c>
      <c r="F197" s="2" t="s">
        <v>108</v>
      </c>
    </row>
    <row r="198" customFormat="false" ht="15" hidden="false" customHeight="false" outlineLevel="0" collapsed="false">
      <c r="A198" s="20" t="n">
        <v>45864</v>
      </c>
      <c r="B198" s="2" t="n">
        <v>22</v>
      </c>
      <c r="C198" s="2" t="s">
        <v>79</v>
      </c>
      <c r="D198" s="21" t="n">
        <v>164300</v>
      </c>
      <c r="E198" s="2" t="s">
        <v>89</v>
      </c>
      <c r="F198" s="2" t="s">
        <v>108</v>
      </c>
    </row>
    <row r="199" customFormat="false" ht="15" hidden="false" customHeight="false" outlineLevel="0" collapsed="false">
      <c r="A199" s="20" t="n">
        <v>45867</v>
      </c>
      <c r="B199" s="2" t="n">
        <v>22</v>
      </c>
      <c r="C199" s="2" t="s">
        <v>79</v>
      </c>
      <c r="D199" s="21" t="n">
        <v>182300</v>
      </c>
      <c r="E199" s="2" t="s">
        <v>89</v>
      </c>
      <c r="F199" s="2" t="s">
        <v>108</v>
      </c>
    </row>
    <row r="200" customFormat="false" ht="15" hidden="false" customHeight="false" outlineLevel="0" collapsed="false">
      <c r="A200" s="20" t="n">
        <v>45867</v>
      </c>
      <c r="B200" s="2" t="n">
        <v>23</v>
      </c>
      <c r="C200" s="2" t="s">
        <v>80</v>
      </c>
      <c r="D200" s="21" t="n">
        <v>92000</v>
      </c>
      <c r="E200" s="2" t="s">
        <v>89</v>
      </c>
      <c r="F200" s="2" t="s">
        <v>108</v>
      </c>
    </row>
    <row r="201" customFormat="false" ht="15" hidden="false" customHeight="false" outlineLevel="0" collapsed="false">
      <c r="A201" s="20" t="n">
        <v>45868</v>
      </c>
      <c r="B201" s="2" t="n">
        <v>11</v>
      </c>
      <c r="C201" s="2" t="s">
        <v>66</v>
      </c>
      <c r="D201" s="21" t="n">
        <v>109900</v>
      </c>
      <c r="E201" s="2" t="s">
        <v>17</v>
      </c>
      <c r="F201" s="2" t="s">
        <v>108</v>
      </c>
    </row>
    <row r="202" customFormat="false" ht="15" hidden="false" customHeight="false" outlineLevel="0" collapsed="false">
      <c r="A202" s="20" t="n">
        <v>45869</v>
      </c>
      <c r="B202" s="2" t="n">
        <v>2</v>
      </c>
      <c r="C202" s="2" t="s">
        <v>54</v>
      </c>
      <c r="D202" s="21" t="n">
        <v>44600</v>
      </c>
      <c r="E202" s="2" t="s">
        <v>89</v>
      </c>
      <c r="F202" s="2" t="s">
        <v>108</v>
      </c>
    </row>
    <row r="203" customFormat="false" ht="15" hidden="false" customHeight="false" outlineLevel="0" collapsed="false">
      <c r="A203" s="20" t="n">
        <v>45869</v>
      </c>
      <c r="B203" s="2" t="n">
        <v>7</v>
      </c>
      <c r="C203" s="2" t="s">
        <v>62</v>
      </c>
      <c r="D203" s="21" t="n">
        <v>166900</v>
      </c>
      <c r="E203" s="2" t="s">
        <v>89</v>
      </c>
      <c r="F203" s="2" t="s">
        <v>108</v>
      </c>
    </row>
    <row r="204" customFormat="false" ht="15" hidden="false" customHeight="false" outlineLevel="0" collapsed="false">
      <c r="A204" s="20" t="n">
        <v>45869</v>
      </c>
      <c r="B204" s="2" t="n">
        <v>8</v>
      </c>
      <c r="C204" s="2" t="s">
        <v>63</v>
      </c>
      <c r="D204" s="21" t="n">
        <v>166800</v>
      </c>
      <c r="E204" s="2" t="s">
        <v>17</v>
      </c>
      <c r="F204" s="2" t="s">
        <v>108</v>
      </c>
    </row>
    <row r="205" customFormat="false" ht="15" hidden="false" customHeight="false" outlineLevel="0" collapsed="false">
      <c r="A205" s="20" t="n">
        <v>45869</v>
      </c>
      <c r="B205" s="2" t="n">
        <v>9</v>
      </c>
      <c r="C205" s="2" t="s">
        <v>64</v>
      </c>
      <c r="D205" s="21" t="n">
        <v>72800</v>
      </c>
      <c r="E205" s="2" t="s">
        <v>17</v>
      </c>
      <c r="F205" s="2" t="s">
        <v>108</v>
      </c>
    </row>
    <row r="206" customFormat="false" ht="15" hidden="false" customHeight="false" outlineLevel="0" collapsed="false">
      <c r="A206" s="20" t="n">
        <v>45870</v>
      </c>
      <c r="B206" s="2" t="n">
        <v>6</v>
      </c>
      <c r="C206" s="2" t="s">
        <v>60</v>
      </c>
      <c r="D206" s="21" t="n">
        <v>195700</v>
      </c>
      <c r="E206" s="2" t="s">
        <v>89</v>
      </c>
      <c r="F206" s="2" t="s">
        <v>108</v>
      </c>
    </row>
    <row r="207" customFormat="false" ht="15" hidden="false" customHeight="false" outlineLevel="0" collapsed="false">
      <c r="A207" s="20" t="n">
        <v>45870</v>
      </c>
      <c r="B207" s="2" t="n">
        <v>16</v>
      </c>
      <c r="C207" s="2" t="s">
        <v>72</v>
      </c>
      <c r="D207" s="21" t="n">
        <v>87100</v>
      </c>
      <c r="E207" s="2" t="s">
        <v>17</v>
      </c>
      <c r="F207" s="2" t="s">
        <v>108</v>
      </c>
    </row>
    <row r="208" customFormat="false" ht="15" hidden="false" customHeight="false" outlineLevel="0" collapsed="false">
      <c r="A208" s="20" t="n">
        <v>45870</v>
      </c>
      <c r="B208" s="2" t="n">
        <v>18</v>
      </c>
      <c r="C208" s="2" t="s">
        <v>74</v>
      </c>
      <c r="D208" s="21" t="n">
        <v>74000</v>
      </c>
      <c r="E208" s="2" t="s">
        <v>17</v>
      </c>
      <c r="F208" s="2" t="s">
        <v>108</v>
      </c>
    </row>
    <row r="209" customFormat="false" ht="15" hidden="false" customHeight="false" outlineLevel="0" collapsed="false">
      <c r="A209" s="20" t="n">
        <v>45871</v>
      </c>
      <c r="B209" s="2" t="n">
        <v>12</v>
      </c>
      <c r="C209" s="2" t="s">
        <v>67</v>
      </c>
      <c r="D209" s="21" t="n">
        <v>118400</v>
      </c>
      <c r="E209" s="2" t="s">
        <v>17</v>
      </c>
      <c r="F209" s="2" t="s">
        <v>108</v>
      </c>
    </row>
    <row r="210" customFormat="false" ht="15" hidden="false" customHeight="false" outlineLevel="0" collapsed="false">
      <c r="A210" s="20" t="n">
        <v>45871</v>
      </c>
      <c r="B210" s="2" t="n">
        <v>17</v>
      </c>
      <c r="C210" s="2" t="s">
        <v>73</v>
      </c>
      <c r="D210" s="21" t="n">
        <v>161600</v>
      </c>
      <c r="E210" s="2" t="s">
        <v>89</v>
      </c>
      <c r="F210" s="2" t="s">
        <v>108</v>
      </c>
    </row>
    <row r="211" customFormat="false" ht="15" hidden="false" customHeight="false" outlineLevel="0" collapsed="false">
      <c r="A211" s="20" t="n">
        <v>45871</v>
      </c>
      <c r="B211" s="2" t="n">
        <v>22</v>
      </c>
      <c r="C211" s="2" t="s">
        <v>79</v>
      </c>
      <c r="D211" s="21" t="n">
        <v>180900</v>
      </c>
      <c r="E211" s="2" t="s">
        <v>17</v>
      </c>
      <c r="F211" s="2" t="s">
        <v>108</v>
      </c>
    </row>
    <row r="212" customFormat="false" ht="15" hidden="false" customHeight="false" outlineLevel="0" collapsed="false">
      <c r="A212" s="20" t="n">
        <v>45871</v>
      </c>
      <c r="B212" s="2" t="n">
        <v>23</v>
      </c>
      <c r="C212" s="2" t="s">
        <v>80</v>
      </c>
      <c r="D212" s="21" t="n">
        <v>109300</v>
      </c>
      <c r="E212" s="2" t="s">
        <v>89</v>
      </c>
      <c r="F212" s="2" t="s">
        <v>108</v>
      </c>
    </row>
    <row r="213" customFormat="false" ht="15" hidden="false" customHeight="false" outlineLevel="0" collapsed="false">
      <c r="A213" s="20" t="n">
        <v>45872</v>
      </c>
      <c r="B213" s="2" t="n">
        <v>8</v>
      </c>
      <c r="C213" s="2" t="s">
        <v>63</v>
      </c>
      <c r="D213" s="21" t="n">
        <v>123300</v>
      </c>
      <c r="E213" s="2" t="s">
        <v>89</v>
      </c>
      <c r="F213" s="2" t="s">
        <v>108</v>
      </c>
    </row>
    <row r="214" customFormat="false" ht="15" hidden="false" customHeight="false" outlineLevel="0" collapsed="false">
      <c r="A214" s="20" t="n">
        <v>45873</v>
      </c>
      <c r="B214" s="2" t="n">
        <v>13</v>
      </c>
      <c r="C214" s="2" t="s">
        <v>68</v>
      </c>
      <c r="D214" s="21" t="n">
        <v>81200</v>
      </c>
      <c r="E214" s="2" t="s">
        <v>89</v>
      </c>
      <c r="F214" s="2" t="s">
        <v>108</v>
      </c>
    </row>
    <row r="215" customFormat="false" ht="15" hidden="false" customHeight="false" outlineLevel="0" collapsed="false">
      <c r="A215" s="20" t="n">
        <v>45874</v>
      </c>
      <c r="B215" s="2" t="n">
        <v>22</v>
      </c>
      <c r="C215" s="2" t="s">
        <v>79</v>
      </c>
      <c r="D215" s="21" t="n">
        <v>149400</v>
      </c>
      <c r="E215" s="2" t="s">
        <v>89</v>
      </c>
      <c r="F215" s="2" t="s">
        <v>108</v>
      </c>
    </row>
    <row r="216" customFormat="false" ht="15" hidden="false" customHeight="false" outlineLevel="0" collapsed="false">
      <c r="A216" s="20" t="n">
        <v>45876</v>
      </c>
      <c r="B216" s="2" t="n">
        <v>1</v>
      </c>
      <c r="C216" s="2" t="s">
        <v>51</v>
      </c>
      <c r="D216" s="21" t="n">
        <v>427100</v>
      </c>
      <c r="E216" s="2" t="s">
        <v>89</v>
      </c>
      <c r="F216" s="2" t="s">
        <v>108</v>
      </c>
    </row>
    <row r="217" customFormat="false" ht="15" hidden="false" customHeight="false" outlineLevel="0" collapsed="false">
      <c r="A217" s="20" t="n">
        <v>45876</v>
      </c>
      <c r="B217" s="2" t="n">
        <v>8</v>
      </c>
      <c r="C217" s="2" t="s">
        <v>63</v>
      </c>
      <c r="D217" s="21" t="n">
        <v>142300</v>
      </c>
      <c r="E217" s="2" t="s">
        <v>89</v>
      </c>
      <c r="F217" s="2" t="s">
        <v>108</v>
      </c>
    </row>
    <row r="218" customFormat="false" ht="15" hidden="false" customHeight="false" outlineLevel="0" collapsed="false">
      <c r="A218" s="20" t="n">
        <v>45876</v>
      </c>
      <c r="B218" s="2" t="n">
        <v>11</v>
      </c>
      <c r="C218" s="2" t="s">
        <v>66</v>
      </c>
      <c r="D218" s="21" t="n">
        <v>148400</v>
      </c>
      <c r="E218" s="2" t="s">
        <v>89</v>
      </c>
      <c r="F218" s="2" t="s">
        <v>108</v>
      </c>
    </row>
    <row r="219" customFormat="false" ht="15" hidden="false" customHeight="false" outlineLevel="0" collapsed="false">
      <c r="A219" s="20" t="n">
        <v>45876</v>
      </c>
      <c r="B219" s="2" t="n">
        <v>18</v>
      </c>
      <c r="C219" s="2" t="s">
        <v>74</v>
      </c>
      <c r="D219" s="21" t="n">
        <v>58000</v>
      </c>
      <c r="E219" s="2" t="s">
        <v>17</v>
      </c>
      <c r="F219" s="2" t="s">
        <v>108</v>
      </c>
    </row>
    <row r="220" customFormat="false" ht="15" hidden="false" customHeight="false" outlineLevel="0" collapsed="false">
      <c r="A220" s="20" t="n">
        <v>45876</v>
      </c>
      <c r="B220" s="2" t="n">
        <v>19</v>
      </c>
      <c r="C220" s="2" t="s">
        <v>75</v>
      </c>
      <c r="D220" s="21" t="n">
        <v>650600</v>
      </c>
      <c r="E220" s="2" t="s">
        <v>89</v>
      </c>
      <c r="F220" s="2" t="s">
        <v>108</v>
      </c>
    </row>
    <row r="221" customFormat="false" ht="15" hidden="false" customHeight="false" outlineLevel="0" collapsed="false">
      <c r="A221" s="20" t="n">
        <v>45876</v>
      </c>
      <c r="B221" s="2" t="n">
        <v>23</v>
      </c>
      <c r="C221" s="2" t="s">
        <v>80</v>
      </c>
      <c r="D221" s="21" t="n">
        <v>118100</v>
      </c>
      <c r="E221" s="2" t="s">
        <v>17</v>
      </c>
      <c r="F221" s="2" t="s">
        <v>108</v>
      </c>
    </row>
    <row r="222" customFormat="false" ht="15" hidden="false" customHeight="false" outlineLevel="0" collapsed="false">
      <c r="A222" s="20" t="n">
        <v>45877</v>
      </c>
      <c r="B222" s="2" t="n">
        <v>2</v>
      </c>
      <c r="C222" s="2" t="s">
        <v>54</v>
      </c>
      <c r="D222" s="21" t="n">
        <v>53500</v>
      </c>
      <c r="E222" s="2" t="s">
        <v>17</v>
      </c>
      <c r="F222" s="2" t="s">
        <v>108</v>
      </c>
    </row>
    <row r="223" customFormat="false" ht="15" hidden="false" customHeight="false" outlineLevel="0" collapsed="false">
      <c r="A223" s="20" t="n">
        <v>45878</v>
      </c>
      <c r="B223" s="2" t="n">
        <v>4</v>
      </c>
      <c r="C223" s="2" t="s">
        <v>58</v>
      </c>
      <c r="D223" s="21" t="n">
        <v>418900</v>
      </c>
      <c r="E223" s="2" t="s">
        <v>89</v>
      </c>
      <c r="F223" s="2" t="s">
        <v>108</v>
      </c>
    </row>
    <row r="224" customFormat="false" ht="15" hidden="false" customHeight="false" outlineLevel="0" collapsed="false">
      <c r="A224" s="20" t="n">
        <v>45878</v>
      </c>
      <c r="B224" s="2" t="n">
        <v>8</v>
      </c>
      <c r="C224" s="2" t="s">
        <v>63</v>
      </c>
      <c r="D224" s="21" t="n">
        <v>151000</v>
      </c>
      <c r="E224" s="2" t="s">
        <v>17</v>
      </c>
      <c r="F224" s="2" t="s">
        <v>108</v>
      </c>
    </row>
    <row r="225" customFormat="false" ht="15" hidden="false" customHeight="false" outlineLevel="0" collapsed="false">
      <c r="A225" s="20" t="n">
        <v>45878</v>
      </c>
      <c r="B225" s="2" t="n">
        <v>9</v>
      </c>
      <c r="C225" s="2" t="s">
        <v>64</v>
      </c>
      <c r="D225" s="21" t="n">
        <v>58200</v>
      </c>
      <c r="E225" s="2" t="s">
        <v>17</v>
      </c>
      <c r="F225" s="2" t="s">
        <v>108</v>
      </c>
    </row>
    <row r="226" customFormat="false" ht="15" hidden="false" customHeight="false" outlineLevel="0" collapsed="false">
      <c r="A226" s="20" t="n">
        <v>45878</v>
      </c>
      <c r="B226" s="2" t="n">
        <v>14</v>
      </c>
      <c r="C226" s="2" t="s">
        <v>70</v>
      </c>
      <c r="D226" s="21" t="n">
        <v>316800</v>
      </c>
      <c r="E226" s="2" t="s">
        <v>17</v>
      </c>
      <c r="F226" s="2" t="s">
        <v>108</v>
      </c>
    </row>
    <row r="227" customFormat="false" ht="15" hidden="false" customHeight="false" outlineLevel="0" collapsed="false">
      <c r="A227" s="20" t="n">
        <v>45878</v>
      </c>
      <c r="B227" s="2" t="n">
        <v>16</v>
      </c>
      <c r="C227" s="2" t="s">
        <v>72</v>
      </c>
      <c r="D227" s="21" t="n">
        <v>75800</v>
      </c>
      <c r="E227" s="2" t="s">
        <v>89</v>
      </c>
      <c r="F227" s="2" t="s">
        <v>108</v>
      </c>
    </row>
    <row r="228" customFormat="false" ht="15" hidden="false" customHeight="false" outlineLevel="0" collapsed="false">
      <c r="A228" s="20" t="n">
        <v>45879</v>
      </c>
      <c r="B228" s="2" t="n">
        <v>12</v>
      </c>
      <c r="C228" s="2" t="s">
        <v>67</v>
      </c>
      <c r="D228" s="21" t="n">
        <v>73500</v>
      </c>
      <c r="E228" s="2" t="s">
        <v>17</v>
      </c>
      <c r="F228" s="2" t="s">
        <v>108</v>
      </c>
    </row>
    <row r="229" customFormat="false" ht="15" hidden="false" customHeight="false" outlineLevel="0" collapsed="false">
      <c r="A229" s="20" t="n">
        <v>45879</v>
      </c>
      <c r="B229" s="2" t="n">
        <v>22</v>
      </c>
      <c r="C229" s="2" t="s">
        <v>79</v>
      </c>
      <c r="D229" s="21" t="n">
        <v>185900</v>
      </c>
      <c r="E229" s="2" t="s">
        <v>89</v>
      </c>
      <c r="F229" s="2" t="s">
        <v>108</v>
      </c>
    </row>
    <row r="230" customFormat="false" ht="15" hidden="false" customHeight="false" outlineLevel="0" collapsed="false">
      <c r="A230" s="20" t="n">
        <v>45880</v>
      </c>
      <c r="B230" s="2" t="n">
        <v>15</v>
      </c>
      <c r="C230" s="2" t="s">
        <v>71</v>
      </c>
      <c r="D230" s="21" t="n">
        <v>315600</v>
      </c>
      <c r="E230" s="2" t="s">
        <v>89</v>
      </c>
      <c r="F230" s="2" t="s">
        <v>108</v>
      </c>
    </row>
    <row r="231" customFormat="false" ht="15" hidden="false" customHeight="false" outlineLevel="0" collapsed="false">
      <c r="A231" s="20" t="n">
        <v>45882</v>
      </c>
      <c r="B231" s="2" t="n">
        <v>18</v>
      </c>
      <c r="C231" s="2" t="s">
        <v>74</v>
      </c>
      <c r="D231" s="21" t="n">
        <v>71800</v>
      </c>
      <c r="E231" s="2" t="s">
        <v>89</v>
      </c>
      <c r="F231" s="2" t="s">
        <v>108</v>
      </c>
    </row>
    <row r="232" customFormat="false" ht="15" hidden="false" customHeight="false" outlineLevel="0" collapsed="false">
      <c r="A232" s="20" t="n">
        <v>45882</v>
      </c>
      <c r="B232" s="2" t="n">
        <v>22</v>
      </c>
      <c r="C232" s="2" t="s">
        <v>79</v>
      </c>
      <c r="D232" s="21" t="n">
        <v>189200</v>
      </c>
      <c r="E232" s="2" t="s">
        <v>17</v>
      </c>
      <c r="F232" s="2" t="s">
        <v>108</v>
      </c>
    </row>
    <row r="233" customFormat="false" ht="15" hidden="false" customHeight="false" outlineLevel="0" collapsed="false">
      <c r="A233" s="20" t="n">
        <v>45883</v>
      </c>
      <c r="B233" s="2" t="n">
        <v>8</v>
      </c>
      <c r="C233" s="2" t="s">
        <v>63</v>
      </c>
      <c r="D233" s="21" t="n">
        <v>148900</v>
      </c>
      <c r="E233" s="2" t="s">
        <v>89</v>
      </c>
      <c r="F233" s="2" t="s">
        <v>108</v>
      </c>
    </row>
    <row r="234" customFormat="false" ht="15" hidden="false" customHeight="false" outlineLevel="0" collapsed="false">
      <c r="A234" s="20" t="n">
        <v>45883</v>
      </c>
      <c r="B234" s="2" t="n">
        <v>11</v>
      </c>
      <c r="C234" s="2" t="s">
        <v>66</v>
      </c>
      <c r="D234" s="21" t="n">
        <v>148800</v>
      </c>
      <c r="E234" s="2" t="s">
        <v>17</v>
      </c>
      <c r="F234" s="2" t="s">
        <v>108</v>
      </c>
    </row>
    <row r="235" customFormat="false" ht="15" hidden="false" customHeight="false" outlineLevel="0" collapsed="false">
      <c r="A235" s="20" t="n">
        <v>45884</v>
      </c>
      <c r="B235" s="2" t="n">
        <v>21</v>
      </c>
      <c r="C235" s="2" t="s">
        <v>77</v>
      </c>
      <c r="D235" s="21" t="n">
        <v>222500</v>
      </c>
      <c r="E235" s="2" t="s">
        <v>89</v>
      </c>
      <c r="F235" s="2" t="s">
        <v>108</v>
      </c>
    </row>
    <row r="236" customFormat="false" ht="15" hidden="false" customHeight="false" outlineLevel="0" collapsed="false">
      <c r="A236" s="20" t="n">
        <v>45885</v>
      </c>
      <c r="B236" s="2" t="n">
        <v>2</v>
      </c>
      <c r="C236" s="2" t="s">
        <v>54</v>
      </c>
      <c r="D236" s="21" t="n">
        <v>58700</v>
      </c>
      <c r="E236" s="2" t="s">
        <v>89</v>
      </c>
      <c r="F236" s="2" t="s">
        <v>108</v>
      </c>
    </row>
    <row r="237" customFormat="false" ht="15" hidden="false" customHeight="false" outlineLevel="0" collapsed="false">
      <c r="A237" s="20" t="n">
        <v>45885</v>
      </c>
      <c r="B237" s="2" t="n">
        <v>5</v>
      </c>
      <c r="C237" s="2" t="s">
        <v>59</v>
      </c>
      <c r="D237" s="21" t="n">
        <v>610700</v>
      </c>
      <c r="E237" s="2" t="s">
        <v>89</v>
      </c>
      <c r="F237" s="2" t="s">
        <v>108</v>
      </c>
    </row>
    <row r="238" customFormat="false" ht="15" hidden="false" customHeight="false" outlineLevel="0" collapsed="false">
      <c r="A238" s="20" t="n">
        <v>45885</v>
      </c>
      <c r="B238" s="2" t="n">
        <v>16</v>
      </c>
      <c r="C238" s="2" t="s">
        <v>72</v>
      </c>
      <c r="D238" s="21" t="n">
        <v>90200</v>
      </c>
      <c r="E238" s="2" t="s">
        <v>89</v>
      </c>
      <c r="F238" s="2" t="s">
        <v>108</v>
      </c>
    </row>
    <row r="239" customFormat="false" ht="15" hidden="false" customHeight="false" outlineLevel="0" collapsed="false">
      <c r="A239" s="20" t="n">
        <v>45885</v>
      </c>
      <c r="B239" s="2" t="n">
        <v>23</v>
      </c>
      <c r="C239" s="2" t="s">
        <v>80</v>
      </c>
      <c r="D239" s="21" t="n">
        <v>87200</v>
      </c>
      <c r="E239" s="2" t="s">
        <v>89</v>
      </c>
      <c r="F239" s="2" t="s">
        <v>108</v>
      </c>
    </row>
    <row r="240" customFormat="false" ht="15" hidden="false" customHeight="false" outlineLevel="0" collapsed="false">
      <c r="A240" s="20" t="n">
        <v>45886</v>
      </c>
      <c r="B240" s="2" t="n">
        <v>8</v>
      </c>
      <c r="C240" s="2" t="s">
        <v>63</v>
      </c>
      <c r="D240" s="21" t="n">
        <v>107700</v>
      </c>
      <c r="E240" s="2" t="s">
        <v>89</v>
      </c>
      <c r="F240" s="2" t="s">
        <v>108</v>
      </c>
    </row>
    <row r="241" customFormat="false" ht="15" hidden="false" customHeight="false" outlineLevel="0" collapsed="false">
      <c r="A241" s="20" t="n">
        <v>45886</v>
      </c>
      <c r="B241" s="2" t="n">
        <v>9</v>
      </c>
      <c r="C241" s="2" t="s">
        <v>64</v>
      </c>
      <c r="D241" s="21" t="n">
        <v>55000</v>
      </c>
      <c r="E241" s="2" t="s">
        <v>89</v>
      </c>
      <c r="F241" s="2" t="s">
        <v>108</v>
      </c>
    </row>
    <row r="242" customFormat="false" ht="15" hidden="false" customHeight="false" outlineLevel="0" collapsed="false">
      <c r="A242" s="20" t="n">
        <v>45886</v>
      </c>
      <c r="B242" s="2" t="n">
        <v>12</v>
      </c>
      <c r="C242" s="2" t="s">
        <v>67</v>
      </c>
      <c r="D242" s="21" t="n">
        <v>98200</v>
      </c>
      <c r="E242" s="2" t="s">
        <v>89</v>
      </c>
      <c r="F242" s="2" t="s">
        <v>108</v>
      </c>
    </row>
    <row r="243" customFormat="false" ht="15" hidden="false" customHeight="false" outlineLevel="0" collapsed="false">
      <c r="A243" s="20" t="n">
        <v>45888</v>
      </c>
      <c r="B243" s="2" t="n">
        <v>23</v>
      </c>
      <c r="C243" s="2" t="s">
        <v>80</v>
      </c>
      <c r="D243" s="21" t="n">
        <v>93800</v>
      </c>
      <c r="E243" s="2" t="s">
        <v>17</v>
      </c>
      <c r="F243" s="2" t="s">
        <v>108</v>
      </c>
    </row>
    <row r="244" customFormat="false" ht="15" hidden="false" customHeight="false" outlineLevel="0" collapsed="false">
      <c r="A244" s="20" t="n">
        <v>45889</v>
      </c>
      <c r="B244" s="2" t="n">
        <v>8</v>
      </c>
      <c r="C244" s="2" t="s">
        <v>63</v>
      </c>
      <c r="D244" s="21" t="n">
        <v>106000</v>
      </c>
      <c r="E244" s="2" t="s">
        <v>89</v>
      </c>
      <c r="F244" s="2" t="s">
        <v>108</v>
      </c>
    </row>
    <row r="245" customFormat="false" ht="15" hidden="false" customHeight="false" outlineLevel="0" collapsed="false">
      <c r="A245" s="20" t="n">
        <v>45890</v>
      </c>
      <c r="B245" s="2" t="n">
        <v>7</v>
      </c>
      <c r="C245" s="2" t="s">
        <v>62</v>
      </c>
      <c r="D245" s="21" t="n">
        <v>130600</v>
      </c>
      <c r="E245" s="2" t="s">
        <v>89</v>
      </c>
      <c r="F245" s="2" t="s">
        <v>108</v>
      </c>
    </row>
    <row r="246" customFormat="false" ht="15" hidden="false" customHeight="false" outlineLevel="0" collapsed="false">
      <c r="A246" s="20" t="n">
        <v>45890</v>
      </c>
      <c r="B246" s="2" t="n">
        <v>22</v>
      </c>
      <c r="C246" s="2" t="s">
        <v>79</v>
      </c>
      <c r="D246" s="21" t="n">
        <v>164000</v>
      </c>
      <c r="E246" s="2" t="s">
        <v>17</v>
      </c>
      <c r="F246" s="2" t="s">
        <v>108</v>
      </c>
    </row>
    <row r="247" customFormat="false" ht="15" hidden="false" customHeight="false" outlineLevel="0" collapsed="false">
      <c r="A247" s="20" t="n">
        <v>45891</v>
      </c>
      <c r="B247" s="2" t="n">
        <v>2</v>
      </c>
      <c r="C247" s="2" t="s">
        <v>54</v>
      </c>
      <c r="D247" s="21" t="n">
        <v>60200</v>
      </c>
      <c r="E247" s="2" t="s">
        <v>89</v>
      </c>
      <c r="F247" s="2" t="s">
        <v>108</v>
      </c>
    </row>
    <row r="248" customFormat="false" ht="15" hidden="false" customHeight="false" outlineLevel="0" collapsed="false">
      <c r="A248" s="20" t="n">
        <v>45891</v>
      </c>
      <c r="B248" s="2" t="n">
        <v>8</v>
      </c>
      <c r="C248" s="2" t="s">
        <v>63</v>
      </c>
      <c r="D248" s="21" t="n">
        <v>163000</v>
      </c>
      <c r="E248" s="2" t="s">
        <v>89</v>
      </c>
      <c r="F248" s="2" t="s">
        <v>108</v>
      </c>
    </row>
    <row r="249" customFormat="false" ht="15" hidden="false" customHeight="false" outlineLevel="0" collapsed="false">
      <c r="A249" s="20" t="n">
        <v>45891</v>
      </c>
      <c r="B249" s="2" t="n">
        <v>11</v>
      </c>
      <c r="C249" s="2" t="s">
        <v>66</v>
      </c>
      <c r="D249" s="21" t="n">
        <v>98900</v>
      </c>
      <c r="E249" s="2" t="s">
        <v>17</v>
      </c>
      <c r="F249" s="2" t="s">
        <v>108</v>
      </c>
    </row>
    <row r="250" customFormat="false" ht="15" hidden="false" customHeight="false" outlineLevel="0" collapsed="false">
      <c r="A250" s="20" t="n">
        <v>45891</v>
      </c>
      <c r="B250" s="2" t="n">
        <v>19</v>
      </c>
      <c r="C250" s="2" t="s">
        <v>75</v>
      </c>
      <c r="D250" s="21" t="n">
        <v>602200</v>
      </c>
      <c r="E250" s="2" t="s">
        <v>89</v>
      </c>
      <c r="F250" s="2" t="s">
        <v>108</v>
      </c>
    </row>
    <row r="251" customFormat="false" ht="15" hidden="false" customHeight="false" outlineLevel="0" collapsed="false">
      <c r="A251" s="20" t="n">
        <v>45892</v>
      </c>
      <c r="B251" s="2" t="n">
        <v>16</v>
      </c>
      <c r="C251" s="2" t="s">
        <v>72</v>
      </c>
      <c r="D251" s="21" t="n">
        <v>107300</v>
      </c>
      <c r="E251" s="2" t="s">
        <v>89</v>
      </c>
      <c r="F251" s="2" t="s">
        <v>108</v>
      </c>
    </row>
    <row r="252" customFormat="false" ht="15" hidden="false" customHeight="false" outlineLevel="0" collapsed="false">
      <c r="A252" s="20" t="n">
        <v>45893</v>
      </c>
      <c r="B252" s="2" t="n">
        <v>8</v>
      </c>
      <c r="C252" s="2" t="s">
        <v>63</v>
      </c>
      <c r="D252" s="21" t="n">
        <v>159800</v>
      </c>
      <c r="E252" s="2" t="s">
        <v>89</v>
      </c>
      <c r="F252" s="2" t="s">
        <v>108</v>
      </c>
    </row>
    <row r="253" customFormat="false" ht="15" hidden="false" customHeight="false" outlineLevel="0" collapsed="false">
      <c r="A253" s="20" t="n">
        <v>45893</v>
      </c>
      <c r="B253" s="2" t="n">
        <v>9</v>
      </c>
      <c r="C253" s="2" t="s">
        <v>64</v>
      </c>
      <c r="D253" s="21" t="n">
        <v>65100</v>
      </c>
      <c r="E253" s="2" t="s">
        <v>17</v>
      </c>
      <c r="F253" s="2" t="s">
        <v>108</v>
      </c>
    </row>
    <row r="254" customFormat="false" ht="15" hidden="false" customHeight="false" outlineLevel="0" collapsed="false">
      <c r="A254" s="20" t="n">
        <v>45893</v>
      </c>
      <c r="B254" s="2" t="n">
        <v>12</v>
      </c>
      <c r="C254" s="2" t="s">
        <v>67</v>
      </c>
      <c r="D254" s="21" t="n">
        <v>115600</v>
      </c>
      <c r="E254" s="2" t="s">
        <v>89</v>
      </c>
      <c r="F254" s="2" t="s">
        <v>108</v>
      </c>
    </row>
    <row r="255" customFormat="false" ht="15" hidden="false" customHeight="false" outlineLevel="0" collapsed="false">
      <c r="A255" s="20" t="n">
        <v>45893</v>
      </c>
      <c r="B255" s="2" t="n">
        <v>18</v>
      </c>
      <c r="C255" s="2" t="s">
        <v>74</v>
      </c>
      <c r="D255" s="21" t="n">
        <v>73500</v>
      </c>
      <c r="E255" s="2" t="s">
        <v>17</v>
      </c>
      <c r="F255" s="2" t="s">
        <v>108</v>
      </c>
    </row>
    <row r="256" customFormat="false" ht="15" hidden="false" customHeight="false" outlineLevel="0" collapsed="false">
      <c r="A256" s="20" t="n">
        <v>45893</v>
      </c>
      <c r="B256" s="2" t="n">
        <v>23</v>
      </c>
      <c r="C256" s="2" t="s">
        <v>80</v>
      </c>
      <c r="D256" s="21" t="n">
        <v>99400</v>
      </c>
      <c r="E256" s="2" t="s">
        <v>17</v>
      </c>
      <c r="F256" s="2" t="s">
        <v>108</v>
      </c>
    </row>
    <row r="257" customFormat="false" ht="15" hidden="false" customHeight="false" outlineLevel="0" collapsed="false">
      <c r="A257" s="20" t="n">
        <v>45894</v>
      </c>
      <c r="B257" s="2" t="n">
        <v>6</v>
      </c>
      <c r="C257" s="2" t="s">
        <v>60</v>
      </c>
      <c r="D257" s="21" t="n">
        <v>74700</v>
      </c>
      <c r="E257" s="2" t="s">
        <v>89</v>
      </c>
      <c r="F257" s="2" t="s">
        <v>108</v>
      </c>
    </row>
    <row r="258" customFormat="false" ht="15" hidden="false" customHeight="false" outlineLevel="0" collapsed="false">
      <c r="A258" s="20" t="n">
        <v>45895</v>
      </c>
      <c r="B258" s="2" t="n">
        <v>20</v>
      </c>
      <c r="C258" s="2" t="s">
        <v>76</v>
      </c>
      <c r="D258" s="21" t="n">
        <v>367900</v>
      </c>
      <c r="E258" s="2" t="s">
        <v>89</v>
      </c>
      <c r="F258" s="2" t="s">
        <v>108</v>
      </c>
    </row>
    <row r="259" customFormat="false" ht="15" hidden="false" customHeight="false" outlineLevel="0" collapsed="false">
      <c r="A259" s="20" t="n">
        <v>45895</v>
      </c>
      <c r="B259" s="2" t="n">
        <v>22</v>
      </c>
      <c r="C259" s="2" t="s">
        <v>79</v>
      </c>
      <c r="D259" s="21" t="n">
        <v>187500</v>
      </c>
      <c r="E259" s="2" t="s">
        <v>89</v>
      </c>
      <c r="F259" s="2" t="s">
        <v>108</v>
      </c>
    </row>
    <row r="260" customFormat="false" ht="15" hidden="false" customHeight="false" outlineLevel="0" collapsed="false">
      <c r="A260" s="20" t="n">
        <v>45896</v>
      </c>
      <c r="B260" s="2" t="n">
        <v>8</v>
      </c>
      <c r="C260" s="2" t="s">
        <v>63</v>
      </c>
      <c r="D260" s="21" t="n">
        <v>116500</v>
      </c>
      <c r="E260" s="2" t="s">
        <v>17</v>
      </c>
      <c r="F260" s="2" t="s">
        <v>108</v>
      </c>
    </row>
    <row r="261" customFormat="false" ht="15" hidden="false" customHeight="false" outlineLevel="0" collapsed="false">
      <c r="A261" s="20" t="n">
        <v>45897</v>
      </c>
      <c r="B261" s="2" t="n">
        <v>2</v>
      </c>
      <c r="C261" s="2" t="s">
        <v>54</v>
      </c>
      <c r="D261" s="21" t="n">
        <v>44300</v>
      </c>
      <c r="E261" s="2" t="s">
        <v>17</v>
      </c>
      <c r="F261" s="2" t="s">
        <v>108</v>
      </c>
    </row>
    <row r="262" customFormat="false" ht="15" hidden="false" customHeight="false" outlineLevel="0" collapsed="false">
      <c r="A262" s="20" t="n">
        <v>45897</v>
      </c>
      <c r="B262" s="2" t="n">
        <v>11</v>
      </c>
      <c r="C262" s="2" t="s">
        <v>66</v>
      </c>
      <c r="D262" s="21" t="n">
        <v>103700</v>
      </c>
      <c r="E262" s="2" t="s">
        <v>89</v>
      </c>
      <c r="F262" s="2" t="s">
        <v>108</v>
      </c>
    </row>
    <row r="263" customFormat="false" ht="15" hidden="false" customHeight="false" outlineLevel="0" collapsed="false">
      <c r="A263" s="20" t="n">
        <v>45898</v>
      </c>
      <c r="B263" s="2" t="n">
        <v>8</v>
      </c>
      <c r="C263" s="2" t="s">
        <v>63</v>
      </c>
      <c r="D263" s="21" t="n">
        <v>163600</v>
      </c>
      <c r="E263" s="2" t="s">
        <v>89</v>
      </c>
      <c r="F263" s="2" t="s">
        <v>108</v>
      </c>
    </row>
    <row r="264" customFormat="false" ht="15" hidden="false" customHeight="false" outlineLevel="0" collapsed="false">
      <c r="A264" s="20" t="n">
        <v>45898</v>
      </c>
      <c r="B264" s="2" t="n">
        <v>13</v>
      </c>
      <c r="C264" s="2" t="s">
        <v>68</v>
      </c>
      <c r="D264" s="21" t="n">
        <v>113800</v>
      </c>
      <c r="E264" s="2" t="s">
        <v>115</v>
      </c>
      <c r="F264" s="2" t="s">
        <v>108</v>
      </c>
    </row>
    <row r="265" customFormat="false" ht="15" hidden="false" customHeight="false" outlineLevel="0" collapsed="false">
      <c r="A265" s="20" t="n">
        <v>45898</v>
      </c>
      <c r="B265" s="2" t="n">
        <v>16</v>
      </c>
      <c r="C265" s="2" t="s">
        <v>72</v>
      </c>
      <c r="D265" s="21" t="n">
        <v>70800</v>
      </c>
      <c r="E265" s="2" t="s">
        <v>17</v>
      </c>
      <c r="F265" s="2" t="s">
        <v>108</v>
      </c>
    </row>
    <row r="266" customFormat="false" ht="15" hidden="false" customHeight="false" outlineLevel="0" collapsed="false">
      <c r="A266" s="20" t="n">
        <v>45898</v>
      </c>
      <c r="B266" s="2" t="n">
        <v>22</v>
      </c>
      <c r="C266" s="2" t="s">
        <v>79</v>
      </c>
      <c r="D266" s="21" t="n">
        <v>201400</v>
      </c>
      <c r="E266" s="2" t="s">
        <v>89</v>
      </c>
      <c r="F266" s="2" t="s">
        <v>108</v>
      </c>
    </row>
    <row r="267" customFormat="false" ht="15" hidden="false" customHeight="false" outlineLevel="0" collapsed="false">
      <c r="A267" s="20" t="n">
        <v>45898</v>
      </c>
      <c r="B267" s="2" t="n">
        <v>23</v>
      </c>
      <c r="C267" s="2" t="s">
        <v>80</v>
      </c>
      <c r="D267" s="21" t="n">
        <v>88900</v>
      </c>
      <c r="E267" s="2" t="s">
        <v>89</v>
      </c>
      <c r="F267" s="2" t="s">
        <v>108</v>
      </c>
    </row>
    <row r="268" customFormat="false" ht="15" hidden="false" customHeight="false" outlineLevel="0" collapsed="false">
      <c r="A268" s="20" t="n">
        <v>45899</v>
      </c>
      <c r="B268" s="2" t="n">
        <v>1</v>
      </c>
      <c r="C268" s="2" t="s">
        <v>51</v>
      </c>
      <c r="D268" s="21" t="n">
        <v>330000</v>
      </c>
      <c r="E268" s="2" t="s">
        <v>89</v>
      </c>
      <c r="F268" s="2" t="s">
        <v>108</v>
      </c>
    </row>
    <row r="269" customFormat="false" ht="15" hidden="false" customHeight="false" outlineLevel="0" collapsed="false">
      <c r="A269" s="20" t="n">
        <v>45899</v>
      </c>
      <c r="B269" s="2" t="n">
        <v>18</v>
      </c>
      <c r="C269" s="2" t="s">
        <v>74</v>
      </c>
      <c r="D269" s="21" t="n">
        <v>75900</v>
      </c>
      <c r="E269" s="2" t="s">
        <v>89</v>
      </c>
      <c r="F269" s="2" t="s">
        <v>108</v>
      </c>
    </row>
    <row r="270" customFormat="false" ht="15" hidden="false" customHeight="false" outlineLevel="0" collapsed="false">
      <c r="A270" s="20" t="n">
        <v>45900</v>
      </c>
      <c r="B270" s="2" t="n">
        <v>9</v>
      </c>
      <c r="C270" s="2" t="s">
        <v>64</v>
      </c>
      <c r="D270" s="21" t="n">
        <v>64400</v>
      </c>
      <c r="E270" s="2" t="s">
        <v>17</v>
      </c>
      <c r="F270" s="2" t="s">
        <v>108</v>
      </c>
    </row>
    <row r="271" customFormat="false" ht="15" hidden="false" customHeight="false" outlineLevel="0" collapsed="false">
      <c r="A271" s="20" t="n">
        <v>45900</v>
      </c>
      <c r="B271" s="2" t="n">
        <v>14</v>
      </c>
      <c r="C271" s="2" t="s">
        <v>70</v>
      </c>
      <c r="D271" s="21" t="n">
        <v>278600</v>
      </c>
      <c r="E271" s="2" t="s">
        <v>89</v>
      </c>
      <c r="F271" s="2" t="s">
        <v>108</v>
      </c>
    </row>
    <row r="272" customFormat="false" ht="15" hidden="false" customHeight="false" outlineLevel="0" collapsed="false">
      <c r="A272" s="20" t="n">
        <v>45901</v>
      </c>
      <c r="B272" s="2" t="n">
        <v>24</v>
      </c>
      <c r="C272" s="2" t="s">
        <v>81</v>
      </c>
      <c r="D272" s="21" t="n">
        <v>487200</v>
      </c>
      <c r="E272" s="2" t="s">
        <v>89</v>
      </c>
      <c r="F272" s="2" t="s">
        <v>108</v>
      </c>
    </row>
    <row r="273" customFormat="false" ht="15" hidden="false" customHeight="false" outlineLevel="0" collapsed="false">
      <c r="A273" s="20" t="n">
        <v>45902</v>
      </c>
      <c r="B273" s="2" t="n">
        <v>8</v>
      </c>
      <c r="C273" s="2" t="s">
        <v>63</v>
      </c>
      <c r="D273" s="21" t="n">
        <v>132400</v>
      </c>
      <c r="E273" s="2" t="s">
        <v>89</v>
      </c>
      <c r="F273" s="2" t="s">
        <v>108</v>
      </c>
    </row>
    <row r="274" customFormat="false" ht="15" hidden="false" customHeight="false" outlineLevel="0" collapsed="false">
      <c r="A274" s="20" t="n">
        <v>45902</v>
      </c>
      <c r="B274" s="2" t="n">
        <v>12</v>
      </c>
      <c r="C274" s="2" t="s">
        <v>67</v>
      </c>
      <c r="D274" s="21" t="n">
        <v>94100</v>
      </c>
      <c r="E274" s="2" t="s">
        <v>89</v>
      </c>
      <c r="F274" s="2" t="s">
        <v>108</v>
      </c>
    </row>
    <row r="275" customFormat="false" ht="15" hidden="false" customHeight="false" outlineLevel="0" collapsed="false">
      <c r="A275" s="20" t="n">
        <v>45903</v>
      </c>
      <c r="B275" s="2" t="n">
        <v>2</v>
      </c>
      <c r="C275" s="2" t="s">
        <v>54</v>
      </c>
      <c r="D275" s="21" t="n">
        <v>51700</v>
      </c>
      <c r="E275" s="2" t="s">
        <v>17</v>
      </c>
      <c r="F275" s="2" t="s">
        <v>108</v>
      </c>
    </row>
    <row r="276" customFormat="false" ht="15" hidden="false" customHeight="false" outlineLevel="0" collapsed="false">
      <c r="A276" s="20" t="n">
        <v>45903</v>
      </c>
      <c r="B276" s="2" t="n">
        <v>4</v>
      </c>
      <c r="C276" s="2" t="s">
        <v>58</v>
      </c>
      <c r="D276" s="21" t="n">
        <v>401300</v>
      </c>
      <c r="E276" s="2" t="s">
        <v>89</v>
      </c>
      <c r="F276" s="2" t="s">
        <v>108</v>
      </c>
    </row>
    <row r="277" customFormat="false" ht="15" hidden="false" customHeight="false" outlineLevel="0" collapsed="false">
      <c r="A277" s="20" t="n">
        <v>45903</v>
      </c>
      <c r="B277" s="2" t="n">
        <v>15</v>
      </c>
      <c r="C277" s="2" t="s">
        <v>71</v>
      </c>
      <c r="D277" s="21" t="n">
        <v>508300</v>
      </c>
      <c r="E277" s="2" t="s">
        <v>89</v>
      </c>
      <c r="F277" s="2" t="s">
        <v>108</v>
      </c>
    </row>
    <row r="278" customFormat="false" ht="15" hidden="false" customHeight="false" outlineLevel="0" collapsed="false">
      <c r="A278" s="20" t="n">
        <v>45903</v>
      </c>
      <c r="B278" s="2" t="n">
        <v>18</v>
      </c>
      <c r="C278" s="2" t="s">
        <v>74</v>
      </c>
      <c r="D278" s="21" t="n">
        <v>62900</v>
      </c>
      <c r="E278" s="2" t="s">
        <v>17</v>
      </c>
      <c r="F278" s="2" t="s">
        <v>108</v>
      </c>
    </row>
    <row r="279" customFormat="false" ht="15" hidden="false" customHeight="false" outlineLevel="0" collapsed="false">
      <c r="A279" s="20" t="n">
        <v>45903</v>
      </c>
      <c r="B279" s="2" t="n">
        <v>22</v>
      </c>
      <c r="C279" s="2" t="s">
        <v>79</v>
      </c>
      <c r="D279" s="21" t="n">
        <v>195700</v>
      </c>
      <c r="E279" s="2" t="s">
        <v>17</v>
      </c>
      <c r="F279" s="2" t="s">
        <v>108</v>
      </c>
    </row>
    <row r="280" customFormat="false" ht="15" hidden="false" customHeight="false" outlineLevel="0" collapsed="false">
      <c r="A280" s="20" t="n">
        <v>45903</v>
      </c>
      <c r="B280" s="2" t="n">
        <v>23</v>
      </c>
      <c r="C280" s="2" t="s">
        <v>80</v>
      </c>
      <c r="D280" s="21" t="n">
        <v>114800</v>
      </c>
      <c r="E280" s="2" t="s">
        <v>17</v>
      </c>
      <c r="F280" s="2" t="s">
        <v>108</v>
      </c>
    </row>
    <row r="281" customFormat="false" ht="15" hidden="false" customHeight="false" outlineLevel="0" collapsed="false">
      <c r="A281" s="20" t="n">
        <v>45904</v>
      </c>
      <c r="B281" s="2" t="n">
        <v>11</v>
      </c>
      <c r="C281" s="2" t="s">
        <v>66</v>
      </c>
      <c r="D281" s="21" t="n">
        <v>120900</v>
      </c>
      <c r="E281" s="2" t="s">
        <v>89</v>
      </c>
      <c r="F281" s="2" t="s">
        <v>108</v>
      </c>
    </row>
    <row r="282" customFormat="false" ht="15" hidden="false" customHeight="false" outlineLevel="0" collapsed="false">
      <c r="A282" s="20" t="n">
        <v>45904</v>
      </c>
      <c r="B282" s="2" t="n">
        <v>16</v>
      </c>
      <c r="C282" s="2" t="s">
        <v>72</v>
      </c>
      <c r="D282" s="21" t="n">
        <v>73100</v>
      </c>
      <c r="E282" s="2" t="s">
        <v>17</v>
      </c>
      <c r="F282" s="2" t="s">
        <v>108</v>
      </c>
    </row>
    <row r="283" customFormat="false" ht="15" hidden="false" customHeight="false" outlineLevel="0" collapsed="false">
      <c r="A283" s="20" t="n">
        <v>45906</v>
      </c>
      <c r="B283" s="2" t="n">
        <v>8</v>
      </c>
      <c r="C283" s="2" t="s">
        <v>63</v>
      </c>
      <c r="D283" s="21" t="n">
        <v>128600</v>
      </c>
      <c r="E283" s="2" t="s">
        <v>89</v>
      </c>
      <c r="F283" s="2" t="s">
        <v>108</v>
      </c>
    </row>
    <row r="284" customFormat="false" ht="15" hidden="false" customHeight="false" outlineLevel="0" collapsed="false">
      <c r="A284" s="20" t="n">
        <v>45906</v>
      </c>
      <c r="B284" s="2" t="n">
        <v>19</v>
      </c>
      <c r="C284" s="2" t="s">
        <v>75</v>
      </c>
      <c r="D284" s="21" t="n">
        <v>455300</v>
      </c>
      <c r="E284" s="2" t="s">
        <v>89</v>
      </c>
      <c r="F284" s="2" t="s">
        <v>108</v>
      </c>
    </row>
    <row r="285" customFormat="false" ht="15" hidden="false" customHeight="false" outlineLevel="0" collapsed="false">
      <c r="A285" s="20" t="n">
        <v>45906</v>
      </c>
      <c r="B285" s="2" t="n">
        <v>21</v>
      </c>
      <c r="C285" s="2" t="s">
        <v>77</v>
      </c>
      <c r="D285" s="21" t="n">
        <v>275700</v>
      </c>
      <c r="E285" s="2" t="s">
        <v>89</v>
      </c>
      <c r="F285" s="2" t="s">
        <v>108</v>
      </c>
    </row>
    <row r="286" customFormat="false" ht="15" hidden="false" customHeight="false" outlineLevel="0" collapsed="false">
      <c r="A286" s="20" t="n">
        <v>45906</v>
      </c>
      <c r="B286" s="2" t="n">
        <v>22</v>
      </c>
      <c r="C286" s="2" t="s">
        <v>79</v>
      </c>
      <c r="D286" s="21" t="n">
        <v>214200</v>
      </c>
      <c r="E286" s="2" t="s">
        <v>89</v>
      </c>
      <c r="F286" s="2" t="s">
        <v>108</v>
      </c>
    </row>
    <row r="287" customFormat="false" ht="15" hidden="false" customHeight="false" outlineLevel="0" collapsed="false">
      <c r="A287" s="20" t="n">
        <v>45906</v>
      </c>
      <c r="B287" s="2" t="n">
        <v>23</v>
      </c>
      <c r="C287" s="2" t="s">
        <v>80</v>
      </c>
      <c r="D287" s="21" t="n">
        <v>117900</v>
      </c>
      <c r="E287" s="2" t="s">
        <v>89</v>
      </c>
      <c r="F287" s="2" t="s">
        <v>108</v>
      </c>
    </row>
    <row r="288" customFormat="false" ht="15" hidden="false" customHeight="false" outlineLevel="0" collapsed="false">
      <c r="A288" s="20" t="n">
        <v>45907</v>
      </c>
      <c r="B288" s="2" t="n">
        <v>18</v>
      </c>
      <c r="C288" s="2" t="s">
        <v>74</v>
      </c>
      <c r="D288" s="21" t="n">
        <v>51000</v>
      </c>
      <c r="E288" s="2" t="s">
        <v>89</v>
      </c>
      <c r="F288" s="2" t="s">
        <v>108</v>
      </c>
    </row>
    <row r="289" customFormat="false" ht="15" hidden="false" customHeight="false" outlineLevel="0" collapsed="false">
      <c r="A289" s="20" t="n">
        <v>45909</v>
      </c>
      <c r="B289" s="2" t="n">
        <v>12</v>
      </c>
      <c r="C289" s="2" t="s">
        <v>67</v>
      </c>
      <c r="D289" s="21" t="n">
        <v>106300</v>
      </c>
      <c r="E289" s="2" t="s">
        <v>17</v>
      </c>
      <c r="F289" s="2" t="s">
        <v>108</v>
      </c>
    </row>
    <row r="290" customFormat="false" ht="15" hidden="false" customHeight="false" outlineLevel="0" collapsed="false">
      <c r="A290" s="20" t="n">
        <v>45909</v>
      </c>
      <c r="B290" s="2" t="n">
        <v>23</v>
      </c>
      <c r="C290" s="2" t="s">
        <v>80</v>
      </c>
      <c r="D290" s="21" t="n">
        <v>110400</v>
      </c>
      <c r="E290" s="2" t="s">
        <v>89</v>
      </c>
      <c r="F290" s="2" t="s">
        <v>108</v>
      </c>
    </row>
    <row r="291" customFormat="false" ht="15" hidden="false" customHeight="false" outlineLevel="0" collapsed="false">
      <c r="A291" s="20" t="n">
        <v>45910</v>
      </c>
      <c r="B291" s="2" t="n">
        <v>8</v>
      </c>
      <c r="C291" s="2" t="s">
        <v>63</v>
      </c>
      <c r="D291" s="21" t="n">
        <v>170400</v>
      </c>
      <c r="E291" s="2" t="s">
        <v>17</v>
      </c>
      <c r="F291" s="2" t="s">
        <v>108</v>
      </c>
    </row>
    <row r="292" customFormat="false" ht="15" hidden="false" customHeight="false" outlineLevel="0" collapsed="false">
      <c r="A292" s="20" t="n">
        <v>45911</v>
      </c>
      <c r="B292" s="2" t="n">
        <v>2</v>
      </c>
      <c r="C292" s="2" t="s">
        <v>54</v>
      </c>
      <c r="D292" s="21" t="n">
        <v>70000</v>
      </c>
      <c r="E292" s="2" t="s">
        <v>89</v>
      </c>
      <c r="F292" s="2" t="s">
        <v>108</v>
      </c>
    </row>
    <row r="293" customFormat="false" ht="15" hidden="false" customHeight="false" outlineLevel="0" collapsed="false">
      <c r="A293" s="20" t="n">
        <v>45911</v>
      </c>
      <c r="B293" s="2" t="n">
        <v>7</v>
      </c>
      <c r="C293" s="2" t="s">
        <v>62</v>
      </c>
      <c r="D293" s="21" t="n">
        <v>146800</v>
      </c>
      <c r="E293" s="2" t="s">
        <v>89</v>
      </c>
      <c r="F293" s="2" t="s">
        <v>108</v>
      </c>
    </row>
    <row r="294" customFormat="false" ht="15" hidden="false" customHeight="false" outlineLevel="0" collapsed="false">
      <c r="A294" s="20" t="n">
        <v>45911</v>
      </c>
      <c r="B294" s="2" t="n">
        <v>11</v>
      </c>
      <c r="C294" s="2" t="s">
        <v>66</v>
      </c>
      <c r="D294" s="21" t="n">
        <v>146300</v>
      </c>
      <c r="E294" s="2" t="s">
        <v>89</v>
      </c>
      <c r="F294" s="2" t="s">
        <v>108</v>
      </c>
    </row>
    <row r="295" customFormat="false" ht="15" hidden="false" customHeight="false" outlineLevel="0" collapsed="false">
      <c r="A295" s="20" t="n">
        <v>45911</v>
      </c>
      <c r="B295" s="2" t="n">
        <v>22</v>
      </c>
      <c r="C295" s="2" t="s">
        <v>79</v>
      </c>
      <c r="D295" s="21" t="n">
        <v>206700</v>
      </c>
      <c r="E295" s="2" t="s">
        <v>17</v>
      </c>
      <c r="F295" s="2" t="s">
        <v>108</v>
      </c>
    </row>
    <row r="296" customFormat="false" ht="15" hidden="false" customHeight="false" outlineLevel="0" collapsed="false">
      <c r="A296" s="20" t="n">
        <v>45912</v>
      </c>
      <c r="B296" s="2" t="n">
        <v>6</v>
      </c>
      <c r="C296" s="2" t="s">
        <v>60</v>
      </c>
      <c r="D296" s="21" t="n">
        <v>121400</v>
      </c>
      <c r="E296" s="2" t="s">
        <v>17</v>
      </c>
      <c r="F296" s="2" t="s">
        <v>108</v>
      </c>
    </row>
    <row r="297" customFormat="false" ht="15" hidden="false" customHeight="false" outlineLevel="0" collapsed="false">
      <c r="A297" s="20" t="n">
        <v>45912</v>
      </c>
      <c r="B297" s="2" t="n">
        <v>16</v>
      </c>
      <c r="C297" s="2" t="s">
        <v>72</v>
      </c>
      <c r="D297" s="21" t="n">
        <v>76200</v>
      </c>
      <c r="E297" s="2" t="s">
        <v>89</v>
      </c>
      <c r="F297" s="2" t="s">
        <v>108</v>
      </c>
    </row>
    <row r="298" customFormat="false" ht="15" hidden="false" customHeight="false" outlineLevel="0" collapsed="false">
      <c r="A298" s="20" t="n">
        <v>45912</v>
      </c>
      <c r="B298" s="2" t="n">
        <v>23</v>
      </c>
      <c r="C298" s="2" t="s">
        <v>80</v>
      </c>
      <c r="D298" s="21" t="n">
        <v>77800</v>
      </c>
      <c r="E298" s="2" t="s">
        <v>17</v>
      </c>
      <c r="F298" s="2" t="s">
        <v>108</v>
      </c>
    </row>
    <row r="299" customFormat="false" ht="15" hidden="false" customHeight="false" outlineLevel="0" collapsed="false">
      <c r="A299" s="20" t="n">
        <v>45913</v>
      </c>
      <c r="B299" s="2" t="n">
        <v>8</v>
      </c>
      <c r="C299" s="2" t="s">
        <v>63</v>
      </c>
      <c r="D299" s="21" t="n">
        <v>159600</v>
      </c>
      <c r="E299" s="2" t="s">
        <v>17</v>
      </c>
      <c r="F299" s="2" t="s">
        <v>108</v>
      </c>
    </row>
    <row r="300" customFormat="false" ht="15" hidden="false" customHeight="false" outlineLevel="0" collapsed="false">
      <c r="A300" s="20" t="n">
        <v>45913</v>
      </c>
      <c r="B300" s="2" t="n">
        <v>18</v>
      </c>
      <c r="C300" s="2" t="s">
        <v>74</v>
      </c>
      <c r="D300" s="21" t="n">
        <v>60000</v>
      </c>
      <c r="E300" s="2" t="s">
        <v>17</v>
      </c>
      <c r="F300" s="2" t="s">
        <v>108</v>
      </c>
    </row>
    <row r="301" customFormat="false" ht="15" hidden="false" customHeight="false" outlineLevel="0" collapsed="false">
      <c r="A301" s="20" t="n">
        <v>45914</v>
      </c>
      <c r="B301" s="2" t="n">
        <v>22</v>
      </c>
      <c r="C301" s="2" t="s">
        <v>79</v>
      </c>
      <c r="D301" s="21" t="n">
        <v>171600</v>
      </c>
      <c r="E301" s="2" t="s">
        <v>89</v>
      </c>
      <c r="F301" s="2" t="s">
        <v>108</v>
      </c>
    </row>
    <row r="302" customFormat="false" ht="15" hidden="false" customHeight="false" outlineLevel="0" collapsed="false">
      <c r="A302" s="20" t="n">
        <v>45916</v>
      </c>
      <c r="B302" s="2" t="n">
        <v>5</v>
      </c>
      <c r="C302" s="2" t="s">
        <v>59</v>
      </c>
      <c r="D302" s="21" t="n">
        <v>547000</v>
      </c>
      <c r="E302" s="2" t="s">
        <v>89</v>
      </c>
      <c r="F302" s="2" t="s">
        <v>108</v>
      </c>
    </row>
    <row r="303" customFormat="false" ht="15" hidden="false" customHeight="false" outlineLevel="0" collapsed="false">
      <c r="A303" s="20" t="n">
        <v>45916</v>
      </c>
      <c r="B303" s="2" t="n">
        <v>23</v>
      </c>
      <c r="C303" s="2" t="s">
        <v>80</v>
      </c>
      <c r="D303" s="21" t="n">
        <v>112200</v>
      </c>
      <c r="E303" s="2" t="s">
        <v>17</v>
      </c>
      <c r="F303" s="2" t="s">
        <v>108</v>
      </c>
    </row>
    <row r="304" customFormat="false" ht="15" hidden="false" customHeight="false" outlineLevel="0" collapsed="false">
      <c r="A304" s="20" t="n">
        <v>45917</v>
      </c>
      <c r="B304" s="2" t="n">
        <v>9</v>
      </c>
      <c r="C304" s="2" t="s">
        <v>64</v>
      </c>
      <c r="D304" s="21" t="n">
        <v>53600</v>
      </c>
      <c r="E304" s="2" t="s">
        <v>89</v>
      </c>
      <c r="F304" s="2" t="s">
        <v>108</v>
      </c>
    </row>
    <row r="305" customFormat="false" ht="15" hidden="false" customHeight="false" outlineLevel="0" collapsed="false">
      <c r="A305" s="20" t="n">
        <v>45917</v>
      </c>
      <c r="B305" s="2" t="n">
        <v>11</v>
      </c>
      <c r="C305" s="2" t="s">
        <v>66</v>
      </c>
      <c r="D305" s="21" t="n">
        <v>151300</v>
      </c>
      <c r="E305" s="2" t="s">
        <v>17</v>
      </c>
      <c r="F305" s="2" t="s">
        <v>108</v>
      </c>
    </row>
    <row r="306" customFormat="false" ht="15" hidden="false" customHeight="false" outlineLevel="0" collapsed="false">
      <c r="A306" s="20" t="n">
        <v>45917</v>
      </c>
      <c r="B306" s="2" t="n">
        <v>12</v>
      </c>
      <c r="C306" s="2" t="s">
        <v>67</v>
      </c>
      <c r="D306" s="21" t="n">
        <v>95400</v>
      </c>
      <c r="E306" s="2" t="s">
        <v>89</v>
      </c>
      <c r="F306" s="2" t="s">
        <v>108</v>
      </c>
    </row>
    <row r="307" customFormat="false" ht="15" hidden="false" customHeight="false" outlineLevel="0" collapsed="false">
      <c r="A307" s="20" t="n">
        <v>45917</v>
      </c>
      <c r="B307" s="2" t="n">
        <v>22</v>
      </c>
      <c r="C307" s="2" t="s">
        <v>79</v>
      </c>
      <c r="D307" s="21" t="n">
        <v>176900</v>
      </c>
      <c r="E307" s="2" t="s">
        <v>17</v>
      </c>
      <c r="F307" s="2" t="s">
        <v>108</v>
      </c>
    </row>
    <row r="308" customFormat="false" ht="15" hidden="false" customHeight="false" outlineLevel="0" collapsed="false">
      <c r="A308" s="20" t="n">
        <v>45918</v>
      </c>
      <c r="B308" s="2" t="n">
        <v>8</v>
      </c>
      <c r="C308" s="2" t="s">
        <v>63</v>
      </c>
      <c r="D308" s="21" t="n">
        <v>173300</v>
      </c>
      <c r="E308" s="2" t="s">
        <v>17</v>
      </c>
      <c r="F308" s="2" t="s">
        <v>108</v>
      </c>
    </row>
    <row r="309" customFormat="false" ht="15" hidden="false" customHeight="false" outlineLevel="0" collapsed="false">
      <c r="A309" s="20" t="n">
        <v>45918</v>
      </c>
      <c r="B309" s="2" t="n">
        <v>16</v>
      </c>
      <c r="C309" s="2" t="s">
        <v>72</v>
      </c>
      <c r="D309" s="21" t="n">
        <v>109800</v>
      </c>
      <c r="E309" s="2" t="s">
        <v>89</v>
      </c>
      <c r="F309" s="2" t="s">
        <v>108</v>
      </c>
    </row>
    <row r="310" customFormat="false" ht="15" hidden="false" customHeight="false" outlineLevel="0" collapsed="false">
      <c r="A310" s="20" t="n">
        <v>45918</v>
      </c>
      <c r="B310" s="2" t="n">
        <v>18</v>
      </c>
      <c r="C310" s="2" t="s">
        <v>74</v>
      </c>
      <c r="D310" s="21" t="n">
        <v>53400</v>
      </c>
      <c r="E310" s="2" t="s">
        <v>17</v>
      </c>
      <c r="F310" s="2" t="s">
        <v>108</v>
      </c>
    </row>
    <row r="311" customFormat="false" ht="15" hidden="false" customHeight="false" outlineLevel="0" collapsed="false">
      <c r="A311" s="20" t="n">
        <v>45919</v>
      </c>
      <c r="B311" s="2" t="n">
        <v>2</v>
      </c>
      <c r="C311" s="2" t="s">
        <v>54</v>
      </c>
      <c r="D311" s="21" t="n">
        <v>56600</v>
      </c>
      <c r="E311" s="2" t="s">
        <v>89</v>
      </c>
      <c r="F311" s="2" t="s">
        <v>108</v>
      </c>
    </row>
    <row r="312" customFormat="false" ht="15" hidden="false" customHeight="false" outlineLevel="0" collapsed="false">
      <c r="A312" s="20" t="n">
        <v>45919</v>
      </c>
      <c r="B312" s="2" t="n">
        <v>13</v>
      </c>
      <c r="C312" s="2" t="s">
        <v>68</v>
      </c>
      <c r="D312" s="21" t="n">
        <v>154400</v>
      </c>
      <c r="E312" s="2" t="s">
        <v>89</v>
      </c>
      <c r="F312" s="2" t="s">
        <v>108</v>
      </c>
    </row>
    <row r="313" customFormat="false" ht="15" hidden="false" customHeight="false" outlineLevel="0" collapsed="false">
      <c r="A313" s="20" t="n">
        <v>45920</v>
      </c>
      <c r="B313" s="2" t="n">
        <v>19</v>
      </c>
      <c r="C313" s="2" t="s">
        <v>75</v>
      </c>
      <c r="D313" s="21" t="n">
        <v>436800</v>
      </c>
      <c r="E313" s="2" t="s">
        <v>89</v>
      </c>
      <c r="F313" s="2" t="s">
        <v>108</v>
      </c>
    </row>
    <row r="314" customFormat="false" ht="15" hidden="false" customHeight="false" outlineLevel="0" collapsed="false">
      <c r="A314" s="20" t="n">
        <v>45920</v>
      </c>
      <c r="B314" s="2" t="n">
        <v>22</v>
      </c>
      <c r="C314" s="2" t="s">
        <v>79</v>
      </c>
      <c r="D314" s="21" t="n">
        <v>196600</v>
      </c>
      <c r="E314" s="2" t="s">
        <v>89</v>
      </c>
      <c r="F314" s="2" t="s">
        <v>108</v>
      </c>
    </row>
    <row r="315" customFormat="false" ht="15" hidden="false" customHeight="false" outlineLevel="0" collapsed="false">
      <c r="A315" s="20" t="n">
        <v>45921</v>
      </c>
      <c r="B315" s="2" t="n">
        <v>8</v>
      </c>
      <c r="C315" s="2" t="s">
        <v>63</v>
      </c>
      <c r="D315" s="21" t="n">
        <v>142700</v>
      </c>
      <c r="E315" s="2" t="s">
        <v>89</v>
      </c>
      <c r="F315" s="2" t="s">
        <v>108</v>
      </c>
    </row>
    <row r="316" customFormat="false" ht="15" hidden="false" customHeight="false" outlineLevel="0" collapsed="false">
      <c r="A316" s="20" t="n">
        <v>45921</v>
      </c>
      <c r="B316" s="2" t="n">
        <v>23</v>
      </c>
      <c r="C316" s="2" t="s">
        <v>80</v>
      </c>
      <c r="D316" s="21" t="n">
        <v>106200</v>
      </c>
      <c r="E316" s="2" t="s">
        <v>17</v>
      </c>
      <c r="F316" s="2" t="s">
        <v>108</v>
      </c>
    </row>
    <row r="317" customFormat="false" ht="15" hidden="false" customHeight="false" outlineLevel="0" collapsed="false">
      <c r="A317" s="20" t="n">
        <v>45923</v>
      </c>
      <c r="B317" s="2" t="n">
        <v>11</v>
      </c>
      <c r="C317" s="2" t="s">
        <v>66</v>
      </c>
      <c r="D317" s="21" t="n">
        <v>148400</v>
      </c>
      <c r="E317" s="2" t="s">
        <v>17</v>
      </c>
      <c r="F317" s="2" t="s">
        <v>108</v>
      </c>
    </row>
    <row r="318" customFormat="false" ht="15" hidden="false" customHeight="false" outlineLevel="0" collapsed="false">
      <c r="A318" s="20" t="n">
        <v>45923</v>
      </c>
      <c r="B318" s="2" t="n">
        <v>18</v>
      </c>
      <c r="C318" s="2" t="s">
        <v>74</v>
      </c>
      <c r="D318" s="21" t="n">
        <v>62600</v>
      </c>
      <c r="E318" s="2" t="s">
        <v>17</v>
      </c>
      <c r="F318" s="2" t="s">
        <v>108</v>
      </c>
    </row>
    <row r="319" customFormat="false" ht="15" hidden="false" customHeight="false" outlineLevel="0" collapsed="false">
      <c r="A319" s="20" t="n">
        <v>45924</v>
      </c>
      <c r="B319" s="2" t="n">
        <v>8</v>
      </c>
      <c r="C319" s="2" t="s">
        <v>63</v>
      </c>
      <c r="D319" s="21" t="n">
        <v>106800</v>
      </c>
      <c r="E319" s="2" t="s">
        <v>89</v>
      </c>
      <c r="F319" s="2" t="s">
        <v>108</v>
      </c>
    </row>
    <row r="320" customFormat="false" ht="15" hidden="false" customHeight="false" outlineLevel="0" collapsed="false">
      <c r="A320" s="20" t="n">
        <v>45924</v>
      </c>
      <c r="B320" s="2" t="n">
        <v>9</v>
      </c>
      <c r="C320" s="2" t="s">
        <v>64</v>
      </c>
      <c r="D320" s="21" t="n">
        <v>71600</v>
      </c>
      <c r="E320" s="2" t="s">
        <v>17</v>
      </c>
      <c r="F320" s="2" t="s">
        <v>108</v>
      </c>
    </row>
    <row r="321" customFormat="false" ht="15" hidden="false" customHeight="false" outlineLevel="0" collapsed="false">
      <c r="A321" s="20" t="n">
        <v>45924</v>
      </c>
      <c r="B321" s="2" t="n">
        <v>12</v>
      </c>
      <c r="C321" s="2" t="s">
        <v>67</v>
      </c>
      <c r="D321" s="21" t="n">
        <v>115100</v>
      </c>
      <c r="E321" s="2" t="s">
        <v>17</v>
      </c>
      <c r="F321" s="2" t="s">
        <v>108</v>
      </c>
    </row>
    <row r="322" customFormat="false" ht="15" hidden="false" customHeight="false" outlineLevel="0" collapsed="false">
      <c r="A322" s="20" t="n">
        <v>45924</v>
      </c>
      <c r="B322" s="2" t="n">
        <v>22</v>
      </c>
      <c r="C322" s="2" t="s">
        <v>79</v>
      </c>
      <c r="D322" s="21" t="n">
        <v>137800</v>
      </c>
      <c r="E322" s="2" t="s">
        <v>17</v>
      </c>
      <c r="F322" s="2" t="s">
        <v>108</v>
      </c>
    </row>
    <row r="323" customFormat="false" ht="15" hidden="false" customHeight="false" outlineLevel="0" collapsed="false">
      <c r="A323" s="20" t="n">
        <v>45925</v>
      </c>
      <c r="B323" s="2" t="n">
        <v>2</v>
      </c>
      <c r="C323" s="2" t="s">
        <v>54</v>
      </c>
      <c r="D323" s="21" t="n">
        <v>54900</v>
      </c>
      <c r="E323" s="2" t="s">
        <v>89</v>
      </c>
      <c r="F323" s="2" t="s">
        <v>108</v>
      </c>
    </row>
    <row r="324" customFormat="false" ht="15" hidden="false" customHeight="false" outlineLevel="0" collapsed="false">
      <c r="A324" s="20" t="n">
        <v>45925</v>
      </c>
      <c r="B324" s="2" t="n">
        <v>14</v>
      </c>
      <c r="C324" s="2" t="s">
        <v>70</v>
      </c>
      <c r="D324" s="21" t="n">
        <v>347700</v>
      </c>
      <c r="E324" s="2" t="s">
        <v>89</v>
      </c>
      <c r="F324" s="2" t="s">
        <v>108</v>
      </c>
    </row>
    <row r="325" customFormat="false" ht="15" hidden="false" customHeight="false" outlineLevel="0" collapsed="false">
      <c r="A325" s="20" t="n">
        <v>45925</v>
      </c>
      <c r="B325" s="2" t="n">
        <v>23</v>
      </c>
      <c r="C325" s="2" t="s">
        <v>80</v>
      </c>
      <c r="D325" s="21" t="n">
        <v>102800</v>
      </c>
      <c r="E325" s="2" t="s">
        <v>89</v>
      </c>
      <c r="F325" s="2" t="s">
        <v>108</v>
      </c>
    </row>
    <row r="326" customFormat="false" ht="15" hidden="false" customHeight="false" outlineLevel="0" collapsed="false">
      <c r="A326" s="20" t="n">
        <v>45925</v>
      </c>
      <c r="B326" s="2" t="n">
        <v>24</v>
      </c>
      <c r="C326" s="2" t="s">
        <v>81</v>
      </c>
      <c r="D326" s="21" t="n">
        <v>279800</v>
      </c>
      <c r="E326" s="2" t="s">
        <v>89</v>
      </c>
      <c r="F326" s="2" t="s">
        <v>108</v>
      </c>
    </row>
    <row r="327" customFormat="false" ht="15" hidden="false" customHeight="false" outlineLevel="0" collapsed="false">
      <c r="A327" s="20" t="n">
        <v>45926</v>
      </c>
      <c r="B327" s="2" t="n">
        <v>4</v>
      </c>
      <c r="C327" s="2" t="s">
        <v>58</v>
      </c>
      <c r="D327" s="21" t="n">
        <v>420800</v>
      </c>
      <c r="E327" s="2" t="s">
        <v>89</v>
      </c>
      <c r="F327" s="2" t="s">
        <v>108</v>
      </c>
    </row>
    <row r="328" customFormat="false" ht="15" hidden="false" customHeight="false" outlineLevel="0" collapsed="false">
      <c r="A328" s="20" t="n">
        <v>45926</v>
      </c>
      <c r="B328" s="2" t="n">
        <v>15</v>
      </c>
      <c r="C328" s="2" t="s">
        <v>71</v>
      </c>
      <c r="D328" s="21" t="n">
        <v>478900</v>
      </c>
      <c r="E328" s="2" t="s">
        <v>17</v>
      </c>
      <c r="F328" s="2" t="s">
        <v>108</v>
      </c>
    </row>
    <row r="329" customFormat="false" ht="15" hidden="false" customHeight="false" outlineLevel="0" collapsed="false">
      <c r="A329" s="20" t="n">
        <v>45926</v>
      </c>
      <c r="B329" s="2" t="n">
        <v>16</v>
      </c>
      <c r="C329" s="2" t="s">
        <v>72</v>
      </c>
      <c r="D329" s="21" t="n">
        <v>101300</v>
      </c>
      <c r="E329" s="2" t="s">
        <v>17</v>
      </c>
      <c r="F329" s="2" t="s">
        <v>108</v>
      </c>
    </row>
    <row r="330" customFormat="false" ht="15" hidden="false" customHeight="false" outlineLevel="0" collapsed="false">
      <c r="A330" s="20" t="n">
        <v>45926</v>
      </c>
      <c r="B330" s="2" t="n">
        <v>20</v>
      </c>
      <c r="C330" s="2" t="s">
        <v>76</v>
      </c>
      <c r="D330" s="21" t="n">
        <v>584900</v>
      </c>
      <c r="E330" s="2" t="s">
        <v>89</v>
      </c>
      <c r="F330" s="2" t="s">
        <v>108</v>
      </c>
    </row>
    <row r="331" customFormat="false" ht="15" hidden="false" customHeight="false" outlineLevel="0" collapsed="false">
      <c r="A331" s="20" t="n">
        <v>45927</v>
      </c>
      <c r="B331" s="2" t="n">
        <v>1</v>
      </c>
      <c r="C331" s="2" t="s">
        <v>51</v>
      </c>
      <c r="D331" s="21" t="n">
        <v>455900</v>
      </c>
      <c r="E331" s="2" t="s">
        <v>89</v>
      </c>
      <c r="F331" s="2" t="s">
        <v>108</v>
      </c>
    </row>
    <row r="332" customFormat="false" ht="15" hidden="false" customHeight="false" outlineLevel="0" collapsed="false">
      <c r="A332" s="20" t="n">
        <v>45927</v>
      </c>
      <c r="B332" s="2" t="n">
        <v>8</v>
      </c>
      <c r="C332" s="2" t="s">
        <v>63</v>
      </c>
      <c r="D332" s="21" t="n">
        <v>141400</v>
      </c>
      <c r="E332" s="2" t="s">
        <v>89</v>
      </c>
      <c r="F332" s="2" t="s">
        <v>108</v>
      </c>
    </row>
    <row r="333" customFormat="false" ht="15" hidden="false" customHeight="false" outlineLevel="0" collapsed="false">
      <c r="A333" s="20" t="n">
        <v>45928</v>
      </c>
      <c r="B333" s="2" t="n">
        <v>18</v>
      </c>
      <c r="C333" s="2" t="s">
        <v>74</v>
      </c>
      <c r="D333" s="21" t="n">
        <v>72700</v>
      </c>
      <c r="E333" s="2" t="s">
        <v>17</v>
      </c>
      <c r="F333" s="2" t="s">
        <v>108</v>
      </c>
    </row>
    <row r="334" customFormat="false" ht="15" hidden="false" customHeight="false" outlineLevel="0" collapsed="false">
      <c r="A334" s="20" t="n">
        <v>45931</v>
      </c>
      <c r="B334" s="2" t="n">
        <v>8</v>
      </c>
      <c r="C334" s="2" t="s">
        <v>63</v>
      </c>
      <c r="D334" s="21" t="n">
        <v>114200</v>
      </c>
      <c r="E334" s="2" t="s">
        <v>89</v>
      </c>
      <c r="F334" s="2" t="s">
        <v>108</v>
      </c>
    </row>
    <row r="335" customFormat="false" ht="15" hidden="false" customHeight="false" outlineLevel="0" collapsed="false">
      <c r="A335" s="20" t="n">
        <v>45931</v>
      </c>
      <c r="B335" s="2" t="n">
        <v>11</v>
      </c>
      <c r="C335" s="2" t="s">
        <v>66</v>
      </c>
      <c r="D335" s="21" t="n">
        <v>159900</v>
      </c>
      <c r="E335" s="2" t="s">
        <v>17</v>
      </c>
      <c r="F335" s="2" t="s">
        <v>108</v>
      </c>
    </row>
    <row r="336" customFormat="false" ht="15" hidden="false" customHeight="false" outlineLevel="0" collapsed="false">
      <c r="A336" s="20" t="n">
        <v>45932</v>
      </c>
      <c r="B336" s="2" t="n">
        <v>12</v>
      </c>
      <c r="C336" s="2" t="s">
        <v>67</v>
      </c>
      <c r="D336" s="21" t="n">
        <v>123800</v>
      </c>
      <c r="E336" s="2" t="s">
        <v>17</v>
      </c>
      <c r="F336" s="2" t="s">
        <v>108</v>
      </c>
    </row>
    <row r="337" customFormat="false" ht="15" hidden="false" customHeight="false" outlineLevel="0" collapsed="false">
      <c r="A337" s="20" t="n">
        <v>45932</v>
      </c>
      <c r="B337" s="2" t="n">
        <v>22</v>
      </c>
      <c r="C337" s="2" t="s">
        <v>79</v>
      </c>
      <c r="D337" s="21" t="n">
        <v>136200</v>
      </c>
      <c r="E337" s="2" t="s">
        <v>89</v>
      </c>
      <c r="F337" s="2" t="s">
        <v>108</v>
      </c>
    </row>
    <row r="338" customFormat="false" ht="15" hidden="false" customHeight="false" outlineLevel="0" collapsed="false">
      <c r="A338" s="20" t="n">
        <v>45932</v>
      </c>
      <c r="B338" s="2" t="n">
        <v>23</v>
      </c>
      <c r="C338" s="2" t="s">
        <v>80</v>
      </c>
      <c r="D338" s="21" t="n">
        <v>120600</v>
      </c>
      <c r="E338" s="2" t="s">
        <v>17</v>
      </c>
      <c r="F338" s="2" t="s">
        <v>108</v>
      </c>
    </row>
    <row r="339" customFormat="false" ht="15" hidden="false" customHeight="false" outlineLevel="0" collapsed="false">
      <c r="A339" s="20" t="n">
        <v>45933</v>
      </c>
      <c r="B339" s="2" t="n">
        <v>2</v>
      </c>
      <c r="C339" s="2" t="s">
        <v>54</v>
      </c>
      <c r="D339" s="21" t="n">
        <v>46900</v>
      </c>
      <c r="E339" s="2" t="s">
        <v>17</v>
      </c>
      <c r="F339" s="2" t="s">
        <v>108</v>
      </c>
    </row>
    <row r="340" customFormat="false" ht="15" hidden="false" customHeight="false" outlineLevel="0" collapsed="false">
      <c r="A340" s="20" t="n">
        <v>45933</v>
      </c>
      <c r="B340" s="2" t="n">
        <v>7</v>
      </c>
      <c r="C340" s="2" t="s">
        <v>62</v>
      </c>
      <c r="D340" s="21" t="n">
        <v>169800</v>
      </c>
      <c r="E340" s="2" t="s">
        <v>17</v>
      </c>
      <c r="F340" s="2" t="s">
        <v>108</v>
      </c>
    </row>
    <row r="341" customFormat="false" ht="15" hidden="false" customHeight="false" outlineLevel="0" collapsed="false">
      <c r="A341" s="20" t="n">
        <v>45933</v>
      </c>
      <c r="B341" s="2" t="n">
        <v>8</v>
      </c>
      <c r="C341" s="2" t="s">
        <v>63</v>
      </c>
      <c r="D341" s="21" t="n">
        <v>135200</v>
      </c>
      <c r="E341" s="2" t="s">
        <v>89</v>
      </c>
      <c r="F341" s="2" t="s">
        <v>108</v>
      </c>
    </row>
    <row r="342" customFormat="false" ht="15" hidden="false" customHeight="false" outlineLevel="0" collapsed="false">
      <c r="A342" s="20" t="n">
        <v>45933</v>
      </c>
      <c r="B342" s="2" t="n">
        <v>9</v>
      </c>
      <c r="C342" s="2" t="s">
        <v>64</v>
      </c>
      <c r="D342" s="21" t="n">
        <v>69900</v>
      </c>
      <c r="E342" s="2" t="s">
        <v>17</v>
      </c>
      <c r="F342" s="2" t="s">
        <v>108</v>
      </c>
    </row>
    <row r="343" customFormat="false" ht="15" hidden="false" customHeight="false" outlineLevel="0" collapsed="false">
      <c r="A343" s="20" t="n">
        <v>45933</v>
      </c>
      <c r="B343" s="2" t="n">
        <v>16</v>
      </c>
      <c r="C343" s="2" t="s">
        <v>72</v>
      </c>
      <c r="D343" s="21" t="n">
        <v>102500</v>
      </c>
      <c r="E343" s="2" t="s">
        <v>17</v>
      </c>
      <c r="F343" s="2" t="s">
        <v>108</v>
      </c>
    </row>
    <row r="344" customFormat="false" ht="15" hidden="false" customHeight="false" outlineLevel="0" collapsed="false">
      <c r="A344" s="20" t="n">
        <v>45934</v>
      </c>
      <c r="B344" s="2" t="n">
        <v>18</v>
      </c>
      <c r="C344" s="2" t="s">
        <v>74</v>
      </c>
      <c r="D344" s="21" t="n">
        <v>76700</v>
      </c>
      <c r="E344" s="2" t="s">
        <v>89</v>
      </c>
      <c r="F344" s="2" t="s">
        <v>108</v>
      </c>
    </row>
    <row r="345" customFormat="false" ht="15" hidden="false" customHeight="false" outlineLevel="0" collapsed="false">
      <c r="A345" s="20" t="n">
        <v>45935</v>
      </c>
      <c r="B345" s="2" t="n">
        <v>23</v>
      </c>
      <c r="C345" s="2" t="s">
        <v>80</v>
      </c>
      <c r="D345" s="21" t="n">
        <v>98200</v>
      </c>
      <c r="E345" s="2" t="s">
        <v>89</v>
      </c>
      <c r="F345" s="2" t="s">
        <v>108</v>
      </c>
    </row>
    <row r="346" customFormat="false" ht="15" hidden="false" customHeight="false" outlineLevel="0" collapsed="false">
      <c r="A346" s="20" t="n">
        <v>45936</v>
      </c>
      <c r="B346" s="2" t="n">
        <v>19</v>
      </c>
      <c r="C346" s="2" t="s">
        <v>75</v>
      </c>
      <c r="D346" s="21" t="n">
        <v>473900</v>
      </c>
      <c r="E346" s="2" t="s">
        <v>89</v>
      </c>
      <c r="F346" s="2" t="s">
        <v>108</v>
      </c>
    </row>
    <row r="347" customFormat="false" ht="15" hidden="false" customHeight="false" outlineLevel="0" collapsed="false">
      <c r="A347" s="20" t="n">
        <v>45936</v>
      </c>
      <c r="B347" s="2" t="n">
        <v>21</v>
      </c>
      <c r="C347" s="2" t="s">
        <v>77</v>
      </c>
      <c r="D347" s="21" t="n">
        <v>115400</v>
      </c>
      <c r="E347" s="2" t="s">
        <v>17</v>
      </c>
      <c r="F347" s="2" t="s">
        <v>108</v>
      </c>
    </row>
    <row r="348" customFormat="false" ht="15" hidden="false" customHeight="false" outlineLevel="0" collapsed="false">
      <c r="A348" s="20" t="n">
        <v>45937</v>
      </c>
      <c r="B348" s="2" t="n">
        <v>6</v>
      </c>
      <c r="C348" s="2" t="s">
        <v>60</v>
      </c>
      <c r="D348" s="21" t="n">
        <v>83800</v>
      </c>
      <c r="E348" s="2" t="s">
        <v>17</v>
      </c>
      <c r="F348" s="2" t="s">
        <v>108</v>
      </c>
    </row>
    <row r="349" customFormat="false" ht="15" hidden="false" customHeight="false" outlineLevel="0" collapsed="false">
      <c r="A349" s="20" t="n">
        <v>45937</v>
      </c>
      <c r="B349" s="2" t="n">
        <v>8</v>
      </c>
      <c r="C349" s="2" t="s">
        <v>63</v>
      </c>
      <c r="D349" s="21" t="n">
        <v>140700</v>
      </c>
      <c r="E349" s="2" t="s">
        <v>17</v>
      </c>
      <c r="F349" s="2" t="s">
        <v>108</v>
      </c>
    </row>
    <row r="350" customFormat="false" ht="15" hidden="false" customHeight="false" outlineLevel="0" collapsed="false">
      <c r="A350" s="20" t="n">
        <v>45937</v>
      </c>
      <c r="B350" s="2" t="n">
        <v>22</v>
      </c>
      <c r="C350" s="2" t="s">
        <v>79</v>
      </c>
      <c r="D350" s="21" t="n">
        <v>212900</v>
      </c>
      <c r="E350" s="2" t="s">
        <v>17</v>
      </c>
      <c r="F350" s="2" t="s">
        <v>108</v>
      </c>
    </row>
    <row r="351" customFormat="false" ht="15" hidden="false" customHeight="false" outlineLevel="0" collapsed="false">
      <c r="A351" s="20" t="n">
        <v>45939</v>
      </c>
      <c r="B351" s="2" t="n">
        <v>2</v>
      </c>
      <c r="C351" s="2" t="s">
        <v>54</v>
      </c>
      <c r="D351" s="21" t="n">
        <v>71900</v>
      </c>
      <c r="E351" s="2" t="s">
        <v>17</v>
      </c>
      <c r="F351" s="2" t="s">
        <v>108</v>
      </c>
    </row>
    <row r="352" customFormat="false" ht="15" hidden="false" customHeight="false" outlineLevel="0" collapsed="false">
      <c r="A352" s="20" t="n">
        <v>45939</v>
      </c>
      <c r="B352" s="2" t="n">
        <v>11</v>
      </c>
      <c r="C352" s="2" t="s">
        <v>66</v>
      </c>
      <c r="D352" s="21" t="n">
        <v>155200</v>
      </c>
      <c r="E352" s="2" t="s">
        <v>17</v>
      </c>
      <c r="F352" s="2" t="s">
        <v>108</v>
      </c>
    </row>
    <row r="353" customFormat="false" ht="15" hidden="false" customHeight="false" outlineLevel="0" collapsed="false">
      <c r="A353" s="20" t="n">
        <v>45939</v>
      </c>
      <c r="B353" s="2" t="n">
        <v>18</v>
      </c>
      <c r="C353" s="2" t="s">
        <v>74</v>
      </c>
      <c r="D353" s="21" t="n">
        <v>54700</v>
      </c>
      <c r="E353" s="2" t="s">
        <v>89</v>
      </c>
      <c r="F353" s="2" t="s">
        <v>108</v>
      </c>
    </row>
  </sheetData>
  <autoFilter ref="A1:F3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44"/>
  </cols>
  <sheetData>
    <row r="1" customFormat="false" ht="31.5" hidden="false" customHeight="true" outlineLevel="0" collapsed="false">
      <c r="A1" s="7" t="s">
        <v>116</v>
      </c>
      <c r="B1" s="7" t="s">
        <v>117</v>
      </c>
      <c r="C1" s="7" t="s">
        <v>118</v>
      </c>
      <c r="D1" s="7" t="s">
        <v>119</v>
      </c>
      <c r="E1" s="7" t="s">
        <v>120</v>
      </c>
    </row>
    <row r="2" customFormat="false" ht="15" hidden="false" customHeight="false" outlineLevel="0" collapsed="false">
      <c r="A2" s="2" t="s">
        <v>121</v>
      </c>
      <c r="B2" s="2" t="n">
        <v>1</v>
      </c>
      <c r="C2" s="2" t="s">
        <v>122</v>
      </c>
      <c r="D2" s="2" t="s">
        <v>123</v>
      </c>
      <c r="E2" s="2" t="s">
        <v>124</v>
      </c>
    </row>
    <row r="3" customFormat="false" ht="15" hidden="false" customHeight="false" outlineLevel="0" collapsed="false">
      <c r="A3" s="2" t="s">
        <v>121</v>
      </c>
      <c r="B3" s="2" t="n">
        <v>2</v>
      </c>
      <c r="C3" s="2" t="s">
        <v>125</v>
      </c>
      <c r="D3" s="2" t="s">
        <v>126</v>
      </c>
      <c r="E3" s="2" t="s">
        <v>127</v>
      </c>
    </row>
    <row r="4" customFormat="false" ht="15" hidden="false" customHeight="false" outlineLevel="0" collapsed="false">
      <c r="A4" s="2" t="s">
        <v>121</v>
      </c>
      <c r="B4" s="2" t="n">
        <v>2</v>
      </c>
      <c r="C4" s="2" t="s">
        <v>128</v>
      </c>
      <c r="D4" s="2" t="s">
        <v>129</v>
      </c>
      <c r="E4" s="2" t="s">
        <v>130</v>
      </c>
    </row>
    <row r="5" customFormat="false" ht="15" hidden="false" customHeight="false" outlineLevel="0" collapsed="false">
      <c r="A5" s="2" t="s">
        <v>121</v>
      </c>
      <c r="B5" s="2" t="n">
        <v>2</v>
      </c>
      <c r="C5" s="2" t="s">
        <v>128</v>
      </c>
      <c r="D5" s="2" t="s">
        <v>131</v>
      </c>
      <c r="E5" s="2" t="s">
        <v>130</v>
      </c>
    </row>
    <row r="6" customFormat="false" ht="15" hidden="false" customHeight="false" outlineLevel="0" collapsed="false">
      <c r="A6" s="2" t="s">
        <v>121</v>
      </c>
      <c r="B6" s="2" t="n">
        <v>3</v>
      </c>
      <c r="C6" s="2" t="s">
        <v>132</v>
      </c>
      <c r="D6" s="2" t="s">
        <v>133</v>
      </c>
      <c r="E6" s="2" t="s">
        <v>134</v>
      </c>
    </row>
    <row r="7" customFormat="false" ht="15" hidden="false" customHeight="false" outlineLevel="0" collapsed="false">
      <c r="A7" s="2" t="s">
        <v>121</v>
      </c>
      <c r="B7" s="2" t="n">
        <v>4</v>
      </c>
      <c r="C7" s="2" t="s">
        <v>128</v>
      </c>
      <c r="D7" s="2" t="s">
        <v>135</v>
      </c>
      <c r="E7" s="2" t="s">
        <v>130</v>
      </c>
    </row>
    <row r="8" customFormat="false" ht="15" hidden="false" customHeight="false" outlineLevel="0" collapsed="false">
      <c r="A8" s="2" t="s">
        <v>121</v>
      </c>
      <c r="B8" s="2" t="n">
        <v>4</v>
      </c>
      <c r="C8" s="2" t="s">
        <v>128</v>
      </c>
      <c r="D8" s="2" t="s">
        <v>136</v>
      </c>
      <c r="E8" s="2" t="s">
        <v>130</v>
      </c>
    </row>
    <row r="9" customFormat="false" ht="15" hidden="false" customHeight="false" outlineLevel="0" collapsed="false">
      <c r="A9" s="2" t="s">
        <v>121</v>
      </c>
      <c r="B9" s="2" t="n">
        <v>5</v>
      </c>
      <c r="C9" s="2" t="s">
        <v>128</v>
      </c>
      <c r="D9" s="2" t="s">
        <v>137</v>
      </c>
      <c r="E9" s="2" t="s">
        <v>130</v>
      </c>
    </row>
    <row r="10" customFormat="false" ht="15" hidden="false" customHeight="false" outlineLevel="0" collapsed="false">
      <c r="A10" s="2" t="s">
        <v>121</v>
      </c>
      <c r="B10" s="2" t="n">
        <v>6</v>
      </c>
      <c r="C10" s="2" t="s">
        <v>128</v>
      </c>
      <c r="D10" s="2" t="s">
        <v>138</v>
      </c>
      <c r="E10" s="2" t="s">
        <v>130</v>
      </c>
    </row>
    <row r="11" customFormat="false" ht="15" hidden="false" customHeight="false" outlineLevel="0" collapsed="false">
      <c r="A11" s="2" t="s">
        <v>121</v>
      </c>
      <c r="B11" s="2" t="n">
        <v>6</v>
      </c>
      <c r="C11" s="2" t="s">
        <v>128</v>
      </c>
      <c r="D11" s="2" t="s">
        <v>139</v>
      </c>
      <c r="E11" s="2" t="s">
        <v>130</v>
      </c>
    </row>
    <row r="12" customFormat="false" ht="15" hidden="false" customHeight="false" outlineLevel="0" collapsed="false">
      <c r="A12" s="2" t="s">
        <v>121</v>
      </c>
      <c r="B12" s="2" t="n">
        <v>7</v>
      </c>
      <c r="C12" s="2" t="s">
        <v>128</v>
      </c>
      <c r="D12" s="2" t="s">
        <v>140</v>
      </c>
      <c r="E12" s="2" t="s">
        <v>130</v>
      </c>
    </row>
    <row r="13" customFormat="false" ht="15" hidden="false" customHeight="false" outlineLevel="0" collapsed="false">
      <c r="A13" s="2" t="s">
        <v>121</v>
      </c>
      <c r="B13" s="2" t="n">
        <v>8</v>
      </c>
      <c r="C13" s="2" t="s">
        <v>125</v>
      </c>
      <c r="D13" s="2" t="s">
        <v>141</v>
      </c>
      <c r="E13" s="2" t="s">
        <v>127</v>
      </c>
    </row>
    <row r="14" customFormat="false" ht="15" hidden="false" customHeight="false" outlineLevel="0" collapsed="false">
      <c r="A14" s="2" t="s">
        <v>121</v>
      </c>
      <c r="B14" s="2" t="n">
        <v>8</v>
      </c>
      <c r="C14" s="2" t="s">
        <v>128</v>
      </c>
      <c r="D14" s="2" t="s">
        <v>142</v>
      </c>
      <c r="E14" s="2" t="s">
        <v>130</v>
      </c>
    </row>
    <row r="15" customFormat="false" ht="15" hidden="false" customHeight="false" outlineLevel="0" collapsed="false">
      <c r="A15" s="2" t="s">
        <v>121</v>
      </c>
      <c r="B15" s="2" t="n">
        <v>9</v>
      </c>
      <c r="C15" s="2" t="s">
        <v>125</v>
      </c>
      <c r="D15" s="2" t="s">
        <v>143</v>
      </c>
      <c r="E15" s="2" t="s">
        <v>127</v>
      </c>
    </row>
    <row r="16" customFormat="false" ht="15" hidden="false" customHeight="false" outlineLevel="0" collapsed="false">
      <c r="A16" s="2" t="s">
        <v>121</v>
      </c>
      <c r="B16" s="2" t="n">
        <v>9</v>
      </c>
      <c r="C16" s="2" t="s">
        <v>132</v>
      </c>
      <c r="D16" s="2" t="s">
        <v>133</v>
      </c>
      <c r="E16" s="2" t="s">
        <v>134</v>
      </c>
    </row>
    <row r="17" customFormat="false" ht="15" hidden="false" customHeight="false" outlineLevel="0" collapsed="false">
      <c r="A17" s="2" t="s">
        <v>121</v>
      </c>
      <c r="B17" s="2" t="n">
        <v>9</v>
      </c>
      <c r="C17" s="2" t="s">
        <v>128</v>
      </c>
      <c r="D17" s="2" t="s">
        <v>144</v>
      </c>
      <c r="E17" s="2" t="s">
        <v>130</v>
      </c>
    </row>
    <row r="18" customFormat="false" ht="15" hidden="false" customHeight="false" outlineLevel="0" collapsed="false">
      <c r="A18" s="2" t="s">
        <v>121</v>
      </c>
      <c r="B18" s="2" t="n">
        <v>9</v>
      </c>
      <c r="C18" s="2" t="s">
        <v>128</v>
      </c>
      <c r="D18" s="2" t="s">
        <v>145</v>
      </c>
      <c r="E18" s="2" t="s">
        <v>130</v>
      </c>
    </row>
    <row r="19" customFormat="false" ht="15" hidden="false" customHeight="false" outlineLevel="0" collapsed="false">
      <c r="A19" s="2" t="s">
        <v>121</v>
      </c>
      <c r="B19" s="2" t="n">
        <v>9</v>
      </c>
      <c r="C19" s="2" t="s">
        <v>128</v>
      </c>
      <c r="D19" s="2" t="s">
        <v>146</v>
      </c>
      <c r="E19" s="2" t="s">
        <v>130</v>
      </c>
    </row>
    <row r="20" customFormat="false" ht="15" hidden="false" customHeight="false" outlineLevel="0" collapsed="false">
      <c r="A20" s="2" t="s">
        <v>121</v>
      </c>
      <c r="B20" s="2" t="n">
        <v>10</v>
      </c>
      <c r="C20" s="2" t="s">
        <v>147</v>
      </c>
      <c r="D20" s="2" t="s">
        <v>148</v>
      </c>
      <c r="E20" s="2" t="s">
        <v>149</v>
      </c>
    </row>
    <row r="21" customFormat="false" ht="15" hidden="false" customHeight="false" outlineLevel="0" collapsed="false">
      <c r="A21" s="2" t="s">
        <v>121</v>
      </c>
      <c r="B21" s="2" t="n">
        <v>11</v>
      </c>
      <c r="C21" s="2" t="s">
        <v>132</v>
      </c>
      <c r="D21" s="2" t="s">
        <v>150</v>
      </c>
      <c r="E21" s="2" t="s">
        <v>151</v>
      </c>
    </row>
    <row r="22" customFormat="false" ht="15" hidden="false" customHeight="false" outlineLevel="0" collapsed="false">
      <c r="A22" s="2" t="s">
        <v>121</v>
      </c>
      <c r="B22" s="2" t="n">
        <v>11</v>
      </c>
      <c r="C22" s="2" t="s">
        <v>128</v>
      </c>
      <c r="D22" s="2" t="s">
        <v>152</v>
      </c>
      <c r="E22" s="2" t="s">
        <v>130</v>
      </c>
    </row>
    <row r="23" customFormat="false" ht="15" hidden="false" customHeight="false" outlineLevel="0" collapsed="false">
      <c r="A23" s="2" t="s">
        <v>121</v>
      </c>
      <c r="B23" s="2" t="n">
        <v>12</v>
      </c>
      <c r="C23" s="2" t="s">
        <v>125</v>
      </c>
      <c r="D23" s="2" t="s">
        <v>153</v>
      </c>
      <c r="E23" s="2" t="s">
        <v>127</v>
      </c>
    </row>
    <row r="24" customFormat="false" ht="15" hidden="false" customHeight="false" outlineLevel="0" collapsed="false">
      <c r="A24" s="2" t="s">
        <v>121</v>
      </c>
      <c r="B24" s="2" t="n">
        <v>12</v>
      </c>
      <c r="C24" s="2" t="s">
        <v>128</v>
      </c>
      <c r="D24" s="2" t="s">
        <v>154</v>
      </c>
      <c r="E24" s="2" t="s">
        <v>130</v>
      </c>
    </row>
    <row r="25" customFormat="false" ht="15" hidden="false" customHeight="false" outlineLevel="0" collapsed="false">
      <c r="A25" s="2" t="s">
        <v>121</v>
      </c>
      <c r="B25" s="2" t="n">
        <v>13</v>
      </c>
      <c r="C25" s="2" t="s">
        <v>128</v>
      </c>
      <c r="D25" s="2" t="s">
        <v>155</v>
      </c>
      <c r="E25" s="2" t="s">
        <v>130</v>
      </c>
    </row>
    <row r="26" customFormat="false" ht="15" hidden="false" customHeight="false" outlineLevel="0" collapsed="false">
      <c r="A26" s="2" t="s">
        <v>121</v>
      </c>
      <c r="B26" s="2" t="n">
        <v>14</v>
      </c>
      <c r="C26" s="2" t="s">
        <v>125</v>
      </c>
      <c r="D26" s="2" t="s">
        <v>156</v>
      </c>
      <c r="E26" s="2" t="s">
        <v>127</v>
      </c>
    </row>
    <row r="27" customFormat="false" ht="15" hidden="false" customHeight="false" outlineLevel="0" collapsed="false">
      <c r="A27" s="2" t="s">
        <v>121</v>
      </c>
      <c r="B27" s="2" t="n">
        <v>14</v>
      </c>
      <c r="C27" s="2" t="s">
        <v>128</v>
      </c>
      <c r="D27" s="2" t="s">
        <v>157</v>
      </c>
      <c r="E27" s="2" t="s">
        <v>130</v>
      </c>
    </row>
    <row r="28" customFormat="false" ht="15" hidden="false" customHeight="false" outlineLevel="0" collapsed="false">
      <c r="A28" s="2" t="s">
        <v>121</v>
      </c>
      <c r="B28" s="2" t="n">
        <v>16</v>
      </c>
      <c r="C28" s="2" t="s">
        <v>132</v>
      </c>
      <c r="D28" s="2" t="s">
        <v>158</v>
      </c>
      <c r="E28" s="2" t="s">
        <v>134</v>
      </c>
    </row>
    <row r="29" customFormat="false" ht="15" hidden="false" customHeight="false" outlineLevel="0" collapsed="false">
      <c r="A29" s="2" t="s">
        <v>121</v>
      </c>
      <c r="B29" s="2" t="n">
        <v>16</v>
      </c>
      <c r="C29" s="2" t="s">
        <v>128</v>
      </c>
      <c r="D29" s="2" t="s">
        <v>159</v>
      </c>
      <c r="E29" s="2" t="s">
        <v>130</v>
      </c>
    </row>
    <row r="30" customFormat="false" ht="15" hidden="false" customHeight="false" outlineLevel="0" collapsed="false">
      <c r="A30" s="2" t="s">
        <v>121</v>
      </c>
      <c r="B30" s="2" t="n">
        <v>17</v>
      </c>
      <c r="C30" s="2" t="s">
        <v>132</v>
      </c>
      <c r="D30" s="2" t="s">
        <v>160</v>
      </c>
      <c r="E30" s="2" t="s">
        <v>151</v>
      </c>
    </row>
    <row r="31" customFormat="false" ht="15" hidden="false" customHeight="false" outlineLevel="0" collapsed="false">
      <c r="A31" s="2" t="s">
        <v>121</v>
      </c>
      <c r="B31" s="2" t="n">
        <v>17</v>
      </c>
      <c r="C31" s="2" t="s">
        <v>128</v>
      </c>
      <c r="D31" s="2" t="s">
        <v>161</v>
      </c>
      <c r="E31" s="2" t="s">
        <v>130</v>
      </c>
    </row>
    <row r="32" customFormat="false" ht="15" hidden="false" customHeight="false" outlineLevel="0" collapsed="false">
      <c r="A32" s="2" t="s">
        <v>121</v>
      </c>
      <c r="B32" s="2" t="n">
        <v>18</v>
      </c>
      <c r="C32" s="2" t="s">
        <v>125</v>
      </c>
      <c r="D32" s="2" t="s">
        <v>162</v>
      </c>
      <c r="E32" s="2" t="s">
        <v>127</v>
      </c>
    </row>
    <row r="33" customFormat="false" ht="15" hidden="false" customHeight="false" outlineLevel="0" collapsed="false">
      <c r="A33" s="2" t="s">
        <v>121</v>
      </c>
      <c r="B33" s="2" t="n">
        <v>19</v>
      </c>
      <c r="C33" s="2" t="s">
        <v>132</v>
      </c>
      <c r="D33" s="2" t="s">
        <v>160</v>
      </c>
      <c r="E33" s="2" t="s">
        <v>151</v>
      </c>
    </row>
    <row r="34" customFormat="false" ht="15" hidden="false" customHeight="false" outlineLevel="0" collapsed="false">
      <c r="A34" s="2" t="s">
        <v>121</v>
      </c>
      <c r="B34" s="2" t="n">
        <v>20</v>
      </c>
      <c r="C34" s="2" t="s">
        <v>132</v>
      </c>
      <c r="D34" s="2" t="s">
        <v>163</v>
      </c>
      <c r="E34" s="2" t="s">
        <v>134</v>
      </c>
    </row>
    <row r="35" customFormat="false" ht="15" hidden="false" customHeight="false" outlineLevel="0" collapsed="false">
      <c r="A35" s="2" t="s">
        <v>121</v>
      </c>
      <c r="B35" s="2" t="n">
        <v>20</v>
      </c>
      <c r="C35" s="2" t="s">
        <v>128</v>
      </c>
      <c r="D35" s="2" t="s">
        <v>164</v>
      </c>
      <c r="E35" s="2" t="s">
        <v>130</v>
      </c>
    </row>
    <row r="36" customFormat="false" ht="15" hidden="false" customHeight="false" outlineLevel="0" collapsed="false">
      <c r="A36" s="2" t="s">
        <v>121</v>
      </c>
      <c r="B36" s="2" t="n">
        <v>21</v>
      </c>
      <c r="C36" s="2" t="s">
        <v>132</v>
      </c>
      <c r="D36" s="2" t="s">
        <v>150</v>
      </c>
      <c r="E36" s="2" t="s">
        <v>151</v>
      </c>
    </row>
    <row r="37" customFormat="false" ht="15" hidden="false" customHeight="false" outlineLevel="0" collapsed="false">
      <c r="A37" s="2" t="s">
        <v>121</v>
      </c>
      <c r="B37" s="2" t="n">
        <v>21</v>
      </c>
      <c r="C37" s="2" t="s">
        <v>128</v>
      </c>
      <c r="D37" s="2" t="s">
        <v>165</v>
      </c>
      <c r="E37" s="2" t="s">
        <v>130</v>
      </c>
    </row>
    <row r="38" customFormat="false" ht="15" hidden="false" customHeight="false" outlineLevel="0" collapsed="false">
      <c r="A38" s="2" t="s">
        <v>121</v>
      </c>
      <c r="B38" s="2" t="n">
        <v>21</v>
      </c>
      <c r="C38" s="2" t="s">
        <v>128</v>
      </c>
      <c r="D38" s="2" t="s">
        <v>166</v>
      </c>
      <c r="E38" s="2" t="s">
        <v>130</v>
      </c>
    </row>
    <row r="39" customFormat="false" ht="15" hidden="false" customHeight="false" outlineLevel="0" collapsed="false">
      <c r="A39" s="2" t="s">
        <v>121</v>
      </c>
      <c r="B39" s="2" t="n">
        <v>21</v>
      </c>
      <c r="C39" s="2" t="s">
        <v>128</v>
      </c>
      <c r="D39" s="2" t="s">
        <v>167</v>
      </c>
      <c r="E39" s="2" t="s">
        <v>130</v>
      </c>
    </row>
    <row r="40" customFormat="false" ht="15" hidden="false" customHeight="false" outlineLevel="0" collapsed="false">
      <c r="A40" s="2" t="s">
        <v>121</v>
      </c>
      <c r="B40" s="2" t="n">
        <v>22</v>
      </c>
      <c r="C40" s="2" t="s">
        <v>132</v>
      </c>
      <c r="D40" s="2" t="s">
        <v>158</v>
      </c>
      <c r="E40" s="2" t="s">
        <v>134</v>
      </c>
    </row>
    <row r="41" customFormat="false" ht="15" hidden="false" customHeight="false" outlineLevel="0" collapsed="false">
      <c r="A41" s="2" t="s">
        <v>121</v>
      </c>
      <c r="B41" s="2" t="n">
        <v>22</v>
      </c>
      <c r="C41" s="2" t="s">
        <v>128</v>
      </c>
      <c r="D41" s="2" t="s">
        <v>168</v>
      </c>
      <c r="E41" s="2" t="s">
        <v>130</v>
      </c>
    </row>
    <row r="42" customFormat="false" ht="15" hidden="false" customHeight="false" outlineLevel="0" collapsed="false">
      <c r="A42" s="2" t="s">
        <v>121</v>
      </c>
      <c r="B42" s="2" t="n">
        <v>22</v>
      </c>
      <c r="C42" s="2" t="s">
        <v>128</v>
      </c>
      <c r="D42" s="2" t="s">
        <v>169</v>
      </c>
      <c r="E42" s="2" t="s">
        <v>130</v>
      </c>
    </row>
    <row r="43" customFormat="false" ht="15" hidden="false" customHeight="false" outlineLevel="0" collapsed="false">
      <c r="A43" s="2" t="s">
        <v>121</v>
      </c>
      <c r="B43" s="2" t="n">
        <v>22</v>
      </c>
      <c r="C43" s="2" t="s">
        <v>128</v>
      </c>
      <c r="D43" s="2" t="s">
        <v>170</v>
      </c>
      <c r="E43" s="2" t="s">
        <v>130</v>
      </c>
    </row>
    <row r="44" customFormat="false" ht="15" hidden="false" customHeight="false" outlineLevel="0" collapsed="false">
      <c r="A44" s="2" t="s">
        <v>121</v>
      </c>
      <c r="B44" s="2" t="n">
        <v>23</v>
      </c>
      <c r="C44" s="2" t="s">
        <v>147</v>
      </c>
      <c r="D44" s="2" t="s">
        <v>148</v>
      </c>
      <c r="E44" s="2" t="s">
        <v>149</v>
      </c>
    </row>
    <row r="45" customFormat="false" ht="15" hidden="false" customHeight="false" outlineLevel="0" collapsed="false">
      <c r="A45" s="2" t="s">
        <v>121</v>
      </c>
      <c r="B45" s="2" t="n">
        <v>24</v>
      </c>
      <c r="C45" s="2" t="s">
        <v>132</v>
      </c>
      <c r="D45" s="2" t="s">
        <v>150</v>
      </c>
      <c r="E45" s="2" t="s">
        <v>151</v>
      </c>
    </row>
    <row r="46" customFormat="false" ht="15" hidden="false" customHeight="false" outlineLevel="0" collapsed="false">
      <c r="A46" s="2" t="s">
        <v>121</v>
      </c>
      <c r="B46" s="2" t="n">
        <v>24</v>
      </c>
      <c r="C46" s="2" t="s">
        <v>128</v>
      </c>
      <c r="D46" s="2" t="s">
        <v>171</v>
      </c>
      <c r="E46" s="2" t="s">
        <v>130</v>
      </c>
    </row>
    <row r="47" customFormat="false" ht="15" hidden="false" customHeight="false" outlineLevel="0" collapsed="false">
      <c r="A47" s="2" t="s">
        <v>121</v>
      </c>
      <c r="B47" s="2" t="n">
        <v>24</v>
      </c>
      <c r="C47" s="2" t="s">
        <v>128</v>
      </c>
      <c r="D47" s="2" t="s">
        <v>172</v>
      </c>
      <c r="E47" s="2" t="s">
        <v>130</v>
      </c>
    </row>
    <row r="48" customFormat="false" ht="15" hidden="false" customHeight="false" outlineLevel="0" collapsed="false">
      <c r="A48" s="2" t="s">
        <v>121</v>
      </c>
      <c r="B48" s="2" t="n">
        <v>25</v>
      </c>
      <c r="C48" s="2" t="s">
        <v>132</v>
      </c>
      <c r="D48" s="2" t="s">
        <v>150</v>
      </c>
      <c r="E48" s="2" t="s">
        <v>151</v>
      </c>
    </row>
    <row r="49" customFormat="false" ht="15" hidden="false" customHeight="false" outlineLevel="0" collapsed="false">
      <c r="A49" s="2" t="s">
        <v>121</v>
      </c>
      <c r="B49" s="2" t="n">
        <v>25</v>
      </c>
      <c r="C49" s="2" t="s">
        <v>128</v>
      </c>
      <c r="D49" s="2" t="s">
        <v>171</v>
      </c>
      <c r="E49" s="2" t="s">
        <v>130</v>
      </c>
    </row>
    <row r="50" customFormat="false" ht="15" hidden="false" customHeight="false" outlineLevel="0" collapsed="false">
      <c r="A50" s="2" t="s">
        <v>121</v>
      </c>
      <c r="B50" s="2" t="n">
        <v>25</v>
      </c>
      <c r="C50" s="2" t="s">
        <v>128</v>
      </c>
      <c r="D50" s="2" t="s">
        <v>172</v>
      </c>
      <c r="E50" s="2" t="s">
        <v>130</v>
      </c>
    </row>
    <row r="51" customFormat="false" ht="15" hidden="false" customHeight="false" outlineLevel="0" collapsed="false">
      <c r="A51" s="2" t="s">
        <v>121</v>
      </c>
      <c r="B51" s="2" t="n">
        <v>26</v>
      </c>
      <c r="C51" s="2" t="s">
        <v>132</v>
      </c>
      <c r="D51" s="2" t="s">
        <v>133</v>
      </c>
      <c r="E51" s="2" t="s">
        <v>134</v>
      </c>
    </row>
    <row r="52" customFormat="false" ht="15" hidden="false" customHeight="false" outlineLevel="0" collapsed="false">
      <c r="A52" s="2" t="s">
        <v>121</v>
      </c>
      <c r="B52" s="2" t="n">
        <v>26</v>
      </c>
      <c r="C52" s="2" t="s">
        <v>128</v>
      </c>
      <c r="D52" s="2" t="s">
        <v>173</v>
      </c>
      <c r="E52" s="2" t="s">
        <v>130</v>
      </c>
    </row>
    <row r="53" customFormat="false" ht="15" hidden="false" customHeight="false" outlineLevel="0" collapsed="false">
      <c r="A53" s="2" t="s">
        <v>121</v>
      </c>
      <c r="B53" s="2" t="n">
        <v>28</v>
      </c>
      <c r="C53" s="2" t="s">
        <v>132</v>
      </c>
      <c r="D53" s="2" t="s">
        <v>133</v>
      </c>
      <c r="E53" s="2" t="s">
        <v>134</v>
      </c>
    </row>
    <row r="54" customFormat="false" ht="15" hidden="false" customHeight="false" outlineLevel="0" collapsed="false">
      <c r="A54" s="2" t="s">
        <v>121</v>
      </c>
      <c r="B54" s="2" t="n">
        <v>28</v>
      </c>
      <c r="C54" s="2" t="s">
        <v>128</v>
      </c>
      <c r="D54" s="2" t="s">
        <v>174</v>
      </c>
      <c r="E54" s="2" t="s">
        <v>130</v>
      </c>
    </row>
    <row r="55" customFormat="false" ht="15" hidden="false" customHeight="false" outlineLevel="0" collapsed="false">
      <c r="A55" s="2" t="s">
        <v>121</v>
      </c>
      <c r="B55" s="2" t="n">
        <v>28</v>
      </c>
      <c r="C55" s="2" t="s">
        <v>128</v>
      </c>
      <c r="D55" s="2" t="s">
        <v>175</v>
      </c>
      <c r="E55" s="2" t="s">
        <v>130</v>
      </c>
    </row>
    <row r="56" customFormat="false" ht="15" hidden="false" customHeight="false" outlineLevel="0" collapsed="false">
      <c r="A56" s="2" t="s">
        <v>121</v>
      </c>
      <c r="B56" s="2" t="n">
        <v>30</v>
      </c>
      <c r="C56" s="2" t="s">
        <v>125</v>
      </c>
      <c r="D56" s="2" t="s">
        <v>176</v>
      </c>
      <c r="E56" s="2" t="s">
        <v>127</v>
      </c>
    </row>
    <row r="57" customFormat="false" ht="15" hidden="false" customHeight="false" outlineLevel="0" collapsed="false">
      <c r="A57" s="2" t="s">
        <v>121</v>
      </c>
      <c r="B57" s="2" t="n">
        <v>30</v>
      </c>
      <c r="C57" s="2" t="s">
        <v>132</v>
      </c>
      <c r="D57" s="2" t="s">
        <v>133</v>
      </c>
      <c r="E57" s="2" t="s">
        <v>134</v>
      </c>
    </row>
    <row r="58" customFormat="false" ht="15" hidden="false" customHeight="false" outlineLevel="0" collapsed="false">
      <c r="A58" s="2" t="s">
        <v>121</v>
      </c>
      <c r="B58" s="2" t="n">
        <v>30</v>
      </c>
      <c r="C58" s="2" t="s">
        <v>128</v>
      </c>
      <c r="D58" s="2" t="s">
        <v>177</v>
      </c>
      <c r="E58" s="2" t="s">
        <v>130</v>
      </c>
    </row>
    <row r="59" customFormat="false" ht="15" hidden="false" customHeight="false" outlineLevel="0" collapsed="false">
      <c r="A59" s="2" t="s">
        <v>121</v>
      </c>
      <c r="B59" s="2" t="n">
        <v>30</v>
      </c>
      <c r="C59" s="2" t="s">
        <v>128</v>
      </c>
      <c r="D59" s="2" t="s">
        <v>178</v>
      </c>
      <c r="E59" s="2" t="s">
        <v>130</v>
      </c>
    </row>
    <row r="60" customFormat="false" ht="15" hidden="false" customHeight="false" outlineLevel="0" collapsed="false">
      <c r="A60" s="2" t="s">
        <v>121</v>
      </c>
      <c r="B60" s="2" t="n">
        <v>31</v>
      </c>
      <c r="C60" s="2" t="s">
        <v>128</v>
      </c>
      <c r="D60" s="2" t="s">
        <v>179</v>
      </c>
      <c r="E60" s="2" t="s">
        <v>130</v>
      </c>
    </row>
    <row r="61" customFormat="false" ht="15" hidden="false" customHeight="false" outlineLevel="0" collapsed="false">
      <c r="A61" s="2" t="s">
        <v>121</v>
      </c>
      <c r="B61" s="2" t="n">
        <v>31</v>
      </c>
      <c r="C61" s="2" t="s">
        <v>128</v>
      </c>
      <c r="D61" s="2" t="s">
        <v>180</v>
      </c>
      <c r="E61" s="2" t="s">
        <v>130</v>
      </c>
    </row>
    <row r="62" customFormat="false" ht="15" hidden="false" customHeight="false" outlineLevel="0" collapsed="false">
      <c r="A62" s="2" t="s">
        <v>121</v>
      </c>
      <c r="B62" s="2" t="n">
        <v>31</v>
      </c>
      <c r="C62" s="2" t="s">
        <v>128</v>
      </c>
      <c r="D62" s="2" t="s">
        <v>181</v>
      </c>
      <c r="E62" s="2" t="s">
        <v>130</v>
      </c>
    </row>
    <row r="63" customFormat="false" ht="15" hidden="false" customHeight="false" outlineLevel="0" collapsed="false">
      <c r="A63" s="2" t="s">
        <v>121</v>
      </c>
      <c r="B63" s="2" t="n">
        <v>32</v>
      </c>
      <c r="C63" s="2" t="s">
        <v>132</v>
      </c>
      <c r="D63" s="2" t="s">
        <v>163</v>
      </c>
      <c r="E63" s="2" t="s">
        <v>134</v>
      </c>
    </row>
    <row r="64" customFormat="false" ht="15" hidden="false" customHeight="false" outlineLevel="0" collapsed="false">
      <c r="A64" s="2" t="s">
        <v>121</v>
      </c>
      <c r="B64" s="2" t="n">
        <v>32</v>
      </c>
      <c r="C64" s="2" t="s">
        <v>128</v>
      </c>
      <c r="D64" s="2" t="s">
        <v>182</v>
      </c>
      <c r="E64" s="2" t="s">
        <v>130</v>
      </c>
    </row>
    <row r="65" customFormat="false" ht="15" hidden="false" customHeight="false" outlineLevel="0" collapsed="false">
      <c r="A65" s="2" t="s">
        <v>121</v>
      </c>
      <c r="B65" s="2" t="n">
        <v>32</v>
      </c>
      <c r="C65" s="2" t="s">
        <v>128</v>
      </c>
      <c r="D65" s="2" t="s">
        <v>183</v>
      </c>
      <c r="E65" s="2" t="s">
        <v>130</v>
      </c>
    </row>
    <row r="66" customFormat="false" ht="15" hidden="false" customHeight="false" outlineLevel="0" collapsed="false">
      <c r="A66" s="2" t="s">
        <v>121</v>
      </c>
      <c r="B66" s="2" t="n">
        <v>33</v>
      </c>
      <c r="C66" s="2" t="s">
        <v>132</v>
      </c>
      <c r="D66" s="2" t="s">
        <v>150</v>
      </c>
      <c r="E66" s="2" t="s">
        <v>151</v>
      </c>
    </row>
    <row r="67" customFormat="false" ht="15" hidden="false" customHeight="false" outlineLevel="0" collapsed="false">
      <c r="A67" s="2" t="s">
        <v>121</v>
      </c>
      <c r="B67" s="2" t="n">
        <v>33</v>
      </c>
      <c r="C67" s="2" t="s">
        <v>128</v>
      </c>
      <c r="D67" s="2" t="s">
        <v>184</v>
      </c>
      <c r="E67" s="2" t="s">
        <v>130</v>
      </c>
    </row>
    <row r="68" customFormat="false" ht="15" hidden="false" customHeight="false" outlineLevel="0" collapsed="false">
      <c r="A68" s="2" t="s">
        <v>121</v>
      </c>
      <c r="B68" s="2" t="n">
        <v>33</v>
      </c>
      <c r="C68" s="2" t="s">
        <v>128</v>
      </c>
      <c r="D68" s="2" t="s">
        <v>185</v>
      </c>
      <c r="E68" s="2" t="s">
        <v>130</v>
      </c>
    </row>
    <row r="69" customFormat="false" ht="15" hidden="false" customHeight="false" outlineLevel="0" collapsed="false">
      <c r="A69" s="2" t="s">
        <v>121</v>
      </c>
      <c r="B69" s="2" t="n">
        <v>34</v>
      </c>
      <c r="C69" s="2" t="s">
        <v>132</v>
      </c>
      <c r="D69" s="2" t="s">
        <v>133</v>
      </c>
      <c r="E69" s="2" t="s">
        <v>134</v>
      </c>
    </row>
    <row r="70" customFormat="false" ht="15" hidden="false" customHeight="false" outlineLevel="0" collapsed="false">
      <c r="A70" s="2" t="s">
        <v>121</v>
      </c>
      <c r="B70" s="2" t="n">
        <v>34</v>
      </c>
      <c r="C70" s="2" t="s">
        <v>128</v>
      </c>
      <c r="D70" s="2" t="s">
        <v>186</v>
      </c>
      <c r="E70" s="2" t="s">
        <v>130</v>
      </c>
    </row>
    <row r="71" customFormat="false" ht="15" hidden="false" customHeight="false" outlineLevel="0" collapsed="false">
      <c r="A71" s="2" t="s">
        <v>121</v>
      </c>
      <c r="B71" s="2" t="n">
        <v>34</v>
      </c>
      <c r="C71" s="2" t="s">
        <v>128</v>
      </c>
      <c r="D71" s="2" t="s">
        <v>187</v>
      </c>
      <c r="E71" s="2" t="s">
        <v>130</v>
      </c>
    </row>
    <row r="72" customFormat="false" ht="15" hidden="false" customHeight="false" outlineLevel="0" collapsed="false">
      <c r="A72" s="2" t="s">
        <v>121</v>
      </c>
      <c r="B72" s="2" t="n">
        <v>35</v>
      </c>
      <c r="C72" s="2" t="s">
        <v>128</v>
      </c>
      <c r="D72" s="2" t="s">
        <v>188</v>
      </c>
      <c r="E72" s="2" t="s">
        <v>130</v>
      </c>
    </row>
    <row r="73" customFormat="false" ht="15" hidden="false" customHeight="false" outlineLevel="0" collapsed="false">
      <c r="A73" s="2" t="s">
        <v>121</v>
      </c>
      <c r="B73" s="2" t="n">
        <v>35</v>
      </c>
      <c r="C73" s="2" t="s">
        <v>128</v>
      </c>
      <c r="D73" s="2" t="s">
        <v>189</v>
      </c>
      <c r="E73" s="2" t="s">
        <v>130</v>
      </c>
    </row>
    <row r="74" customFormat="false" ht="15" hidden="false" customHeight="false" outlineLevel="0" collapsed="false">
      <c r="A74" s="2" t="s">
        <v>121</v>
      </c>
      <c r="B74" s="2" t="n">
        <v>35</v>
      </c>
      <c r="C74" s="2" t="s">
        <v>128</v>
      </c>
      <c r="D74" s="2" t="s">
        <v>190</v>
      </c>
      <c r="E74" s="2" t="s">
        <v>130</v>
      </c>
    </row>
    <row r="75" customFormat="false" ht="15" hidden="false" customHeight="false" outlineLevel="0" collapsed="false">
      <c r="A75" s="2" t="s">
        <v>121</v>
      </c>
      <c r="B75" s="2" t="n">
        <v>36</v>
      </c>
      <c r="C75" s="2" t="s">
        <v>125</v>
      </c>
      <c r="D75" s="2" t="s">
        <v>191</v>
      </c>
      <c r="E75" s="2" t="s">
        <v>127</v>
      </c>
    </row>
    <row r="76" customFormat="false" ht="15" hidden="false" customHeight="false" outlineLevel="0" collapsed="false">
      <c r="A76" s="2" t="s">
        <v>121</v>
      </c>
      <c r="B76" s="2" t="n">
        <v>36</v>
      </c>
      <c r="C76" s="2" t="s">
        <v>132</v>
      </c>
      <c r="D76" s="2" t="s">
        <v>163</v>
      </c>
      <c r="E76" s="2" t="s">
        <v>134</v>
      </c>
    </row>
    <row r="77" customFormat="false" ht="15" hidden="false" customHeight="false" outlineLevel="0" collapsed="false">
      <c r="A77" s="2" t="s">
        <v>121</v>
      </c>
      <c r="B77" s="2" t="n">
        <v>36</v>
      </c>
      <c r="C77" s="2" t="s">
        <v>128</v>
      </c>
      <c r="D77" s="2" t="s">
        <v>192</v>
      </c>
      <c r="E77" s="2" t="s">
        <v>130</v>
      </c>
    </row>
    <row r="78" customFormat="false" ht="15" hidden="false" customHeight="false" outlineLevel="0" collapsed="false">
      <c r="A78" s="2" t="s">
        <v>121</v>
      </c>
      <c r="B78" s="2" t="n">
        <v>37</v>
      </c>
      <c r="C78" s="2" t="s">
        <v>147</v>
      </c>
      <c r="D78" s="2" t="s">
        <v>148</v>
      </c>
      <c r="E78" s="2" t="s">
        <v>149</v>
      </c>
    </row>
    <row r="79" customFormat="false" ht="15" hidden="false" customHeight="false" outlineLevel="0" collapsed="false">
      <c r="A79" s="2" t="s">
        <v>121</v>
      </c>
      <c r="B79" s="2" t="n">
        <v>38</v>
      </c>
      <c r="C79" s="2" t="s">
        <v>128</v>
      </c>
      <c r="D79" s="2" t="s">
        <v>193</v>
      </c>
      <c r="E79" s="2" t="s">
        <v>130</v>
      </c>
    </row>
    <row r="80" customFormat="false" ht="15" hidden="false" customHeight="false" outlineLevel="0" collapsed="false">
      <c r="A80" s="2" t="s">
        <v>121</v>
      </c>
      <c r="B80" s="2" t="n">
        <v>38</v>
      </c>
      <c r="C80" s="2" t="s">
        <v>128</v>
      </c>
      <c r="D80" s="2" t="s">
        <v>194</v>
      </c>
      <c r="E80" s="2" t="s">
        <v>130</v>
      </c>
    </row>
    <row r="81" customFormat="false" ht="15" hidden="false" customHeight="false" outlineLevel="0" collapsed="false">
      <c r="A81" s="2" t="s">
        <v>121</v>
      </c>
      <c r="B81" s="2" t="n">
        <v>39</v>
      </c>
      <c r="C81" s="2" t="s">
        <v>132</v>
      </c>
      <c r="D81" s="2" t="s">
        <v>158</v>
      </c>
      <c r="E81" s="2" t="s">
        <v>134</v>
      </c>
    </row>
    <row r="82" customFormat="false" ht="15" hidden="false" customHeight="false" outlineLevel="0" collapsed="false">
      <c r="A82" s="2" t="s">
        <v>121</v>
      </c>
      <c r="B82" s="2" t="n">
        <v>39</v>
      </c>
      <c r="C82" s="2" t="s">
        <v>128</v>
      </c>
      <c r="D82" s="2" t="s">
        <v>195</v>
      </c>
      <c r="E82" s="2" t="s">
        <v>130</v>
      </c>
    </row>
    <row r="83" customFormat="false" ht="15" hidden="false" customHeight="false" outlineLevel="0" collapsed="false">
      <c r="A83" s="2" t="s">
        <v>121</v>
      </c>
      <c r="B83" s="2" t="n">
        <v>39</v>
      </c>
      <c r="C83" s="2" t="s">
        <v>128</v>
      </c>
      <c r="D83" s="2" t="s">
        <v>196</v>
      </c>
      <c r="E83" s="2" t="s">
        <v>130</v>
      </c>
    </row>
    <row r="84" customFormat="false" ht="15" hidden="false" customHeight="false" outlineLevel="0" collapsed="false">
      <c r="A84" s="2" t="s">
        <v>121</v>
      </c>
      <c r="B84" s="2" t="n">
        <v>40</v>
      </c>
      <c r="C84" s="2" t="s">
        <v>128</v>
      </c>
      <c r="D84" s="2" t="s">
        <v>197</v>
      </c>
      <c r="E84" s="2" t="s">
        <v>130</v>
      </c>
    </row>
    <row r="85" customFormat="false" ht="15" hidden="false" customHeight="false" outlineLevel="0" collapsed="false">
      <c r="A85" s="2" t="s">
        <v>121</v>
      </c>
      <c r="B85" s="2" t="n">
        <v>40</v>
      </c>
      <c r="C85" s="2" t="s">
        <v>128</v>
      </c>
      <c r="D85" s="2" t="s">
        <v>198</v>
      </c>
      <c r="E85" s="2" t="s">
        <v>130</v>
      </c>
    </row>
    <row r="86" customFormat="false" ht="15" hidden="false" customHeight="false" outlineLevel="0" collapsed="false">
      <c r="A86" s="2" t="s">
        <v>121</v>
      </c>
      <c r="B86" s="2" t="n">
        <v>41</v>
      </c>
      <c r="C86" s="2" t="s">
        <v>132</v>
      </c>
      <c r="D86" s="2" t="s">
        <v>163</v>
      </c>
      <c r="E86" s="2" t="s">
        <v>134</v>
      </c>
    </row>
    <row r="87" customFormat="false" ht="15" hidden="false" customHeight="false" outlineLevel="0" collapsed="false">
      <c r="A87" s="2" t="s">
        <v>121</v>
      </c>
      <c r="B87" s="2" t="n">
        <v>41</v>
      </c>
      <c r="C87" s="2" t="s">
        <v>128</v>
      </c>
      <c r="D87" s="2" t="s">
        <v>199</v>
      </c>
      <c r="E87" s="2" t="s">
        <v>130</v>
      </c>
    </row>
    <row r="88" customFormat="false" ht="15" hidden="false" customHeight="false" outlineLevel="0" collapsed="false">
      <c r="A88" s="2" t="s">
        <v>121</v>
      </c>
      <c r="B88" s="2" t="n">
        <v>42</v>
      </c>
      <c r="C88" s="2" t="s">
        <v>128</v>
      </c>
      <c r="D88" s="2" t="s">
        <v>200</v>
      </c>
      <c r="E88" s="2" t="s">
        <v>130</v>
      </c>
    </row>
    <row r="89" customFormat="false" ht="15" hidden="false" customHeight="false" outlineLevel="0" collapsed="false">
      <c r="A89" s="2" t="s">
        <v>121</v>
      </c>
      <c r="B89" s="2" t="n">
        <v>42</v>
      </c>
      <c r="C89" s="2" t="s">
        <v>128</v>
      </c>
      <c r="D89" s="2" t="s">
        <v>201</v>
      </c>
      <c r="E89" s="2" t="s">
        <v>130</v>
      </c>
    </row>
    <row r="90" customFormat="false" ht="15" hidden="false" customHeight="false" outlineLevel="0" collapsed="false">
      <c r="A90" s="2" t="s">
        <v>121</v>
      </c>
      <c r="B90" s="2" t="n">
        <v>43</v>
      </c>
      <c r="C90" s="2" t="s">
        <v>132</v>
      </c>
      <c r="D90" s="2" t="s">
        <v>158</v>
      </c>
      <c r="E90" s="2" t="s">
        <v>134</v>
      </c>
    </row>
    <row r="91" customFormat="false" ht="15" hidden="false" customHeight="false" outlineLevel="0" collapsed="false">
      <c r="A91" s="2" t="s">
        <v>121</v>
      </c>
      <c r="B91" s="2" t="n">
        <v>43</v>
      </c>
      <c r="C91" s="2" t="s">
        <v>128</v>
      </c>
      <c r="D91" s="2" t="s">
        <v>202</v>
      </c>
      <c r="E91" s="2" t="s">
        <v>130</v>
      </c>
    </row>
    <row r="92" customFormat="false" ht="15" hidden="false" customHeight="false" outlineLevel="0" collapsed="false">
      <c r="A92" s="2" t="s">
        <v>121</v>
      </c>
      <c r="B92" s="2" t="n">
        <v>44</v>
      </c>
      <c r="C92" s="2" t="s">
        <v>125</v>
      </c>
      <c r="D92" s="2" t="s">
        <v>203</v>
      </c>
      <c r="E92" s="2" t="s">
        <v>127</v>
      </c>
    </row>
    <row r="93" customFormat="false" ht="15" hidden="false" customHeight="false" outlineLevel="0" collapsed="false">
      <c r="A93" s="2" t="s">
        <v>121</v>
      </c>
      <c r="B93" s="2" t="n">
        <v>45</v>
      </c>
      <c r="C93" s="2" t="s">
        <v>132</v>
      </c>
      <c r="D93" s="2" t="s">
        <v>133</v>
      </c>
      <c r="E93" s="2" t="s">
        <v>134</v>
      </c>
    </row>
    <row r="94" customFormat="false" ht="15" hidden="false" customHeight="false" outlineLevel="0" collapsed="false">
      <c r="A94" s="2" t="s">
        <v>121</v>
      </c>
      <c r="B94" s="2" t="n">
        <v>45</v>
      </c>
      <c r="C94" s="2" t="s">
        <v>128</v>
      </c>
      <c r="D94" s="2" t="s">
        <v>204</v>
      </c>
      <c r="E94" s="2" t="s">
        <v>130</v>
      </c>
    </row>
    <row r="95" customFormat="false" ht="15" hidden="false" customHeight="false" outlineLevel="0" collapsed="false">
      <c r="A95" s="2" t="s">
        <v>121</v>
      </c>
      <c r="B95" s="2" t="n">
        <v>46</v>
      </c>
      <c r="C95" s="2" t="s">
        <v>128</v>
      </c>
      <c r="D95" s="2" t="s">
        <v>205</v>
      </c>
      <c r="E95" s="2" t="s">
        <v>130</v>
      </c>
    </row>
    <row r="96" customFormat="false" ht="15" hidden="false" customHeight="false" outlineLevel="0" collapsed="false">
      <c r="A96" s="2" t="s">
        <v>121</v>
      </c>
      <c r="B96" s="2" t="n">
        <v>48</v>
      </c>
      <c r="C96" s="2" t="s">
        <v>125</v>
      </c>
      <c r="D96" s="2" t="s">
        <v>206</v>
      </c>
      <c r="E96" s="2" t="s">
        <v>127</v>
      </c>
    </row>
    <row r="97" customFormat="false" ht="15" hidden="false" customHeight="false" outlineLevel="0" collapsed="false">
      <c r="A97" s="2" t="s">
        <v>121</v>
      </c>
      <c r="B97" s="2" t="n">
        <v>48</v>
      </c>
      <c r="C97" s="2" t="s">
        <v>132</v>
      </c>
      <c r="D97" s="2" t="s">
        <v>150</v>
      </c>
      <c r="E97" s="2" t="s">
        <v>151</v>
      </c>
    </row>
    <row r="98" customFormat="false" ht="15" hidden="false" customHeight="false" outlineLevel="0" collapsed="false">
      <c r="A98" s="2" t="s">
        <v>121</v>
      </c>
      <c r="B98" s="2" t="n">
        <v>49</v>
      </c>
      <c r="C98" s="2" t="s">
        <v>125</v>
      </c>
      <c r="D98" s="2" t="s">
        <v>206</v>
      </c>
      <c r="E98" s="2" t="s">
        <v>127</v>
      </c>
    </row>
    <row r="99" customFormat="false" ht="15" hidden="false" customHeight="false" outlineLevel="0" collapsed="false">
      <c r="A99" s="2" t="s">
        <v>121</v>
      </c>
      <c r="B99" s="2" t="n">
        <v>49</v>
      </c>
      <c r="C99" s="2" t="s">
        <v>132</v>
      </c>
      <c r="D99" s="2" t="s">
        <v>133</v>
      </c>
      <c r="E99" s="2" t="s">
        <v>134</v>
      </c>
    </row>
    <row r="100" customFormat="false" ht="15" hidden="false" customHeight="false" outlineLevel="0" collapsed="false">
      <c r="A100" s="2" t="s">
        <v>121</v>
      </c>
      <c r="B100" s="2" t="n">
        <v>49</v>
      </c>
      <c r="C100" s="2" t="s">
        <v>128</v>
      </c>
      <c r="D100" s="2" t="s">
        <v>207</v>
      </c>
      <c r="E100" s="2" t="s">
        <v>130</v>
      </c>
    </row>
    <row r="101" customFormat="false" ht="15" hidden="false" customHeight="false" outlineLevel="0" collapsed="false">
      <c r="A101" s="2" t="s">
        <v>121</v>
      </c>
      <c r="B101" s="2" t="n">
        <v>50</v>
      </c>
      <c r="C101" s="2" t="s">
        <v>147</v>
      </c>
      <c r="D101" s="2" t="s">
        <v>148</v>
      </c>
      <c r="E101" s="2" t="s">
        <v>149</v>
      </c>
    </row>
    <row r="102" customFormat="false" ht="15" hidden="false" customHeight="false" outlineLevel="0" collapsed="false">
      <c r="A102" s="2" t="s">
        <v>121</v>
      </c>
      <c r="B102" s="2" t="n">
        <v>51</v>
      </c>
      <c r="C102" s="2" t="s">
        <v>128</v>
      </c>
      <c r="D102" s="2" t="s">
        <v>208</v>
      </c>
      <c r="E102" s="2" t="s">
        <v>130</v>
      </c>
    </row>
    <row r="103" customFormat="false" ht="15" hidden="false" customHeight="false" outlineLevel="0" collapsed="false">
      <c r="A103" s="2" t="s">
        <v>121</v>
      </c>
      <c r="B103" s="2" t="n">
        <v>51</v>
      </c>
      <c r="C103" s="2" t="s">
        <v>128</v>
      </c>
      <c r="D103" s="2" t="s">
        <v>209</v>
      </c>
      <c r="E103" s="2" t="s">
        <v>130</v>
      </c>
    </row>
    <row r="104" customFormat="false" ht="15" hidden="false" customHeight="false" outlineLevel="0" collapsed="false">
      <c r="A104" s="2" t="s">
        <v>121</v>
      </c>
      <c r="B104" s="2" t="n">
        <v>52</v>
      </c>
      <c r="C104" s="2" t="s">
        <v>132</v>
      </c>
      <c r="D104" s="2" t="s">
        <v>133</v>
      </c>
      <c r="E104" s="2" t="s">
        <v>134</v>
      </c>
    </row>
    <row r="105" customFormat="false" ht="15" hidden="false" customHeight="false" outlineLevel="0" collapsed="false">
      <c r="A105" s="2" t="s">
        <v>121</v>
      </c>
      <c r="B105" s="2" t="n">
        <v>52</v>
      </c>
      <c r="C105" s="2" t="s">
        <v>128</v>
      </c>
      <c r="D105" s="2" t="s">
        <v>210</v>
      </c>
      <c r="E105" s="2" t="s">
        <v>130</v>
      </c>
    </row>
    <row r="106" customFormat="false" ht="15" hidden="false" customHeight="false" outlineLevel="0" collapsed="false">
      <c r="A106" s="2" t="s">
        <v>121</v>
      </c>
      <c r="B106" s="2" t="n">
        <v>52</v>
      </c>
      <c r="C106" s="2" t="s">
        <v>128</v>
      </c>
      <c r="D106" s="2" t="s">
        <v>211</v>
      </c>
      <c r="E106" s="2" t="s">
        <v>130</v>
      </c>
    </row>
    <row r="107" customFormat="false" ht="15" hidden="false" customHeight="false" outlineLevel="0" collapsed="false">
      <c r="A107" s="2" t="s">
        <v>121</v>
      </c>
      <c r="B107" s="2" t="n">
        <v>52</v>
      </c>
      <c r="C107" s="2" t="s">
        <v>128</v>
      </c>
      <c r="D107" s="2" t="s">
        <v>212</v>
      </c>
      <c r="E107" s="2" t="s">
        <v>130</v>
      </c>
    </row>
    <row r="108" customFormat="false" ht="15" hidden="false" customHeight="false" outlineLevel="0" collapsed="false">
      <c r="A108" s="2" t="s">
        <v>121</v>
      </c>
      <c r="B108" s="2" t="n">
        <v>53</v>
      </c>
      <c r="C108" s="2" t="s">
        <v>128</v>
      </c>
      <c r="D108" s="2" t="s">
        <v>213</v>
      </c>
      <c r="E108" s="2" t="s">
        <v>130</v>
      </c>
    </row>
    <row r="109" customFormat="false" ht="15" hidden="false" customHeight="false" outlineLevel="0" collapsed="false">
      <c r="A109" s="2" t="s">
        <v>121</v>
      </c>
      <c r="B109" s="2" t="n">
        <v>54</v>
      </c>
      <c r="C109" s="2" t="s">
        <v>125</v>
      </c>
      <c r="D109" s="2" t="s">
        <v>214</v>
      </c>
      <c r="E109" s="2" t="s">
        <v>127</v>
      </c>
    </row>
    <row r="110" customFormat="false" ht="15" hidden="false" customHeight="false" outlineLevel="0" collapsed="false">
      <c r="A110" s="2" t="s">
        <v>121</v>
      </c>
      <c r="B110" s="2" t="n">
        <v>54</v>
      </c>
      <c r="C110" s="2" t="s">
        <v>132</v>
      </c>
      <c r="D110" s="2" t="s">
        <v>158</v>
      </c>
      <c r="E110" s="2" t="s">
        <v>134</v>
      </c>
    </row>
    <row r="111" customFormat="false" ht="15" hidden="false" customHeight="false" outlineLevel="0" collapsed="false">
      <c r="A111" s="2" t="s">
        <v>121</v>
      </c>
      <c r="B111" s="2" t="n">
        <v>54</v>
      </c>
      <c r="C111" s="2" t="s">
        <v>128</v>
      </c>
      <c r="D111" s="2" t="s">
        <v>215</v>
      </c>
      <c r="E111" s="2" t="s">
        <v>130</v>
      </c>
    </row>
    <row r="112" customFormat="false" ht="15" hidden="false" customHeight="false" outlineLevel="0" collapsed="false">
      <c r="A112" s="2" t="s">
        <v>121</v>
      </c>
      <c r="B112" s="2" t="n">
        <v>55</v>
      </c>
      <c r="C112" s="2" t="s">
        <v>132</v>
      </c>
      <c r="D112" s="2" t="s">
        <v>150</v>
      </c>
      <c r="E112" s="2" t="s">
        <v>151</v>
      </c>
    </row>
    <row r="113" customFormat="false" ht="15" hidden="false" customHeight="false" outlineLevel="0" collapsed="false">
      <c r="A113" s="2" t="s">
        <v>121</v>
      </c>
      <c r="B113" s="2" t="n">
        <v>55</v>
      </c>
      <c r="C113" s="2" t="s">
        <v>128</v>
      </c>
      <c r="D113" s="2" t="s">
        <v>216</v>
      </c>
      <c r="E113" s="2" t="s">
        <v>130</v>
      </c>
    </row>
    <row r="114" customFormat="false" ht="15" hidden="false" customHeight="false" outlineLevel="0" collapsed="false">
      <c r="A114" s="2" t="s">
        <v>121</v>
      </c>
      <c r="B114" s="2" t="n">
        <v>56</v>
      </c>
      <c r="C114" s="2" t="s">
        <v>132</v>
      </c>
      <c r="D114" s="2" t="s">
        <v>163</v>
      </c>
      <c r="E114" s="2" t="s">
        <v>134</v>
      </c>
    </row>
    <row r="115" customFormat="false" ht="15" hidden="false" customHeight="false" outlineLevel="0" collapsed="false">
      <c r="A115" s="2" t="s">
        <v>121</v>
      </c>
      <c r="B115" s="2" t="n">
        <v>56</v>
      </c>
      <c r="C115" s="2" t="s">
        <v>128</v>
      </c>
      <c r="D115" s="2" t="s">
        <v>217</v>
      </c>
      <c r="E115" s="2" t="s">
        <v>130</v>
      </c>
    </row>
    <row r="116" customFormat="false" ht="15" hidden="false" customHeight="false" outlineLevel="0" collapsed="false">
      <c r="A116" s="2" t="s">
        <v>121</v>
      </c>
      <c r="B116" s="2" t="n">
        <v>56</v>
      </c>
      <c r="C116" s="2" t="s">
        <v>128</v>
      </c>
      <c r="D116" s="2" t="s">
        <v>218</v>
      </c>
      <c r="E116" s="2" t="s">
        <v>130</v>
      </c>
    </row>
    <row r="117" customFormat="false" ht="15" hidden="false" customHeight="false" outlineLevel="0" collapsed="false">
      <c r="A117" s="2" t="s">
        <v>121</v>
      </c>
      <c r="B117" s="2" t="n">
        <v>56</v>
      </c>
      <c r="C117" s="2" t="s">
        <v>128</v>
      </c>
      <c r="D117" s="2" t="s">
        <v>219</v>
      </c>
      <c r="E117" s="2" t="s">
        <v>130</v>
      </c>
    </row>
    <row r="118" customFormat="false" ht="15" hidden="false" customHeight="false" outlineLevel="0" collapsed="false">
      <c r="A118" s="2" t="s">
        <v>121</v>
      </c>
      <c r="B118" s="2" t="n">
        <v>57</v>
      </c>
      <c r="C118" s="2" t="s">
        <v>128</v>
      </c>
      <c r="D118" s="2" t="s">
        <v>220</v>
      </c>
      <c r="E118" s="2" t="s">
        <v>130</v>
      </c>
    </row>
    <row r="119" customFormat="false" ht="15" hidden="false" customHeight="false" outlineLevel="0" collapsed="false">
      <c r="A119" s="2" t="s">
        <v>121</v>
      </c>
      <c r="B119" s="2" t="n">
        <v>60</v>
      </c>
      <c r="C119" s="2" t="s">
        <v>147</v>
      </c>
      <c r="D119" s="2" t="s">
        <v>221</v>
      </c>
      <c r="E119" s="2" t="s">
        <v>149</v>
      </c>
    </row>
    <row r="120" customFormat="false" ht="15" hidden="false" customHeight="false" outlineLevel="0" collapsed="false">
      <c r="A120" s="2" t="s">
        <v>222</v>
      </c>
      <c r="B120" s="2" t="n">
        <v>1</v>
      </c>
      <c r="C120" s="2" t="s">
        <v>122</v>
      </c>
      <c r="D120" s="2" t="s">
        <v>123</v>
      </c>
      <c r="E120" s="2" t="s">
        <v>124</v>
      </c>
    </row>
    <row r="121" customFormat="false" ht="15" hidden="false" customHeight="false" outlineLevel="0" collapsed="false">
      <c r="A121" s="2" t="s">
        <v>222</v>
      </c>
      <c r="B121" s="2" t="n">
        <v>2</v>
      </c>
      <c r="C121" s="2" t="s">
        <v>128</v>
      </c>
      <c r="D121" s="2" t="s">
        <v>223</v>
      </c>
      <c r="E121" s="2" t="s">
        <v>130</v>
      </c>
    </row>
    <row r="122" customFormat="false" ht="15" hidden="false" customHeight="false" outlineLevel="0" collapsed="false">
      <c r="A122" s="2" t="s">
        <v>222</v>
      </c>
      <c r="B122" s="2" t="n">
        <v>2</v>
      </c>
      <c r="C122" s="2" t="s">
        <v>128</v>
      </c>
      <c r="D122" s="2" t="s">
        <v>224</v>
      </c>
      <c r="E122" s="2" t="s">
        <v>130</v>
      </c>
    </row>
    <row r="123" customFormat="false" ht="15" hidden="false" customHeight="false" outlineLevel="0" collapsed="false">
      <c r="A123" s="2" t="s">
        <v>222</v>
      </c>
      <c r="B123" s="2" t="n">
        <v>2</v>
      </c>
      <c r="C123" s="2" t="s">
        <v>128</v>
      </c>
      <c r="D123" s="2" t="s">
        <v>225</v>
      </c>
      <c r="E123" s="2" t="s">
        <v>130</v>
      </c>
    </row>
    <row r="124" customFormat="false" ht="15" hidden="false" customHeight="false" outlineLevel="0" collapsed="false">
      <c r="A124" s="2" t="s">
        <v>222</v>
      </c>
      <c r="B124" s="2" t="n">
        <v>3</v>
      </c>
      <c r="C124" s="2" t="s">
        <v>125</v>
      </c>
      <c r="D124" s="2" t="s">
        <v>226</v>
      </c>
      <c r="E124" s="2" t="s">
        <v>127</v>
      </c>
    </row>
    <row r="125" customFormat="false" ht="15" hidden="false" customHeight="false" outlineLevel="0" collapsed="false">
      <c r="A125" s="2" t="s">
        <v>222</v>
      </c>
      <c r="B125" s="2" t="n">
        <v>3</v>
      </c>
      <c r="C125" s="2" t="s">
        <v>132</v>
      </c>
      <c r="D125" s="2" t="s">
        <v>133</v>
      </c>
      <c r="E125" s="2" t="s">
        <v>134</v>
      </c>
    </row>
    <row r="126" customFormat="false" ht="15" hidden="false" customHeight="false" outlineLevel="0" collapsed="false">
      <c r="A126" s="2" t="s">
        <v>222</v>
      </c>
      <c r="B126" s="2" t="n">
        <v>4</v>
      </c>
      <c r="C126" s="2" t="s">
        <v>128</v>
      </c>
      <c r="D126" s="2" t="s">
        <v>227</v>
      </c>
      <c r="E126" s="2" t="s">
        <v>130</v>
      </c>
    </row>
    <row r="127" customFormat="false" ht="15" hidden="false" customHeight="false" outlineLevel="0" collapsed="false">
      <c r="A127" s="2" t="s">
        <v>222</v>
      </c>
      <c r="B127" s="2" t="n">
        <v>5</v>
      </c>
      <c r="C127" s="2" t="s">
        <v>132</v>
      </c>
      <c r="D127" s="2" t="s">
        <v>133</v>
      </c>
      <c r="E127" s="2" t="s">
        <v>134</v>
      </c>
    </row>
    <row r="128" customFormat="false" ht="15" hidden="false" customHeight="false" outlineLevel="0" collapsed="false">
      <c r="A128" s="2" t="s">
        <v>222</v>
      </c>
      <c r="B128" s="2" t="n">
        <v>5</v>
      </c>
      <c r="C128" s="2" t="s">
        <v>128</v>
      </c>
      <c r="D128" s="2" t="s">
        <v>228</v>
      </c>
      <c r="E128" s="2" t="s">
        <v>130</v>
      </c>
    </row>
    <row r="129" customFormat="false" ht="15" hidden="false" customHeight="false" outlineLevel="0" collapsed="false">
      <c r="A129" s="2" t="s">
        <v>222</v>
      </c>
      <c r="B129" s="2" t="n">
        <v>5</v>
      </c>
      <c r="C129" s="2" t="s">
        <v>128</v>
      </c>
      <c r="D129" s="2" t="s">
        <v>229</v>
      </c>
      <c r="E129" s="2" t="s">
        <v>130</v>
      </c>
    </row>
    <row r="130" customFormat="false" ht="15" hidden="false" customHeight="false" outlineLevel="0" collapsed="false">
      <c r="A130" s="2" t="s">
        <v>222</v>
      </c>
      <c r="B130" s="2" t="n">
        <v>5</v>
      </c>
      <c r="C130" s="2" t="s">
        <v>128</v>
      </c>
      <c r="D130" s="2" t="s">
        <v>230</v>
      </c>
      <c r="E130" s="2" t="s">
        <v>130</v>
      </c>
    </row>
    <row r="131" customFormat="false" ht="15" hidden="false" customHeight="false" outlineLevel="0" collapsed="false">
      <c r="A131" s="2" t="s">
        <v>222</v>
      </c>
      <c r="B131" s="2" t="n">
        <v>6</v>
      </c>
      <c r="C131" s="2" t="s">
        <v>147</v>
      </c>
      <c r="D131" s="2" t="s">
        <v>148</v>
      </c>
      <c r="E131" s="2" t="s">
        <v>149</v>
      </c>
    </row>
    <row r="132" customFormat="false" ht="15" hidden="false" customHeight="false" outlineLevel="0" collapsed="false">
      <c r="A132" s="2" t="s">
        <v>222</v>
      </c>
      <c r="B132" s="2" t="n">
        <v>7</v>
      </c>
      <c r="C132" s="2" t="s">
        <v>128</v>
      </c>
      <c r="D132" s="2" t="s">
        <v>231</v>
      </c>
      <c r="E132" s="2" t="s">
        <v>130</v>
      </c>
    </row>
    <row r="133" customFormat="false" ht="15" hidden="false" customHeight="false" outlineLevel="0" collapsed="false">
      <c r="A133" s="2" t="s">
        <v>222</v>
      </c>
      <c r="B133" s="2" t="n">
        <v>7</v>
      </c>
      <c r="C133" s="2" t="s">
        <v>128</v>
      </c>
      <c r="D133" s="2" t="s">
        <v>232</v>
      </c>
      <c r="E133" s="2" t="s">
        <v>130</v>
      </c>
    </row>
    <row r="134" customFormat="false" ht="15" hidden="false" customHeight="false" outlineLevel="0" collapsed="false">
      <c r="A134" s="2" t="s">
        <v>222</v>
      </c>
      <c r="B134" s="2" t="n">
        <v>8</v>
      </c>
      <c r="C134" s="2" t="s">
        <v>128</v>
      </c>
      <c r="D134" s="2" t="s">
        <v>231</v>
      </c>
      <c r="E134" s="2" t="s">
        <v>130</v>
      </c>
    </row>
    <row r="135" customFormat="false" ht="15" hidden="false" customHeight="false" outlineLevel="0" collapsed="false">
      <c r="A135" s="2" t="s">
        <v>222</v>
      </c>
      <c r="B135" s="2" t="n">
        <v>8</v>
      </c>
      <c r="C135" s="2" t="s">
        <v>128</v>
      </c>
      <c r="D135" s="2" t="s">
        <v>232</v>
      </c>
      <c r="E135" s="2" t="s">
        <v>130</v>
      </c>
    </row>
    <row r="136" customFormat="false" ht="15" hidden="false" customHeight="false" outlineLevel="0" collapsed="false">
      <c r="A136" s="2" t="s">
        <v>222</v>
      </c>
      <c r="B136" s="2" t="n">
        <v>9</v>
      </c>
      <c r="C136" s="2" t="s">
        <v>128</v>
      </c>
      <c r="D136" s="2" t="s">
        <v>233</v>
      </c>
      <c r="E136" s="2" t="s">
        <v>130</v>
      </c>
    </row>
    <row r="137" customFormat="false" ht="15" hidden="false" customHeight="false" outlineLevel="0" collapsed="false">
      <c r="A137" s="2" t="s">
        <v>222</v>
      </c>
      <c r="B137" s="2" t="n">
        <v>9</v>
      </c>
      <c r="C137" s="2" t="s">
        <v>128</v>
      </c>
      <c r="D137" s="2" t="s">
        <v>234</v>
      </c>
      <c r="E137" s="2" t="s">
        <v>130</v>
      </c>
    </row>
    <row r="138" customFormat="false" ht="15" hidden="false" customHeight="false" outlineLevel="0" collapsed="false">
      <c r="A138" s="2" t="s">
        <v>222</v>
      </c>
      <c r="B138" s="2" t="n">
        <v>10</v>
      </c>
      <c r="C138" s="2" t="s">
        <v>125</v>
      </c>
      <c r="D138" s="2" t="s">
        <v>235</v>
      </c>
      <c r="E138" s="2" t="s">
        <v>127</v>
      </c>
    </row>
    <row r="139" customFormat="false" ht="15" hidden="false" customHeight="false" outlineLevel="0" collapsed="false">
      <c r="A139" s="2" t="s">
        <v>222</v>
      </c>
      <c r="B139" s="2" t="n">
        <v>10</v>
      </c>
      <c r="C139" s="2" t="s">
        <v>128</v>
      </c>
      <c r="D139" s="2" t="s">
        <v>236</v>
      </c>
      <c r="E139" s="2" t="s">
        <v>130</v>
      </c>
    </row>
    <row r="140" customFormat="false" ht="15" hidden="false" customHeight="false" outlineLevel="0" collapsed="false">
      <c r="A140" s="2" t="s">
        <v>222</v>
      </c>
      <c r="B140" s="2" t="n">
        <v>11</v>
      </c>
      <c r="C140" s="2" t="s">
        <v>132</v>
      </c>
      <c r="D140" s="2" t="s">
        <v>133</v>
      </c>
      <c r="E140" s="2" t="s">
        <v>134</v>
      </c>
    </row>
    <row r="141" customFormat="false" ht="15" hidden="false" customHeight="false" outlineLevel="0" collapsed="false">
      <c r="A141" s="2" t="s">
        <v>222</v>
      </c>
      <c r="B141" s="2" t="n">
        <v>11</v>
      </c>
      <c r="C141" s="2" t="s">
        <v>128</v>
      </c>
      <c r="D141" s="2" t="s">
        <v>237</v>
      </c>
      <c r="E141" s="2" t="s">
        <v>130</v>
      </c>
    </row>
    <row r="142" customFormat="false" ht="15" hidden="false" customHeight="false" outlineLevel="0" collapsed="false">
      <c r="A142" s="2" t="s">
        <v>222</v>
      </c>
      <c r="B142" s="2" t="n">
        <v>12</v>
      </c>
      <c r="C142" s="2" t="s">
        <v>128</v>
      </c>
      <c r="D142" s="2" t="s">
        <v>238</v>
      </c>
      <c r="E142" s="2" t="s">
        <v>130</v>
      </c>
    </row>
    <row r="143" customFormat="false" ht="15" hidden="false" customHeight="false" outlineLevel="0" collapsed="false">
      <c r="A143" s="2" t="s">
        <v>222</v>
      </c>
      <c r="B143" s="2" t="n">
        <v>12</v>
      </c>
      <c r="C143" s="2" t="s">
        <v>128</v>
      </c>
      <c r="D143" s="2" t="s">
        <v>239</v>
      </c>
      <c r="E143" s="2" t="s">
        <v>130</v>
      </c>
    </row>
    <row r="144" customFormat="false" ht="15" hidden="false" customHeight="false" outlineLevel="0" collapsed="false">
      <c r="A144" s="2" t="s">
        <v>222</v>
      </c>
      <c r="B144" s="2" t="n">
        <v>12</v>
      </c>
      <c r="C144" s="2" t="s">
        <v>128</v>
      </c>
      <c r="D144" s="2" t="s">
        <v>240</v>
      </c>
      <c r="E144" s="2" t="s">
        <v>130</v>
      </c>
    </row>
    <row r="145" customFormat="false" ht="15" hidden="false" customHeight="false" outlineLevel="0" collapsed="false">
      <c r="A145" s="2" t="s">
        <v>222</v>
      </c>
      <c r="B145" s="2" t="n">
        <v>13</v>
      </c>
      <c r="C145" s="2" t="s">
        <v>125</v>
      </c>
      <c r="D145" s="2" t="s">
        <v>241</v>
      </c>
      <c r="E145" s="2" t="s">
        <v>127</v>
      </c>
    </row>
    <row r="146" customFormat="false" ht="15" hidden="false" customHeight="false" outlineLevel="0" collapsed="false">
      <c r="A146" s="2" t="s">
        <v>222</v>
      </c>
      <c r="B146" s="2" t="n">
        <v>13</v>
      </c>
      <c r="C146" s="2" t="s">
        <v>132</v>
      </c>
      <c r="D146" s="2" t="s">
        <v>158</v>
      </c>
      <c r="E146" s="2" t="s">
        <v>134</v>
      </c>
    </row>
    <row r="147" customFormat="false" ht="15" hidden="false" customHeight="false" outlineLevel="0" collapsed="false">
      <c r="A147" s="2" t="s">
        <v>222</v>
      </c>
      <c r="B147" s="2" t="n">
        <v>14</v>
      </c>
      <c r="C147" s="2" t="s">
        <v>132</v>
      </c>
      <c r="D147" s="2" t="s">
        <v>160</v>
      </c>
      <c r="E147" s="2" t="s">
        <v>151</v>
      </c>
    </row>
    <row r="148" customFormat="false" ht="15" hidden="false" customHeight="false" outlineLevel="0" collapsed="false">
      <c r="A148" s="2" t="s">
        <v>222</v>
      </c>
      <c r="B148" s="2" t="n">
        <v>15</v>
      </c>
      <c r="C148" s="2" t="s">
        <v>132</v>
      </c>
      <c r="D148" s="2" t="s">
        <v>158</v>
      </c>
      <c r="E148" s="2" t="s">
        <v>134</v>
      </c>
    </row>
    <row r="149" customFormat="false" ht="15" hidden="false" customHeight="false" outlineLevel="0" collapsed="false">
      <c r="A149" s="2" t="s">
        <v>222</v>
      </c>
      <c r="B149" s="2" t="n">
        <v>15</v>
      </c>
      <c r="C149" s="2" t="s">
        <v>128</v>
      </c>
      <c r="D149" s="2" t="s">
        <v>242</v>
      </c>
      <c r="E149" s="2" t="s">
        <v>130</v>
      </c>
    </row>
    <row r="150" customFormat="false" ht="15" hidden="false" customHeight="false" outlineLevel="0" collapsed="false">
      <c r="A150" s="2" t="s">
        <v>222</v>
      </c>
      <c r="B150" s="2" t="n">
        <v>15</v>
      </c>
      <c r="C150" s="2" t="s">
        <v>128</v>
      </c>
      <c r="D150" s="2" t="s">
        <v>243</v>
      </c>
      <c r="E150" s="2" t="s">
        <v>130</v>
      </c>
    </row>
    <row r="151" customFormat="false" ht="15" hidden="false" customHeight="false" outlineLevel="0" collapsed="false">
      <c r="A151" s="2" t="s">
        <v>222</v>
      </c>
      <c r="B151" s="2" t="n">
        <v>16</v>
      </c>
      <c r="C151" s="2" t="s">
        <v>132</v>
      </c>
      <c r="D151" s="2" t="s">
        <v>150</v>
      </c>
      <c r="E151" s="2" t="s">
        <v>151</v>
      </c>
    </row>
    <row r="152" customFormat="false" ht="15" hidden="false" customHeight="false" outlineLevel="0" collapsed="false">
      <c r="A152" s="2" t="s">
        <v>222</v>
      </c>
      <c r="B152" s="2" t="n">
        <v>16</v>
      </c>
      <c r="C152" s="2" t="s">
        <v>128</v>
      </c>
      <c r="D152" s="2" t="s">
        <v>244</v>
      </c>
      <c r="E152" s="2" t="s">
        <v>130</v>
      </c>
    </row>
    <row r="153" customFormat="false" ht="15" hidden="false" customHeight="false" outlineLevel="0" collapsed="false">
      <c r="A153" s="2" t="s">
        <v>222</v>
      </c>
      <c r="B153" s="2" t="n">
        <v>16</v>
      </c>
      <c r="C153" s="2" t="s">
        <v>128</v>
      </c>
      <c r="D153" s="2" t="s">
        <v>245</v>
      </c>
      <c r="E153" s="2" t="s">
        <v>130</v>
      </c>
    </row>
    <row r="154" customFormat="false" ht="15" hidden="false" customHeight="false" outlineLevel="0" collapsed="false">
      <c r="A154" s="2" t="s">
        <v>222</v>
      </c>
      <c r="B154" s="2" t="n">
        <v>16</v>
      </c>
      <c r="C154" s="2" t="s">
        <v>128</v>
      </c>
      <c r="D154" s="2" t="s">
        <v>246</v>
      </c>
      <c r="E154" s="2" t="s">
        <v>130</v>
      </c>
    </row>
    <row r="155" customFormat="false" ht="15" hidden="false" customHeight="false" outlineLevel="0" collapsed="false">
      <c r="A155" s="2" t="s">
        <v>222</v>
      </c>
      <c r="B155" s="2" t="n">
        <v>17</v>
      </c>
      <c r="C155" s="2" t="s">
        <v>132</v>
      </c>
      <c r="D155" s="2" t="s">
        <v>163</v>
      </c>
      <c r="E155" s="2" t="s">
        <v>134</v>
      </c>
    </row>
    <row r="156" customFormat="false" ht="15" hidden="false" customHeight="false" outlineLevel="0" collapsed="false">
      <c r="A156" s="2" t="s">
        <v>222</v>
      </c>
      <c r="B156" s="2" t="n">
        <v>17</v>
      </c>
      <c r="C156" s="2" t="s">
        <v>128</v>
      </c>
      <c r="D156" s="2" t="s">
        <v>247</v>
      </c>
      <c r="E156" s="2" t="s">
        <v>130</v>
      </c>
    </row>
    <row r="157" customFormat="false" ht="15" hidden="false" customHeight="false" outlineLevel="0" collapsed="false">
      <c r="A157" s="2" t="s">
        <v>222</v>
      </c>
      <c r="B157" s="2" t="n">
        <v>18</v>
      </c>
      <c r="C157" s="2" t="s">
        <v>128</v>
      </c>
      <c r="D157" s="2" t="s">
        <v>248</v>
      </c>
      <c r="E157" s="2" t="s">
        <v>130</v>
      </c>
    </row>
    <row r="158" customFormat="false" ht="15" hidden="false" customHeight="false" outlineLevel="0" collapsed="false">
      <c r="A158" s="2" t="s">
        <v>222</v>
      </c>
      <c r="B158" s="2" t="n">
        <v>18</v>
      </c>
      <c r="C158" s="2" t="s">
        <v>128</v>
      </c>
      <c r="D158" s="2" t="s">
        <v>249</v>
      </c>
      <c r="E158" s="2" t="s">
        <v>130</v>
      </c>
    </row>
    <row r="159" customFormat="false" ht="15" hidden="false" customHeight="false" outlineLevel="0" collapsed="false">
      <c r="A159" s="2" t="s">
        <v>222</v>
      </c>
      <c r="B159" s="2" t="n">
        <v>19</v>
      </c>
      <c r="C159" s="2" t="s">
        <v>132</v>
      </c>
      <c r="D159" s="2" t="s">
        <v>133</v>
      </c>
      <c r="E159" s="2" t="s">
        <v>134</v>
      </c>
    </row>
    <row r="160" customFormat="false" ht="15" hidden="false" customHeight="false" outlineLevel="0" collapsed="false">
      <c r="A160" s="2" t="s">
        <v>222</v>
      </c>
      <c r="B160" s="2" t="n">
        <v>19</v>
      </c>
      <c r="C160" s="2" t="s">
        <v>128</v>
      </c>
      <c r="D160" s="2" t="s">
        <v>250</v>
      </c>
      <c r="E160" s="2" t="s">
        <v>130</v>
      </c>
    </row>
    <row r="161" customFormat="false" ht="15" hidden="false" customHeight="false" outlineLevel="0" collapsed="false">
      <c r="A161" s="2" t="s">
        <v>222</v>
      </c>
      <c r="B161" s="2" t="n">
        <v>20</v>
      </c>
      <c r="C161" s="2" t="s">
        <v>128</v>
      </c>
      <c r="D161" s="2" t="s">
        <v>251</v>
      </c>
      <c r="E161" s="2" t="s">
        <v>130</v>
      </c>
    </row>
    <row r="162" customFormat="false" ht="15" hidden="false" customHeight="false" outlineLevel="0" collapsed="false">
      <c r="A162" s="2" t="s">
        <v>222</v>
      </c>
      <c r="B162" s="2" t="n">
        <v>20</v>
      </c>
      <c r="C162" s="2" t="s">
        <v>128</v>
      </c>
      <c r="D162" s="2" t="s">
        <v>252</v>
      </c>
      <c r="E162" s="2" t="s">
        <v>130</v>
      </c>
    </row>
    <row r="163" customFormat="false" ht="15" hidden="false" customHeight="false" outlineLevel="0" collapsed="false">
      <c r="A163" s="2" t="s">
        <v>222</v>
      </c>
      <c r="B163" s="2" t="n">
        <v>21</v>
      </c>
      <c r="C163" s="2" t="s">
        <v>132</v>
      </c>
      <c r="D163" s="2" t="s">
        <v>133</v>
      </c>
      <c r="E163" s="2" t="s">
        <v>134</v>
      </c>
    </row>
    <row r="164" customFormat="false" ht="15" hidden="false" customHeight="false" outlineLevel="0" collapsed="false">
      <c r="A164" s="2" t="s">
        <v>222</v>
      </c>
      <c r="B164" s="2" t="n">
        <v>21</v>
      </c>
      <c r="C164" s="2" t="s">
        <v>128</v>
      </c>
      <c r="D164" s="2" t="s">
        <v>253</v>
      </c>
      <c r="E164" s="2" t="s">
        <v>130</v>
      </c>
    </row>
    <row r="165" customFormat="false" ht="15" hidden="false" customHeight="false" outlineLevel="0" collapsed="false">
      <c r="A165" s="2" t="s">
        <v>222</v>
      </c>
      <c r="B165" s="2" t="n">
        <v>22</v>
      </c>
      <c r="C165" s="2" t="s">
        <v>132</v>
      </c>
      <c r="D165" s="2" t="s">
        <v>150</v>
      </c>
      <c r="E165" s="2" t="s">
        <v>151</v>
      </c>
    </row>
    <row r="166" customFormat="false" ht="15" hidden="false" customHeight="false" outlineLevel="0" collapsed="false">
      <c r="A166" s="2" t="s">
        <v>222</v>
      </c>
      <c r="B166" s="2" t="n">
        <v>22</v>
      </c>
      <c r="C166" s="2" t="s">
        <v>128</v>
      </c>
      <c r="D166" s="2" t="s">
        <v>254</v>
      </c>
      <c r="E166" s="2" t="s">
        <v>130</v>
      </c>
    </row>
    <row r="167" customFormat="false" ht="15" hidden="false" customHeight="false" outlineLevel="0" collapsed="false">
      <c r="A167" s="2" t="s">
        <v>222</v>
      </c>
      <c r="B167" s="2" t="n">
        <v>23</v>
      </c>
      <c r="C167" s="2" t="s">
        <v>125</v>
      </c>
      <c r="D167" s="2" t="s">
        <v>255</v>
      </c>
      <c r="E167" s="2" t="s">
        <v>127</v>
      </c>
    </row>
    <row r="168" customFormat="false" ht="15" hidden="false" customHeight="false" outlineLevel="0" collapsed="false">
      <c r="A168" s="2" t="s">
        <v>222</v>
      </c>
      <c r="B168" s="2" t="n">
        <v>23</v>
      </c>
      <c r="C168" s="2" t="s">
        <v>128</v>
      </c>
      <c r="D168" s="2" t="s">
        <v>256</v>
      </c>
      <c r="E168" s="2" t="s">
        <v>130</v>
      </c>
    </row>
    <row r="169" customFormat="false" ht="15" hidden="false" customHeight="false" outlineLevel="0" collapsed="false">
      <c r="A169" s="2" t="s">
        <v>222</v>
      </c>
      <c r="B169" s="2" t="n">
        <v>23</v>
      </c>
      <c r="C169" s="2" t="s">
        <v>128</v>
      </c>
      <c r="D169" s="2" t="s">
        <v>257</v>
      </c>
      <c r="E169" s="2" t="s">
        <v>130</v>
      </c>
    </row>
    <row r="170" customFormat="false" ht="15" hidden="false" customHeight="false" outlineLevel="0" collapsed="false">
      <c r="A170" s="2" t="s">
        <v>222</v>
      </c>
      <c r="B170" s="2" t="n">
        <v>23</v>
      </c>
      <c r="C170" s="2" t="s">
        <v>128</v>
      </c>
      <c r="D170" s="2" t="s">
        <v>258</v>
      </c>
      <c r="E170" s="2" t="s">
        <v>130</v>
      </c>
    </row>
    <row r="171" customFormat="false" ht="15" hidden="false" customHeight="false" outlineLevel="0" collapsed="false">
      <c r="A171" s="2" t="s">
        <v>222</v>
      </c>
      <c r="B171" s="2" t="n">
        <v>24</v>
      </c>
      <c r="C171" s="2" t="s">
        <v>128</v>
      </c>
      <c r="D171" s="2" t="s">
        <v>259</v>
      </c>
      <c r="E171" s="2" t="s">
        <v>130</v>
      </c>
    </row>
    <row r="172" customFormat="false" ht="15" hidden="false" customHeight="false" outlineLevel="0" collapsed="false">
      <c r="A172" s="2" t="s">
        <v>222</v>
      </c>
      <c r="B172" s="2" t="n">
        <v>24</v>
      </c>
      <c r="C172" s="2" t="s">
        <v>128</v>
      </c>
      <c r="D172" s="2" t="s">
        <v>260</v>
      </c>
      <c r="E172" s="2" t="s">
        <v>130</v>
      </c>
    </row>
    <row r="173" customFormat="false" ht="15" hidden="false" customHeight="false" outlineLevel="0" collapsed="false">
      <c r="A173" s="2" t="s">
        <v>222</v>
      </c>
      <c r="B173" s="2" t="n">
        <v>24</v>
      </c>
      <c r="C173" s="2" t="s">
        <v>128</v>
      </c>
      <c r="D173" s="2" t="s">
        <v>261</v>
      </c>
      <c r="E173" s="2" t="s">
        <v>130</v>
      </c>
    </row>
    <row r="174" customFormat="false" ht="15" hidden="false" customHeight="false" outlineLevel="0" collapsed="false">
      <c r="A174" s="2" t="s">
        <v>222</v>
      </c>
      <c r="B174" s="2" t="n">
        <v>25</v>
      </c>
      <c r="C174" s="2" t="s">
        <v>125</v>
      </c>
      <c r="D174" s="2" t="s">
        <v>262</v>
      </c>
      <c r="E174" s="2" t="s">
        <v>127</v>
      </c>
    </row>
    <row r="175" customFormat="false" ht="15" hidden="false" customHeight="false" outlineLevel="0" collapsed="false">
      <c r="A175" s="2" t="s">
        <v>222</v>
      </c>
      <c r="B175" s="2" t="n">
        <v>25</v>
      </c>
      <c r="C175" s="2" t="s">
        <v>132</v>
      </c>
      <c r="D175" s="2" t="s">
        <v>158</v>
      </c>
      <c r="E175" s="2" t="s">
        <v>134</v>
      </c>
    </row>
    <row r="176" customFormat="false" ht="15" hidden="false" customHeight="false" outlineLevel="0" collapsed="false">
      <c r="A176" s="2" t="s">
        <v>222</v>
      </c>
      <c r="B176" s="2" t="n">
        <v>25</v>
      </c>
      <c r="C176" s="2" t="s">
        <v>128</v>
      </c>
      <c r="D176" s="2" t="s">
        <v>263</v>
      </c>
      <c r="E176" s="2" t="s">
        <v>130</v>
      </c>
    </row>
    <row r="177" customFormat="false" ht="15" hidden="false" customHeight="false" outlineLevel="0" collapsed="false">
      <c r="A177" s="2" t="s">
        <v>222</v>
      </c>
      <c r="B177" s="2" t="n">
        <v>26</v>
      </c>
      <c r="C177" s="2" t="s">
        <v>128</v>
      </c>
      <c r="D177" s="2" t="s">
        <v>264</v>
      </c>
      <c r="E177" s="2" t="s">
        <v>130</v>
      </c>
    </row>
    <row r="178" customFormat="false" ht="15" hidden="false" customHeight="false" outlineLevel="0" collapsed="false">
      <c r="A178" s="2" t="s">
        <v>222</v>
      </c>
      <c r="B178" s="2" t="n">
        <v>27</v>
      </c>
      <c r="C178" s="2" t="s">
        <v>125</v>
      </c>
      <c r="D178" s="2" t="s">
        <v>265</v>
      </c>
      <c r="E178" s="2" t="s">
        <v>127</v>
      </c>
    </row>
    <row r="179" customFormat="false" ht="15" hidden="false" customHeight="false" outlineLevel="0" collapsed="false">
      <c r="A179" s="2" t="s">
        <v>222</v>
      </c>
      <c r="B179" s="2" t="n">
        <v>27</v>
      </c>
      <c r="C179" s="2" t="s">
        <v>132</v>
      </c>
      <c r="D179" s="2" t="s">
        <v>163</v>
      </c>
      <c r="E179" s="2" t="s">
        <v>134</v>
      </c>
    </row>
    <row r="180" customFormat="false" ht="15" hidden="false" customHeight="false" outlineLevel="0" collapsed="false">
      <c r="A180" s="2" t="s">
        <v>222</v>
      </c>
      <c r="B180" s="2" t="n">
        <v>27</v>
      </c>
      <c r="C180" s="2" t="s">
        <v>128</v>
      </c>
      <c r="D180" s="2" t="s">
        <v>266</v>
      </c>
      <c r="E180" s="2" t="s">
        <v>130</v>
      </c>
    </row>
    <row r="181" customFormat="false" ht="15" hidden="false" customHeight="false" outlineLevel="0" collapsed="false">
      <c r="A181" s="2" t="s">
        <v>222</v>
      </c>
      <c r="B181" s="2" t="n">
        <v>27</v>
      </c>
      <c r="C181" s="2" t="s">
        <v>128</v>
      </c>
      <c r="D181" s="2" t="s">
        <v>267</v>
      </c>
      <c r="E181" s="2" t="s">
        <v>130</v>
      </c>
    </row>
    <row r="182" customFormat="false" ht="15" hidden="false" customHeight="false" outlineLevel="0" collapsed="false">
      <c r="A182" s="2" t="s">
        <v>222</v>
      </c>
      <c r="B182" s="2" t="n">
        <v>28</v>
      </c>
      <c r="C182" s="2" t="s">
        <v>132</v>
      </c>
      <c r="D182" s="2" t="s">
        <v>150</v>
      </c>
      <c r="E182" s="2" t="s">
        <v>151</v>
      </c>
    </row>
    <row r="183" customFormat="false" ht="15" hidden="false" customHeight="false" outlineLevel="0" collapsed="false">
      <c r="A183" s="2" t="s">
        <v>222</v>
      </c>
      <c r="B183" s="2" t="n">
        <v>28</v>
      </c>
      <c r="C183" s="2" t="s">
        <v>128</v>
      </c>
      <c r="D183" s="2" t="s">
        <v>268</v>
      </c>
      <c r="E183" s="2" t="s">
        <v>130</v>
      </c>
    </row>
    <row r="184" customFormat="false" ht="15" hidden="false" customHeight="false" outlineLevel="0" collapsed="false">
      <c r="A184" s="2" t="s">
        <v>222</v>
      </c>
      <c r="B184" s="2" t="n">
        <v>29</v>
      </c>
      <c r="C184" s="2" t="s">
        <v>128</v>
      </c>
      <c r="D184" s="2" t="s">
        <v>269</v>
      </c>
      <c r="E184" s="2" t="s">
        <v>130</v>
      </c>
    </row>
    <row r="185" customFormat="false" ht="15" hidden="false" customHeight="false" outlineLevel="0" collapsed="false">
      <c r="A185" s="2" t="s">
        <v>222</v>
      </c>
      <c r="B185" s="2" t="n">
        <v>29</v>
      </c>
      <c r="C185" s="2" t="s">
        <v>128</v>
      </c>
      <c r="D185" s="2" t="s">
        <v>270</v>
      </c>
      <c r="E185" s="2" t="s">
        <v>130</v>
      </c>
    </row>
    <row r="186" customFormat="false" ht="15" hidden="false" customHeight="false" outlineLevel="0" collapsed="false">
      <c r="A186" s="2" t="s">
        <v>222</v>
      </c>
      <c r="B186" s="2" t="n">
        <v>30</v>
      </c>
      <c r="C186" s="2" t="s">
        <v>125</v>
      </c>
      <c r="D186" s="2" t="s">
        <v>271</v>
      </c>
      <c r="E186" s="2" t="s">
        <v>127</v>
      </c>
    </row>
    <row r="187" customFormat="false" ht="15" hidden="false" customHeight="false" outlineLevel="0" collapsed="false">
      <c r="A187" s="2" t="s">
        <v>222</v>
      </c>
      <c r="B187" s="2" t="n">
        <v>30</v>
      </c>
      <c r="C187" s="2" t="s">
        <v>128</v>
      </c>
      <c r="D187" s="2" t="s">
        <v>272</v>
      </c>
      <c r="E187" s="2" t="s">
        <v>130</v>
      </c>
    </row>
    <row r="188" customFormat="false" ht="15" hidden="false" customHeight="false" outlineLevel="0" collapsed="false">
      <c r="A188" s="2" t="s">
        <v>222</v>
      </c>
      <c r="B188" s="2" t="n">
        <v>31</v>
      </c>
      <c r="C188" s="2" t="s">
        <v>128</v>
      </c>
      <c r="D188" s="2" t="s">
        <v>273</v>
      </c>
      <c r="E188" s="2" t="s">
        <v>130</v>
      </c>
    </row>
    <row r="189" customFormat="false" ht="15" hidden="false" customHeight="false" outlineLevel="0" collapsed="false">
      <c r="A189" s="2" t="s">
        <v>222</v>
      </c>
      <c r="B189" s="2" t="n">
        <v>32</v>
      </c>
      <c r="C189" s="2" t="s">
        <v>132</v>
      </c>
      <c r="D189" s="2" t="s">
        <v>150</v>
      </c>
      <c r="E189" s="2" t="s">
        <v>151</v>
      </c>
    </row>
    <row r="190" customFormat="false" ht="15" hidden="false" customHeight="false" outlineLevel="0" collapsed="false">
      <c r="A190" s="2" t="s">
        <v>222</v>
      </c>
      <c r="B190" s="2" t="n">
        <v>32</v>
      </c>
      <c r="C190" s="2" t="s">
        <v>128</v>
      </c>
      <c r="D190" s="2" t="s">
        <v>274</v>
      </c>
      <c r="E190" s="2" t="s">
        <v>130</v>
      </c>
    </row>
    <row r="191" customFormat="false" ht="15" hidden="false" customHeight="false" outlineLevel="0" collapsed="false">
      <c r="A191" s="2" t="s">
        <v>222</v>
      </c>
      <c r="B191" s="2" t="n">
        <v>32</v>
      </c>
      <c r="C191" s="2" t="s">
        <v>128</v>
      </c>
      <c r="D191" s="2" t="s">
        <v>275</v>
      </c>
      <c r="E191" s="2" t="s">
        <v>130</v>
      </c>
    </row>
    <row r="192" customFormat="false" ht="15" hidden="false" customHeight="false" outlineLevel="0" collapsed="false">
      <c r="A192" s="2" t="s">
        <v>222</v>
      </c>
      <c r="B192" s="2" t="n">
        <v>33</v>
      </c>
      <c r="C192" s="2" t="s">
        <v>132</v>
      </c>
      <c r="D192" s="2" t="s">
        <v>163</v>
      </c>
      <c r="E192" s="2" t="s">
        <v>134</v>
      </c>
    </row>
    <row r="193" customFormat="false" ht="15" hidden="false" customHeight="false" outlineLevel="0" collapsed="false">
      <c r="A193" s="2" t="s">
        <v>222</v>
      </c>
      <c r="B193" s="2" t="n">
        <v>33</v>
      </c>
      <c r="C193" s="2" t="s">
        <v>128</v>
      </c>
      <c r="D193" s="2" t="s">
        <v>276</v>
      </c>
      <c r="E193" s="2" t="s">
        <v>130</v>
      </c>
    </row>
    <row r="194" customFormat="false" ht="15" hidden="false" customHeight="false" outlineLevel="0" collapsed="false">
      <c r="A194" s="2" t="s">
        <v>222</v>
      </c>
      <c r="B194" s="2" t="n">
        <v>33</v>
      </c>
      <c r="C194" s="2" t="s">
        <v>128</v>
      </c>
      <c r="D194" s="2" t="s">
        <v>177</v>
      </c>
      <c r="E194" s="2" t="s">
        <v>130</v>
      </c>
    </row>
    <row r="195" customFormat="false" ht="15" hidden="false" customHeight="false" outlineLevel="0" collapsed="false">
      <c r="A195" s="2" t="s">
        <v>222</v>
      </c>
      <c r="B195" s="2" t="n">
        <v>34</v>
      </c>
      <c r="C195" s="2" t="s">
        <v>125</v>
      </c>
      <c r="D195" s="2" t="s">
        <v>277</v>
      </c>
      <c r="E195" s="2" t="s">
        <v>127</v>
      </c>
    </row>
    <row r="196" customFormat="false" ht="15" hidden="false" customHeight="false" outlineLevel="0" collapsed="false">
      <c r="A196" s="2" t="s">
        <v>222</v>
      </c>
      <c r="B196" s="2" t="n">
        <v>34</v>
      </c>
      <c r="C196" s="2" t="s">
        <v>132</v>
      </c>
      <c r="D196" s="2" t="s">
        <v>150</v>
      </c>
      <c r="E196" s="2" t="s">
        <v>151</v>
      </c>
    </row>
    <row r="197" customFormat="false" ht="15" hidden="false" customHeight="false" outlineLevel="0" collapsed="false">
      <c r="A197" s="2" t="s">
        <v>222</v>
      </c>
      <c r="B197" s="2" t="n">
        <v>34</v>
      </c>
      <c r="C197" s="2" t="s">
        <v>128</v>
      </c>
      <c r="D197" s="2" t="s">
        <v>278</v>
      </c>
      <c r="E197" s="2" t="s">
        <v>130</v>
      </c>
    </row>
    <row r="198" customFormat="false" ht="15" hidden="false" customHeight="false" outlineLevel="0" collapsed="false">
      <c r="A198" s="2" t="s">
        <v>222</v>
      </c>
      <c r="B198" s="2" t="n">
        <v>35</v>
      </c>
      <c r="C198" s="2" t="s">
        <v>132</v>
      </c>
      <c r="D198" s="2" t="s">
        <v>163</v>
      </c>
      <c r="E198" s="2" t="s">
        <v>134</v>
      </c>
    </row>
    <row r="199" customFormat="false" ht="15" hidden="false" customHeight="false" outlineLevel="0" collapsed="false">
      <c r="A199" s="2" t="s">
        <v>222</v>
      </c>
      <c r="B199" s="2" t="n">
        <v>35</v>
      </c>
      <c r="C199" s="2" t="s">
        <v>128</v>
      </c>
      <c r="D199" s="2" t="s">
        <v>279</v>
      </c>
      <c r="E199" s="2" t="s">
        <v>130</v>
      </c>
    </row>
    <row r="200" customFormat="false" ht="15" hidden="false" customHeight="false" outlineLevel="0" collapsed="false">
      <c r="A200" s="2" t="s">
        <v>222</v>
      </c>
      <c r="B200" s="2" t="n">
        <v>37</v>
      </c>
      <c r="C200" s="2" t="s">
        <v>125</v>
      </c>
      <c r="D200" s="2" t="s">
        <v>280</v>
      </c>
      <c r="E200" s="2" t="s">
        <v>127</v>
      </c>
    </row>
    <row r="201" customFormat="false" ht="15" hidden="false" customHeight="false" outlineLevel="0" collapsed="false">
      <c r="A201" s="2" t="s">
        <v>222</v>
      </c>
      <c r="B201" s="2" t="n">
        <v>37</v>
      </c>
      <c r="C201" s="2" t="s">
        <v>128</v>
      </c>
      <c r="D201" s="2" t="s">
        <v>281</v>
      </c>
      <c r="E201" s="2" t="s">
        <v>130</v>
      </c>
    </row>
    <row r="202" customFormat="false" ht="15" hidden="false" customHeight="false" outlineLevel="0" collapsed="false">
      <c r="A202" s="2" t="s">
        <v>222</v>
      </c>
      <c r="B202" s="2" t="n">
        <v>38</v>
      </c>
      <c r="C202" s="2" t="s">
        <v>125</v>
      </c>
      <c r="D202" s="2" t="s">
        <v>282</v>
      </c>
      <c r="E202" s="2" t="s">
        <v>127</v>
      </c>
    </row>
    <row r="203" customFormat="false" ht="15" hidden="false" customHeight="false" outlineLevel="0" collapsed="false">
      <c r="A203" s="2" t="s">
        <v>222</v>
      </c>
      <c r="B203" s="2" t="n">
        <v>38</v>
      </c>
      <c r="C203" s="2" t="s">
        <v>128</v>
      </c>
      <c r="D203" s="2" t="s">
        <v>283</v>
      </c>
      <c r="E203" s="2" t="s">
        <v>130</v>
      </c>
    </row>
    <row r="204" customFormat="false" ht="15" hidden="false" customHeight="false" outlineLevel="0" collapsed="false">
      <c r="A204" s="2" t="s">
        <v>222</v>
      </c>
      <c r="B204" s="2" t="n">
        <v>39</v>
      </c>
      <c r="C204" s="2" t="s">
        <v>132</v>
      </c>
      <c r="D204" s="2" t="s">
        <v>133</v>
      </c>
      <c r="E204" s="2" t="s">
        <v>134</v>
      </c>
    </row>
    <row r="205" customFormat="false" ht="15" hidden="false" customHeight="false" outlineLevel="0" collapsed="false">
      <c r="A205" s="2" t="s">
        <v>222</v>
      </c>
      <c r="B205" s="2" t="n">
        <v>39</v>
      </c>
      <c r="C205" s="2" t="s">
        <v>128</v>
      </c>
      <c r="D205" s="2" t="s">
        <v>284</v>
      </c>
      <c r="E205" s="2" t="s">
        <v>130</v>
      </c>
    </row>
    <row r="206" customFormat="false" ht="15" hidden="false" customHeight="false" outlineLevel="0" collapsed="false">
      <c r="A206" s="2" t="s">
        <v>222</v>
      </c>
      <c r="B206" s="2" t="n">
        <v>40</v>
      </c>
      <c r="C206" s="2" t="s">
        <v>132</v>
      </c>
      <c r="D206" s="2" t="s">
        <v>160</v>
      </c>
      <c r="E206" s="2" t="s">
        <v>151</v>
      </c>
    </row>
    <row r="207" customFormat="false" ht="15" hidden="false" customHeight="false" outlineLevel="0" collapsed="false">
      <c r="A207" s="2" t="s">
        <v>222</v>
      </c>
      <c r="B207" s="2" t="n">
        <v>40</v>
      </c>
      <c r="C207" s="2" t="s">
        <v>128</v>
      </c>
      <c r="D207" s="2" t="s">
        <v>285</v>
      </c>
      <c r="E207" s="2" t="s">
        <v>130</v>
      </c>
    </row>
    <row r="208" customFormat="false" ht="15" hidden="false" customHeight="false" outlineLevel="0" collapsed="false">
      <c r="A208" s="2" t="s">
        <v>222</v>
      </c>
      <c r="B208" s="2" t="n">
        <v>40</v>
      </c>
      <c r="C208" s="2" t="s">
        <v>128</v>
      </c>
      <c r="D208" s="2" t="s">
        <v>286</v>
      </c>
      <c r="E208" s="2" t="s">
        <v>130</v>
      </c>
    </row>
    <row r="209" customFormat="false" ht="15" hidden="false" customHeight="false" outlineLevel="0" collapsed="false">
      <c r="A209" s="2" t="s">
        <v>222</v>
      </c>
      <c r="B209" s="2" t="n">
        <v>41</v>
      </c>
      <c r="C209" s="2" t="s">
        <v>125</v>
      </c>
      <c r="D209" s="2" t="s">
        <v>287</v>
      </c>
      <c r="E209" s="2" t="s">
        <v>127</v>
      </c>
    </row>
    <row r="210" customFormat="false" ht="15" hidden="false" customHeight="false" outlineLevel="0" collapsed="false">
      <c r="A210" s="2" t="s">
        <v>222</v>
      </c>
      <c r="B210" s="2" t="n">
        <v>41</v>
      </c>
      <c r="C210" s="2" t="s">
        <v>132</v>
      </c>
      <c r="D210" s="2" t="s">
        <v>133</v>
      </c>
      <c r="E210" s="2" t="s">
        <v>134</v>
      </c>
    </row>
    <row r="211" customFormat="false" ht="15" hidden="false" customHeight="false" outlineLevel="0" collapsed="false">
      <c r="A211" s="2" t="s">
        <v>222</v>
      </c>
      <c r="B211" s="2" t="n">
        <v>42</v>
      </c>
      <c r="C211" s="2" t="s">
        <v>132</v>
      </c>
      <c r="D211" s="2" t="s">
        <v>150</v>
      </c>
      <c r="E211" s="2" t="s">
        <v>151</v>
      </c>
    </row>
    <row r="212" customFormat="false" ht="15" hidden="false" customHeight="false" outlineLevel="0" collapsed="false">
      <c r="A212" s="2" t="s">
        <v>222</v>
      </c>
      <c r="B212" s="2" t="n">
        <v>42</v>
      </c>
      <c r="C212" s="2" t="s">
        <v>128</v>
      </c>
      <c r="D212" s="2" t="s">
        <v>288</v>
      </c>
      <c r="E212" s="2" t="s">
        <v>130</v>
      </c>
    </row>
    <row r="213" customFormat="false" ht="15" hidden="false" customHeight="false" outlineLevel="0" collapsed="false">
      <c r="A213" s="2" t="s">
        <v>222</v>
      </c>
      <c r="B213" s="2" t="n">
        <v>42</v>
      </c>
      <c r="C213" s="2" t="s">
        <v>128</v>
      </c>
      <c r="D213" s="2" t="s">
        <v>289</v>
      </c>
      <c r="E213" s="2" t="s">
        <v>130</v>
      </c>
    </row>
    <row r="214" customFormat="false" ht="15" hidden="false" customHeight="false" outlineLevel="0" collapsed="false">
      <c r="A214" s="2" t="s">
        <v>222</v>
      </c>
      <c r="B214" s="2" t="n">
        <v>42</v>
      </c>
      <c r="C214" s="2" t="s">
        <v>128</v>
      </c>
      <c r="D214" s="2" t="s">
        <v>290</v>
      </c>
      <c r="E214" s="2" t="s">
        <v>130</v>
      </c>
    </row>
    <row r="215" customFormat="false" ht="15" hidden="false" customHeight="false" outlineLevel="0" collapsed="false">
      <c r="A215" s="2" t="s">
        <v>222</v>
      </c>
      <c r="B215" s="2" t="n">
        <v>43</v>
      </c>
      <c r="C215" s="2" t="s">
        <v>125</v>
      </c>
      <c r="D215" s="2" t="s">
        <v>291</v>
      </c>
      <c r="E215" s="2" t="s">
        <v>127</v>
      </c>
    </row>
    <row r="216" customFormat="false" ht="15" hidden="false" customHeight="false" outlineLevel="0" collapsed="false">
      <c r="A216" s="2" t="s">
        <v>222</v>
      </c>
      <c r="B216" s="2" t="n">
        <v>43</v>
      </c>
      <c r="C216" s="2" t="s">
        <v>132</v>
      </c>
      <c r="D216" s="2" t="s">
        <v>133</v>
      </c>
      <c r="E216" s="2" t="s">
        <v>134</v>
      </c>
    </row>
    <row r="217" customFormat="false" ht="15" hidden="false" customHeight="false" outlineLevel="0" collapsed="false">
      <c r="A217" s="2" t="s">
        <v>222</v>
      </c>
      <c r="B217" s="2" t="n">
        <v>43</v>
      </c>
      <c r="C217" s="2" t="s">
        <v>128</v>
      </c>
      <c r="D217" s="2" t="s">
        <v>292</v>
      </c>
      <c r="E217" s="2" t="s">
        <v>130</v>
      </c>
    </row>
    <row r="218" customFormat="false" ht="15" hidden="false" customHeight="false" outlineLevel="0" collapsed="false">
      <c r="A218" s="2" t="s">
        <v>222</v>
      </c>
      <c r="B218" s="2" t="n">
        <v>43</v>
      </c>
      <c r="C218" s="2" t="s">
        <v>128</v>
      </c>
      <c r="D218" s="2" t="s">
        <v>293</v>
      </c>
      <c r="E218" s="2" t="s">
        <v>130</v>
      </c>
    </row>
    <row r="219" customFormat="false" ht="15" hidden="false" customHeight="false" outlineLevel="0" collapsed="false">
      <c r="A219" s="2" t="s">
        <v>222</v>
      </c>
      <c r="B219" s="2" t="n">
        <v>44</v>
      </c>
      <c r="C219" s="2" t="s">
        <v>147</v>
      </c>
      <c r="D219" s="2" t="s">
        <v>148</v>
      </c>
      <c r="E219" s="2" t="s">
        <v>149</v>
      </c>
    </row>
    <row r="220" customFormat="false" ht="15" hidden="false" customHeight="false" outlineLevel="0" collapsed="false">
      <c r="A220" s="2" t="s">
        <v>222</v>
      </c>
      <c r="B220" s="2" t="n">
        <v>45</v>
      </c>
      <c r="C220" s="2" t="s">
        <v>125</v>
      </c>
      <c r="D220" s="2" t="s">
        <v>294</v>
      </c>
      <c r="E220" s="2" t="s">
        <v>127</v>
      </c>
    </row>
    <row r="221" customFormat="false" ht="15" hidden="false" customHeight="false" outlineLevel="0" collapsed="false">
      <c r="A221" s="2" t="s">
        <v>222</v>
      </c>
      <c r="B221" s="2" t="n">
        <v>45</v>
      </c>
      <c r="C221" s="2" t="s">
        <v>128</v>
      </c>
      <c r="D221" s="2" t="s">
        <v>295</v>
      </c>
      <c r="E221" s="2" t="s">
        <v>130</v>
      </c>
    </row>
    <row r="222" customFormat="false" ht="15" hidden="false" customHeight="false" outlineLevel="0" collapsed="false">
      <c r="A222" s="2" t="s">
        <v>222</v>
      </c>
      <c r="B222" s="2" t="n">
        <v>45</v>
      </c>
      <c r="C222" s="2" t="s">
        <v>128</v>
      </c>
      <c r="D222" s="2" t="s">
        <v>296</v>
      </c>
      <c r="E222" s="2" t="s">
        <v>130</v>
      </c>
    </row>
    <row r="223" customFormat="false" ht="15" hidden="false" customHeight="false" outlineLevel="0" collapsed="false">
      <c r="A223" s="2" t="s">
        <v>222</v>
      </c>
      <c r="B223" s="2" t="n">
        <v>45</v>
      </c>
      <c r="C223" s="2" t="s">
        <v>128</v>
      </c>
      <c r="D223" s="2" t="s">
        <v>297</v>
      </c>
      <c r="E223" s="2" t="s">
        <v>130</v>
      </c>
    </row>
    <row r="224" customFormat="false" ht="15" hidden="false" customHeight="false" outlineLevel="0" collapsed="false">
      <c r="A224" s="2" t="s">
        <v>222</v>
      </c>
      <c r="B224" s="2" t="n">
        <v>46</v>
      </c>
      <c r="C224" s="2" t="s">
        <v>132</v>
      </c>
      <c r="D224" s="2" t="s">
        <v>163</v>
      </c>
      <c r="E224" s="2" t="s">
        <v>134</v>
      </c>
    </row>
    <row r="225" customFormat="false" ht="15" hidden="false" customHeight="false" outlineLevel="0" collapsed="false">
      <c r="A225" s="2" t="s">
        <v>222</v>
      </c>
      <c r="B225" s="2" t="n">
        <v>46</v>
      </c>
      <c r="C225" s="2" t="s">
        <v>128</v>
      </c>
      <c r="D225" s="2" t="s">
        <v>298</v>
      </c>
      <c r="E225" s="2" t="s">
        <v>130</v>
      </c>
    </row>
    <row r="226" customFormat="false" ht="15" hidden="false" customHeight="false" outlineLevel="0" collapsed="false">
      <c r="A226" s="2" t="s">
        <v>222</v>
      </c>
      <c r="B226" s="2" t="n">
        <v>46</v>
      </c>
      <c r="C226" s="2" t="s">
        <v>128</v>
      </c>
      <c r="D226" s="2" t="s">
        <v>299</v>
      </c>
      <c r="E226" s="2" t="s">
        <v>130</v>
      </c>
    </row>
    <row r="227" customFormat="false" ht="15" hidden="false" customHeight="false" outlineLevel="0" collapsed="false">
      <c r="A227" s="2" t="s">
        <v>222</v>
      </c>
      <c r="B227" s="2" t="n">
        <v>46</v>
      </c>
      <c r="C227" s="2" t="s">
        <v>128</v>
      </c>
      <c r="D227" s="2" t="s">
        <v>300</v>
      </c>
      <c r="E227" s="2" t="s">
        <v>130</v>
      </c>
    </row>
    <row r="228" customFormat="false" ht="15" hidden="false" customHeight="false" outlineLevel="0" collapsed="false">
      <c r="A228" s="2" t="s">
        <v>222</v>
      </c>
      <c r="B228" s="2" t="n">
        <v>47</v>
      </c>
      <c r="C228" s="2" t="s">
        <v>125</v>
      </c>
      <c r="D228" s="2" t="s">
        <v>301</v>
      </c>
      <c r="E228" s="2" t="s">
        <v>127</v>
      </c>
    </row>
    <row r="229" customFormat="false" ht="15" hidden="false" customHeight="false" outlineLevel="0" collapsed="false">
      <c r="A229" s="2" t="s">
        <v>222</v>
      </c>
      <c r="B229" s="2" t="n">
        <v>47</v>
      </c>
      <c r="C229" s="2" t="s">
        <v>132</v>
      </c>
      <c r="D229" s="2" t="s">
        <v>160</v>
      </c>
      <c r="E229" s="2" t="s">
        <v>151</v>
      </c>
    </row>
    <row r="230" customFormat="false" ht="15" hidden="false" customHeight="false" outlineLevel="0" collapsed="false">
      <c r="A230" s="2" t="s">
        <v>222</v>
      </c>
      <c r="B230" s="2" t="n">
        <v>47</v>
      </c>
      <c r="C230" s="2" t="s">
        <v>128</v>
      </c>
      <c r="D230" s="2" t="s">
        <v>302</v>
      </c>
      <c r="E230" s="2" t="s">
        <v>130</v>
      </c>
    </row>
    <row r="231" customFormat="false" ht="15" hidden="false" customHeight="false" outlineLevel="0" collapsed="false">
      <c r="A231" s="2" t="s">
        <v>222</v>
      </c>
      <c r="B231" s="2" t="n">
        <v>47</v>
      </c>
      <c r="C231" s="2" t="s">
        <v>128</v>
      </c>
      <c r="D231" s="2" t="s">
        <v>303</v>
      </c>
      <c r="E231" s="2" t="s">
        <v>130</v>
      </c>
    </row>
    <row r="232" customFormat="false" ht="15" hidden="false" customHeight="false" outlineLevel="0" collapsed="false">
      <c r="A232" s="2" t="s">
        <v>222</v>
      </c>
      <c r="B232" s="2" t="n">
        <v>48</v>
      </c>
      <c r="C232" s="2" t="s">
        <v>128</v>
      </c>
      <c r="D232" s="2" t="s">
        <v>304</v>
      </c>
      <c r="E232" s="2" t="s">
        <v>130</v>
      </c>
    </row>
    <row r="233" customFormat="false" ht="15" hidden="false" customHeight="false" outlineLevel="0" collapsed="false">
      <c r="A233" s="2" t="s">
        <v>222</v>
      </c>
      <c r="B233" s="2" t="n">
        <v>50</v>
      </c>
      <c r="C233" s="2" t="s">
        <v>132</v>
      </c>
      <c r="D233" s="2" t="s">
        <v>133</v>
      </c>
      <c r="E233" s="2" t="s">
        <v>134</v>
      </c>
    </row>
    <row r="234" customFormat="false" ht="15" hidden="false" customHeight="false" outlineLevel="0" collapsed="false">
      <c r="A234" s="2" t="s">
        <v>222</v>
      </c>
      <c r="B234" s="2" t="n">
        <v>51</v>
      </c>
      <c r="C234" s="2" t="s">
        <v>132</v>
      </c>
      <c r="D234" s="2" t="s">
        <v>150</v>
      </c>
      <c r="E234" s="2" t="s">
        <v>151</v>
      </c>
    </row>
    <row r="235" customFormat="false" ht="15" hidden="false" customHeight="false" outlineLevel="0" collapsed="false">
      <c r="A235" s="2" t="s">
        <v>222</v>
      </c>
      <c r="B235" s="2" t="n">
        <v>51</v>
      </c>
      <c r="C235" s="2" t="s">
        <v>128</v>
      </c>
      <c r="D235" s="2" t="s">
        <v>305</v>
      </c>
      <c r="E235" s="2" t="s">
        <v>130</v>
      </c>
    </row>
    <row r="236" customFormat="false" ht="15" hidden="false" customHeight="false" outlineLevel="0" collapsed="false">
      <c r="A236" s="2" t="s">
        <v>222</v>
      </c>
      <c r="B236" s="2" t="n">
        <v>51</v>
      </c>
      <c r="C236" s="2" t="s">
        <v>128</v>
      </c>
      <c r="D236" s="2" t="s">
        <v>306</v>
      </c>
      <c r="E236" s="2" t="s">
        <v>130</v>
      </c>
    </row>
    <row r="237" customFormat="false" ht="15" hidden="false" customHeight="false" outlineLevel="0" collapsed="false">
      <c r="A237" s="2" t="s">
        <v>222</v>
      </c>
      <c r="B237" s="2" t="n">
        <v>52</v>
      </c>
      <c r="C237" s="2" t="s">
        <v>128</v>
      </c>
      <c r="D237" s="2" t="s">
        <v>307</v>
      </c>
      <c r="E237" s="2" t="s">
        <v>130</v>
      </c>
    </row>
    <row r="238" customFormat="false" ht="15" hidden="false" customHeight="false" outlineLevel="0" collapsed="false">
      <c r="A238" s="2" t="s">
        <v>222</v>
      </c>
      <c r="B238" s="2" t="n">
        <v>54</v>
      </c>
      <c r="C238" s="2" t="s">
        <v>147</v>
      </c>
      <c r="D238" s="2" t="s">
        <v>221</v>
      </c>
      <c r="E238" s="2" t="s">
        <v>149</v>
      </c>
    </row>
    <row r="239" customFormat="false" ht="15" hidden="false" customHeight="false" outlineLevel="0" collapsed="false">
      <c r="A239" s="2" t="s">
        <v>308</v>
      </c>
      <c r="B239" s="2" t="n">
        <v>1</v>
      </c>
      <c r="C239" s="2" t="s">
        <v>122</v>
      </c>
      <c r="D239" s="2" t="s">
        <v>123</v>
      </c>
      <c r="E239" s="2" t="s">
        <v>124</v>
      </c>
    </row>
    <row r="240" customFormat="false" ht="15" hidden="false" customHeight="false" outlineLevel="0" collapsed="false">
      <c r="A240" s="2" t="s">
        <v>308</v>
      </c>
      <c r="B240" s="2" t="n">
        <v>2</v>
      </c>
      <c r="C240" s="2" t="s">
        <v>128</v>
      </c>
      <c r="D240" s="2" t="s">
        <v>309</v>
      </c>
      <c r="E240" s="2" t="s">
        <v>130</v>
      </c>
    </row>
    <row r="241" customFormat="false" ht="15" hidden="false" customHeight="false" outlineLevel="0" collapsed="false">
      <c r="A241" s="2" t="s">
        <v>308</v>
      </c>
      <c r="B241" s="2" t="n">
        <v>3</v>
      </c>
      <c r="C241" s="2" t="s">
        <v>132</v>
      </c>
      <c r="D241" s="2" t="s">
        <v>158</v>
      </c>
      <c r="E241" s="2" t="s">
        <v>134</v>
      </c>
    </row>
    <row r="242" customFormat="false" ht="15" hidden="false" customHeight="false" outlineLevel="0" collapsed="false">
      <c r="A242" s="2" t="s">
        <v>308</v>
      </c>
      <c r="B242" s="2" t="n">
        <v>3</v>
      </c>
      <c r="C242" s="2" t="s">
        <v>128</v>
      </c>
      <c r="D242" s="2" t="s">
        <v>310</v>
      </c>
      <c r="E242" s="2" t="s">
        <v>130</v>
      </c>
    </row>
    <row r="243" customFormat="false" ht="15" hidden="false" customHeight="false" outlineLevel="0" collapsed="false">
      <c r="A243" s="2" t="s">
        <v>308</v>
      </c>
      <c r="B243" s="2" t="n">
        <v>3</v>
      </c>
      <c r="C243" s="2" t="s">
        <v>128</v>
      </c>
      <c r="D243" s="2" t="s">
        <v>311</v>
      </c>
      <c r="E243" s="2" t="s">
        <v>130</v>
      </c>
    </row>
    <row r="244" customFormat="false" ht="15" hidden="false" customHeight="false" outlineLevel="0" collapsed="false">
      <c r="A244" s="2" t="s">
        <v>308</v>
      </c>
      <c r="B244" s="2" t="n">
        <v>4</v>
      </c>
      <c r="C244" s="2" t="s">
        <v>125</v>
      </c>
      <c r="D244" s="2" t="s">
        <v>312</v>
      </c>
      <c r="E244" s="2" t="s">
        <v>127</v>
      </c>
    </row>
    <row r="245" customFormat="false" ht="15" hidden="false" customHeight="false" outlineLevel="0" collapsed="false">
      <c r="A245" s="2" t="s">
        <v>308</v>
      </c>
      <c r="B245" s="2" t="n">
        <v>4</v>
      </c>
      <c r="C245" s="2" t="s">
        <v>128</v>
      </c>
      <c r="D245" s="2" t="s">
        <v>313</v>
      </c>
      <c r="E245" s="2" t="s">
        <v>130</v>
      </c>
    </row>
    <row r="246" customFormat="false" ht="15" hidden="false" customHeight="false" outlineLevel="0" collapsed="false">
      <c r="A246" s="2" t="s">
        <v>308</v>
      </c>
      <c r="B246" s="2" t="n">
        <v>4</v>
      </c>
      <c r="C246" s="2" t="s">
        <v>128</v>
      </c>
      <c r="D246" s="2" t="s">
        <v>314</v>
      </c>
      <c r="E246" s="2" t="s">
        <v>130</v>
      </c>
    </row>
    <row r="247" customFormat="false" ht="15" hidden="false" customHeight="false" outlineLevel="0" collapsed="false">
      <c r="A247" s="2" t="s">
        <v>308</v>
      </c>
      <c r="B247" s="2" t="n">
        <v>5</v>
      </c>
      <c r="C247" s="2" t="s">
        <v>132</v>
      </c>
      <c r="D247" s="2" t="s">
        <v>163</v>
      </c>
      <c r="E247" s="2" t="s">
        <v>134</v>
      </c>
    </row>
    <row r="248" customFormat="false" ht="15" hidden="false" customHeight="false" outlineLevel="0" collapsed="false">
      <c r="A248" s="2" t="s">
        <v>308</v>
      </c>
      <c r="B248" s="2" t="n">
        <v>5</v>
      </c>
      <c r="C248" s="2" t="s">
        <v>128</v>
      </c>
      <c r="D248" s="2" t="s">
        <v>315</v>
      </c>
      <c r="E248" s="2" t="s">
        <v>130</v>
      </c>
    </row>
    <row r="249" customFormat="false" ht="15" hidden="false" customHeight="false" outlineLevel="0" collapsed="false">
      <c r="A249" s="2" t="s">
        <v>308</v>
      </c>
      <c r="B249" s="2" t="n">
        <v>5</v>
      </c>
      <c r="C249" s="2" t="s">
        <v>128</v>
      </c>
      <c r="D249" s="2" t="s">
        <v>316</v>
      </c>
      <c r="E249" s="2" t="s">
        <v>130</v>
      </c>
    </row>
    <row r="250" customFormat="false" ht="15" hidden="false" customHeight="false" outlineLevel="0" collapsed="false">
      <c r="A250" s="2" t="s">
        <v>308</v>
      </c>
      <c r="B250" s="2" t="n">
        <v>6</v>
      </c>
      <c r="C250" s="2" t="s">
        <v>147</v>
      </c>
      <c r="D250" s="2" t="s">
        <v>148</v>
      </c>
      <c r="E250" s="2" t="s">
        <v>149</v>
      </c>
    </row>
    <row r="251" customFormat="false" ht="15" hidden="false" customHeight="false" outlineLevel="0" collapsed="false">
      <c r="A251" s="2" t="s">
        <v>308</v>
      </c>
      <c r="B251" s="2" t="n">
        <v>7</v>
      </c>
      <c r="C251" s="2" t="s">
        <v>125</v>
      </c>
      <c r="D251" s="2" t="s">
        <v>317</v>
      </c>
      <c r="E251" s="2" t="s">
        <v>127</v>
      </c>
    </row>
    <row r="252" customFormat="false" ht="15" hidden="false" customHeight="false" outlineLevel="0" collapsed="false">
      <c r="A252" s="2" t="s">
        <v>308</v>
      </c>
      <c r="B252" s="2" t="n">
        <v>7</v>
      </c>
      <c r="C252" s="2" t="s">
        <v>128</v>
      </c>
      <c r="D252" s="2" t="s">
        <v>318</v>
      </c>
      <c r="E252" s="2" t="s">
        <v>130</v>
      </c>
    </row>
    <row r="253" customFormat="false" ht="15" hidden="false" customHeight="false" outlineLevel="0" collapsed="false">
      <c r="A253" s="2" t="s">
        <v>308</v>
      </c>
      <c r="B253" s="2" t="n">
        <v>7</v>
      </c>
      <c r="C253" s="2" t="s">
        <v>128</v>
      </c>
      <c r="D253" s="2" t="s">
        <v>319</v>
      </c>
      <c r="E253" s="2" t="s">
        <v>130</v>
      </c>
    </row>
    <row r="254" customFormat="false" ht="15" hidden="false" customHeight="false" outlineLevel="0" collapsed="false">
      <c r="A254" s="2" t="s">
        <v>308</v>
      </c>
      <c r="B254" s="2" t="n">
        <v>7</v>
      </c>
      <c r="C254" s="2" t="s">
        <v>128</v>
      </c>
      <c r="D254" s="2" t="s">
        <v>320</v>
      </c>
      <c r="E254" s="2" t="s">
        <v>130</v>
      </c>
    </row>
    <row r="255" customFormat="false" ht="15" hidden="false" customHeight="false" outlineLevel="0" collapsed="false">
      <c r="A255" s="2" t="s">
        <v>308</v>
      </c>
      <c r="B255" s="2" t="n">
        <v>8</v>
      </c>
      <c r="C255" s="2" t="s">
        <v>132</v>
      </c>
      <c r="D255" s="2" t="s">
        <v>163</v>
      </c>
      <c r="E255" s="2" t="s">
        <v>134</v>
      </c>
    </row>
    <row r="256" customFormat="false" ht="15" hidden="false" customHeight="false" outlineLevel="0" collapsed="false">
      <c r="A256" s="2" t="s">
        <v>308</v>
      </c>
      <c r="B256" s="2" t="n">
        <v>8</v>
      </c>
      <c r="C256" s="2" t="s">
        <v>128</v>
      </c>
      <c r="D256" s="2" t="s">
        <v>321</v>
      </c>
      <c r="E256" s="2" t="s">
        <v>130</v>
      </c>
    </row>
    <row r="257" customFormat="false" ht="15" hidden="false" customHeight="false" outlineLevel="0" collapsed="false">
      <c r="A257" s="2" t="s">
        <v>308</v>
      </c>
      <c r="B257" s="2" t="n">
        <v>9</v>
      </c>
      <c r="C257" s="2" t="s">
        <v>132</v>
      </c>
      <c r="D257" s="2" t="s">
        <v>160</v>
      </c>
      <c r="E257" s="2" t="s">
        <v>151</v>
      </c>
    </row>
    <row r="258" customFormat="false" ht="15" hidden="false" customHeight="false" outlineLevel="0" collapsed="false">
      <c r="A258" s="2" t="s">
        <v>308</v>
      </c>
      <c r="B258" s="2" t="n">
        <v>10</v>
      </c>
      <c r="C258" s="2" t="s">
        <v>132</v>
      </c>
      <c r="D258" s="2" t="s">
        <v>133</v>
      </c>
      <c r="E258" s="2" t="s">
        <v>134</v>
      </c>
    </row>
    <row r="259" customFormat="false" ht="15" hidden="false" customHeight="false" outlineLevel="0" collapsed="false">
      <c r="A259" s="2" t="s">
        <v>308</v>
      </c>
      <c r="B259" s="2" t="n">
        <v>11</v>
      </c>
      <c r="C259" s="2" t="s">
        <v>128</v>
      </c>
      <c r="D259" s="2" t="s">
        <v>322</v>
      </c>
      <c r="E259" s="2" t="s">
        <v>130</v>
      </c>
    </row>
    <row r="260" customFormat="false" ht="15" hidden="false" customHeight="false" outlineLevel="0" collapsed="false">
      <c r="A260" s="2" t="s">
        <v>308</v>
      </c>
      <c r="B260" s="2" t="n">
        <v>12</v>
      </c>
      <c r="C260" s="2" t="s">
        <v>132</v>
      </c>
      <c r="D260" s="2" t="s">
        <v>158</v>
      </c>
      <c r="E260" s="2" t="s">
        <v>134</v>
      </c>
    </row>
    <row r="261" customFormat="false" ht="15" hidden="false" customHeight="false" outlineLevel="0" collapsed="false">
      <c r="A261" s="2" t="s">
        <v>308</v>
      </c>
      <c r="B261" s="2" t="n">
        <v>13</v>
      </c>
      <c r="C261" s="2" t="s">
        <v>125</v>
      </c>
      <c r="D261" s="2" t="s">
        <v>323</v>
      </c>
      <c r="E261" s="2" t="s">
        <v>127</v>
      </c>
    </row>
    <row r="262" customFormat="false" ht="15" hidden="false" customHeight="false" outlineLevel="0" collapsed="false">
      <c r="A262" s="2" t="s">
        <v>308</v>
      </c>
      <c r="B262" s="2" t="n">
        <v>13</v>
      </c>
      <c r="C262" s="2" t="s">
        <v>132</v>
      </c>
      <c r="D262" s="2" t="s">
        <v>160</v>
      </c>
      <c r="E262" s="2" t="s">
        <v>151</v>
      </c>
    </row>
    <row r="263" customFormat="false" ht="15" hidden="false" customHeight="false" outlineLevel="0" collapsed="false">
      <c r="A263" s="2" t="s">
        <v>308</v>
      </c>
      <c r="B263" s="2" t="n">
        <v>13</v>
      </c>
      <c r="C263" s="2" t="s">
        <v>128</v>
      </c>
      <c r="D263" s="2" t="s">
        <v>324</v>
      </c>
      <c r="E263" s="2" t="s">
        <v>130</v>
      </c>
    </row>
    <row r="264" customFormat="false" ht="15" hidden="false" customHeight="false" outlineLevel="0" collapsed="false">
      <c r="A264" s="2" t="s">
        <v>308</v>
      </c>
      <c r="B264" s="2" t="n">
        <v>14</v>
      </c>
      <c r="C264" s="2" t="s">
        <v>132</v>
      </c>
      <c r="D264" s="2" t="s">
        <v>163</v>
      </c>
      <c r="E264" s="2" t="s">
        <v>134</v>
      </c>
    </row>
    <row r="265" customFormat="false" ht="15" hidden="false" customHeight="false" outlineLevel="0" collapsed="false">
      <c r="A265" s="2" t="s">
        <v>308</v>
      </c>
      <c r="B265" s="2" t="n">
        <v>15</v>
      </c>
      <c r="C265" s="2" t="s">
        <v>132</v>
      </c>
      <c r="D265" s="2" t="s">
        <v>150</v>
      </c>
      <c r="E265" s="2" t="s">
        <v>151</v>
      </c>
    </row>
    <row r="266" customFormat="false" ht="15" hidden="false" customHeight="false" outlineLevel="0" collapsed="false">
      <c r="A266" s="2" t="s">
        <v>308</v>
      </c>
      <c r="B266" s="2" t="n">
        <v>15</v>
      </c>
      <c r="C266" s="2" t="s">
        <v>128</v>
      </c>
      <c r="D266" s="2" t="s">
        <v>325</v>
      </c>
      <c r="E266" s="2" t="s">
        <v>130</v>
      </c>
    </row>
    <row r="267" customFormat="false" ht="15" hidden="false" customHeight="false" outlineLevel="0" collapsed="false">
      <c r="A267" s="2" t="s">
        <v>308</v>
      </c>
      <c r="B267" s="2" t="n">
        <v>15</v>
      </c>
      <c r="C267" s="2" t="s">
        <v>128</v>
      </c>
      <c r="D267" s="2" t="s">
        <v>326</v>
      </c>
      <c r="E267" s="2" t="s">
        <v>130</v>
      </c>
    </row>
    <row r="268" customFormat="false" ht="15" hidden="false" customHeight="false" outlineLevel="0" collapsed="false">
      <c r="A268" s="2" t="s">
        <v>308</v>
      </c>
      <c r="B268" s="2" t="n">
        <v>15</v>
      </c>
      <c r="C268" s="2" t="s">
        <v>128</v>
      </c>
      <c r="D268" s="2" t="s">
        <v>327</v>
      </c>
      <c r="E268" s="2" t="s">
        <v>130</v>
      </c>
    </row>
    <row r="269" customFormat="false" ht="15" hidden="false" customHeight="false" outlineLevel="0" collapsed="false">
      <c r="A269" s="2" t="s">
        <v>308</v>
      </c>
      <c r="B269" s="2" t="n">
        <v>16</v>
      </c>
      <c r="C269" s="2" t="s">
        <v>125</v>
      </c>
      <c r="D269" s="2" t="s">
        <v>328</v>
      </c>
      <c r="E269" s="2" t="s">
        <v>127</v>
      </c>
    </row>
    <row r="270" customFormat="false" ht="15" hidden="false" customHeight="false" outlineLevel="0" collapsed="false">
      <c r="A270" s="2" t="s">
        <v>308</v>
      </c>
      <c r="B270" s="2" t="n">
        <v>16</v>
      </c>
      <c r="C270" s="2" t="s">
        <v>132</v>
      </c>
      <c r="D270" s="2" t="s">
        <v>163</v>
      </c>
      <c r="E270" s="2" t="s">
        <v>134</v>
      </c>
    </row>
    <row r="271" customFormat="false" ht="15" hidden="false" customHeight="false" outlineLevel="0" collapsed="false">
      <c r="A271" s="2" t="s">
        <v>308</v>
      </c>
      <c r="B271" s="2" t="n">
        <v>16</v>
      </c>
      <c r="C271" s="2" t="s">
        <v>128</v>
      </c>
      <c r="D271" s="2" t="s">
        <v>329</v>
      </c>
      <c r="E271" s="2" t="s">
        <v>130</v>
      </c>
    </row>
    <row r="272" customFormat="false" ht="15" hidden="false" customHeight="false" outlineLevel="0" collapsed="false">
      <c r="A272" s="2" t="s">
        <v>308</v>
      </c>
      <c r="B272" s="2" t="n">
        <v>16</v>
      </c>
      <c r="C272" s="2" t="s">
        <v>128</v>
      </c>
      <c r="D272" s="2" t="s">
        <v>330</v>
      </c>
      <c r="E272" s="2" t="s">
        <v>130</v>
      </c>
    </row>
    <row r="273" customFormat="false" ht="15" hidden="false" customHeight="false" outlineLevel="0" collapsed="false">
      <c r="A273" s="2" t="s">
        <v>308</v>
      </c>
      <c r="B273" s="2" t="n">
        <v>16</v>
      </c>
      <c r="C273" s="2" t="s">
        <v>128</v>
      </c>
      <c r="D273" s="2" t="s">
        <v>331</v>
      </c>
      <c r="E273" s="2" t="s">
        <v>130</v>
      </c>
    </row>
    <row r="274" customFormat="false" ht="15" hidden="false" customHeight="false" outlineLevel="0" collapsed="false">
      <c r="A274" s="2" t="s">
        <v>308</v>
      </c>
      <c r="B274" s="2" t="n">
        <v>18</v>
      </c>
      <c r="C274" s="2" t="s">
        <v>132</v>
      </c>
      <c r="D274" s="2" t="s">
        <v>133</v>
      </c>
      <c r="E274" s="2" t="s">
        <v>134</v>
      </c>
    </row>
    <row r="275" customFormat="false" ht="15" hidden="false" customHeight="false" outlineLevel="0" collapsed="false">
      <c r="A275" s="2" t="s">
        <v>308</v>
      </c>
      <c r="B275" s="2" t="n">
        <v>18</v>
      </c>
      <c r="C275" s="2" t="s">
        <v>128</v>
      </c>
      <c r="D275" s="2" t="s">
        <v>332</v>
      </c>
      <c r="E275" s="2" t="s">
        <v>130</v>
      </c>
    </row>
    <row r="276" customFormat="false" ht="15" hidden="false" customHeight="false" outlineLevel="0" collapsed="false">
      <c r="A276" s="2" t="s">
        <v>308</v>
      </c>
      <c r="B276" s="2" t="n">
        <v>19</v>
      </c>
      <c r="C276" s="2" t="s">
        <v>147</v>
      </c>
      <c r="D276" s="2" t="s">
        <v>148</v>
      </c>
      <c r="E276" s="2" t="s">
        <v>149</v>
      </c>
    </row>
    <row r="277" customFormat="false" ht="15" hidden="false" customHeight="false" outlineLevel="0" collapsed="false">
      <c r="A277" s="2" t="s">
        <v>308</v>
      </c>
      <c r="B277" s="2" t="n">
        <v>20</v>
      </c>
      <c r="C277" s="2" t="s">
        <v>128</v>
      </c>
      <c r="D277" s="2" t="s">
        <v>333</v>
      </c>
      <c r="E277" s="2" t="s">
        <v>130</v>
      </c>
    </row>
    <row r="278" customFormat="false" ht="15" hidden="false" customHeight="false" outlineLevel="0" collapsed="false">
      <c r="A278" s="2" t="s">
        <v>308</v>
      </c>
      <c r="B278" s="2" t="n">
        <v>20</v>
      </c>
      <c r="C278" s="2" t="s">
        <v>128</v>
      </c>
      <c r="D278" s="2" t="s">
        <v>334</v>
      </c>
      <c r="E278" s="2" t="s">
        <v>130</v>
      </c>
    </row>
    <row r="279" customFormat="false" ht="15" hidden="false" customHeight="false" outlineLevel="0" collapsed="false">
      <c r="A279" s="2" t="s">
        <v>308</v>
      </c>
      <c r="B279" s="2" t="n">
        <v>20</v>
      </c>
      <c r="C279" s="2" t="s">
        <v>128</v>
      </c>
      <c r="D279" s="2" t="s">
        <v>335</v>
      </c>
      <c r="E279" s="2" t="s">
        <v>130</v>
      </c>
    </row>
    <row r="280" customFormat="false" ht="15" hidden="false" customHeight="false" outlineLevel="0" collapsed="false">
      <c r="A280" s="2" t="s">
        <v>308</v>
      </c>
      <c r="B280" s="2" t="n">
        <v>21</v>
      </c>
      <c r="C280" s="2" t="s">
        <v>132</v>
      </c>
      <c r="D280" s="2" t="s">
        <v>133</v>
      </c>
      <c r="E280" s="2" t="s">
        <v>134</v>
      </c>
    </row>
    <row r="281" customFormat="false" ht="15" hidden="false" customHeight="false" outlineLevel="0" collapsed="false">
      <c r="A281" s="2" t="s">
        <v>308</v>
      </c>
      <c r="B281" s="2" t="n">
        <v>21</v>
      </c>
      <c r="C281" s="2" t="s">
        <v>128</v>
      </c>
      <c r="D281" s="2" t="s">
        <v>336</v>
      </c>
      <c r="E281" s="2" t="s">
        <v>130</v>
      </c>
    </row>
    <row r="282" customFormat="false" ht="15" hidden="false" customHeight="false" outlineLevel="0" collapsed="false">
      <c r="A282" s="2" t="s">
        <v>308</v>
      </c>
      <c r="B282" s="2" t="n">
        <v>21</v>
      </c>
      <c r="C282" s="2" t="s">
        <v>128</v>
      </c>
      <c r="D282" s="2" t="s">
        <v>337</v>
      </c>
      <c r="E282" s="2" t="s">
        <v>130</v>
      </c>
    </row>
    <row r="283" customFormat="false" ht="15" hidden="false" customHeight="false" outlineLevel="0" collapsed="false">
      <c r="A283" s="2" t="s">
        <v>308</v>
      </c>
      <c r="B283" s="2" t="n">
        <v>21</v>
      </c>
      <c r="C283" s="2" t="s">
        <v>128</v>
      </c>
      <c r="D283" s="2" t="s">
        <v>338</v>
      </c>
      <c r="E283" s="2" t="s">
        <v>130</v>
      </c>
    </row>
    <row r="284" customFormat="false" ht="15" hidden="false" customHeight="false" outlineLevel="0" collapsed="false">
      <c r="A284" s="2" t="s">
        <v>308</v>
      </c>
      <c r="B284" s="2" t="n">
        <v>22</v>
      </c>
      <c r="C284" s="2" t="s">
        <v>128</v>
      </c>
      <c r="D284" s="2" t="s">
        <v>339</v>
      </c>
      <c r="E284" s="2" t="s">
        <v>130</v>
      </c>
    </row>
    <row r="285" customFormat="false" ht="15" hidden="false" customHeight="false" outlineLevel="0" collapsed="false">
      <c r="A285" s="2" t="s">
        <v>308</v>
      </c>
      <c r="B285" s="2" t="n">
        <v>22</v>
      </c>
      <c r="C285" s="2" t="s">
        <v>128</v>
      </c>
      <c r="D285" s="2" t="s">
        <v>340</v>
      </c>
      <c r="E285" s="2" t="s">
        <v>130</v>
      </c>
    </row>
    <row r="286" customFormat="false" ht="15" hidden="false" customHeight="false" outlineLevel="0" collapsed="false">
      <c r="A286" s="2" t="s">
        <v>308</v>
      </c>
      <c r="B286" s="2" t="n">
        <v>24</v>
      </c>
      <c r="C286" s="2" t="s">
        <v>128</v>
      </c>
      <c r="D286" s="2" t="s">
        <v>341</v>
      </c>
      <c r="E286" s="2" t="s">
        <v>130</v>
      </c>
    </row>
    <row r="287" customFormat="false" ht="15" hidden="false" customHeight="false" outlineLevel="0" collapsed="false">
      <c r="A287" s="2" t="s">
        <v>308</v>
      </c>
      <c r="B287" s="2" t="n">
        <v>24</v>
      </c>
      <c r="C287" s="2" t="s">
        <v>128</v>
      </c>
      <c r="D287" s="2" t="s">
        <v>342</v>
      </c>
      <c r="E287" s="2" t="s">
        <v>130</v>
      </c>
    </row>
    <row r="288" customFormat="false" ht="15" hidden="false" customHeight="false" outlineLevel="0" collapsed="false">
      <c r="A288" s="2" t="s">
        <v>308</v>
      </c>
      <c r="B288" s="2" t="n">
        <v>24</v>
      </c>
      <c r="C288" s="2" t="s">
        <v>128</v>
      </c>
      <c r="D288" s="2" t="s">
        <v>343</v>
      </c>
      <c r="E288" s="2" t="s">
        <v>130</v>
      </c>
    </row>
    <row r="289" customFormat="false" ht="15" hidden="false" customHeight="false" outlineLevel="0" collapsed="false">
      <c r="A289" s="2" t="s">
        <v>308</v>
      </c>
      <c r="B289" s="2" t="n">
        <v>25</v>
      </c>
      <c r="C289" s="2" t="s">
        <v>132</v>
      </c>
      <c r="D289" s="2" t="s">
        <v>133</v>
      </c>
      <c r="E289" s="2" t="s">
        <v>134</v>
      </c>
    </row>
    <row r="290" customFormat="false" ht="15" hidden="false" customHeight="false" outlineLevel="0" collapsed="false">
      <c r="A290" s="2" t="s">
        <v>308</v>
      </c>
      <c r="B290" s="2" t="n">
        <v>26</v>
      </c>
      <c r="C290" s="2" t="s">
        <v>125</v>
      </c>
      <c r="D290" s="2" t="s">
        <v>344</v>
      </c>
      <c r="E290" s="2" t="s">
        <v>127</v>
      </c>
    </row>
    <row r="291" customFormat="false" ht="15" hidden="false" customHeight="false" outlineLevel="0" collapsed="false">
      <c r="A291" s="2" t="s">
        <v>308</v>
      </c>
      <c r="B291" s="2" t="n">
        <v>26</v>
      </c>
      <c r="C291" s="2" t="s">
        <v>128</v>
      </c>
      <c r="D291" s="2" t="s">
        <v>345</v>
      </c>
      <c r="E291" s="2" t="s">
        <v>130</v>
      </c>
    </row>
    <row r="292" customFormat="false" ht="15" hidden="false" customHeight="false" outlineLevel="0" collapsed="false">
      <c r="A292" s="2" t="s">
        <v>308</v>
      </c>
      <c r="B292" s="2" t="n">
        <v>26</v>
      </c>
      <c r="C292" s="2" t="s">
        <v>128</v>
      </c>
      <c r="D292" s="2" t="s">
        <v>346</v>
      </c>
      <c r="E292" s="2" t="s">
        <v>130</v>
      </c>
    </row>
    <row r="293" customFormat="false" ht="15" hidden="false" customHeight="false" outlineLevel="0" collapsed="false">
      <c r="A293" s="2" t="s">
        <v>308</v>
      </c>
      <c r="B293" s="2" t="n">
        <v>27</v>
      </c>
      <c r="C293" s="2" t="s">
        <v>132</v>
      </c>
      <c r="D293" s="2" t="s">
        <v>133</v>
      </c>
      <c r="E293" s="2" t="s">
        <v>134</v>
      </c>
    </row>
    <row r="294" customFormat="false" ht="15" hidden="false" customHeight="false" outlineLevel="0" collapsed="false">
      <c r="A294" s="2" t="s">
        <v>308</v>
      </c>
      <c r="B294" s="2" t="n">
        <v>28</v>
      </c>
      <c r="C294" s="2" t="s">
        <v>128</v>
      </c>
      <c r="D294" s="2" t="s">
        <v>347</v>
      </c>
      <c r="E294" s="2" t="s">
        <v>130</v>
      </c>
    </row>
    <row r="295" customFormat="false" ht="15" hidden="false" customHeight="false" outlineLevel="0" collapsed="false">
      <c r="A295" s="2" t="s">
        <v>308</v>
      </c>
      <c r="B295" s="2" t="n">
        <v>28</v>
      </c>
      <c r="C295" s="2" t="s">
        <v>128</v>
      </c>
      <c r="D295" s="2" t="s">
        <v>348</v>
      </c>
      <c r="E295" s="2" t="s">
        <v>130</v>
      </c>
    </row>
    <row r="296" customFormat="false" ht="15" hidden="false" customHeight="false" outlineLevel="0" collapsed="false">
      <c r="A296" s="2" t="s">
        <v>308</v>
      </c>
      <c r="B296" s="2" t="n">
        <v>29</v>
      </c>
      <c r="C296" s="2" t="s">
        <v>128</v>
      </c>
      <c r="D296" s="2" t="s">
        <v>347</v>
      </c>
      <c r="E296" s="2" t="s">
        <v>130</v>
      </c>
    </row>
    <row r="297" customFormat="false" ht="15" hidden="false" customHeight="false" outlineLevel="0" collapsed="false">
      <c r="A297" s="2" t="s">
        <v>308</v>
      </c>
      <c r="B297" s="2" t="n">
        <v>29</v>
      </c>
      <c r="C297" s="2" t="s">
        <v>128</v>
      </c>
      <c r="D297" s="2" t="s">
        <v>348</v>
      </c>
      <c r="E297" s="2" t="s">
        <v>130</v>
      </c>
    </row>
    <row r="298" customFormat="false" ht="15" hidden="false" customHeight="false" outlineLevel="0" collapsed="false">
      <c r="A298" s="2" t="s">
        <v>308</v>
      </c>
      <c r="B298" s="2" t="n">
        <v>30</v>
      </c>
      <c r="C298" s="2" t="s">
        <v>132</v>
      </c>
      <c r="D298" s="2" t="s">
        <v>163</v>
      </c>
      <c r="E298" s="2" t="s">
        <v>134</v>
      </c>
    </row>
    <row r="299" customFormat="false" ht="15" hidden="false" customHeight="false" outlineLevel="0" collapsed="false">
      <c r="A299" s="2" t="s">
        <v>308</v>
      </c>
      <c r="B299" s="2" t="n">
        <v>30</v>
      </c>
      <c r="C299" s="2" t="s">
        <v>128</v>
      </c>
      <c r="D299" s="2" t="s">
        <v>349</v>
      </c>
      <c r="E299" s="2" t="s">
        <v>130</v>
      </c>
    </row>
    <row r="300" customFormat="false" ht="15" hidden="false" customHeight="false" outlineLevel="0" collapsed="false">
      <c r="A300" s="2" t="s">
        <v>308</v>
      </c>
      <c r="B300" s="2" t="n">
        <v>31</v>
      </c>
      <c r="C300" s="2" t="s">
        <v>125</v>
      </c>
      <c r="D300" s="2" t="s">
        <v>350</v>
      </c>
      <c r="E300" s="2" t="s">
        <v>127</v>
      </c>
    </row>
    <row r="301" customFormat="false" ht="15" hidden="false" customHeight="false" outlineLevel="0" collapsed="false">
      <c r="A301" s="2" t="s">
        <v>308</v>
      </c>
      <c r="B301" s="2" t="n">
        <v>31</v>
      </c>
      <c r="C301" s="2" t="s">
        <v>132</v>
      </c>
      <c r="D301" s="2" t="s">
        <v>150</v>
      </c>
      <c r="E301" s="2" t="s">
        <v>151</v>
      </c>
    </row>
    <row r="302" customFormat="false" ht="15" hidden="false" customHeight="false" outlineLevel="0" collapsed="false">
      <c r="A302" s="2" t="s">
        <v>308</v>
      </c>
      <c r="B302" s="2" t="n">
        <v>31</v>
      </c>
      <c r="C302" s="2" t="s">
        <v>128</v>
      </c>
      <c r="D302" s="2" t="s">
        <v>351</v>
      </c>
      <c r="E302" s="2" t="s">
        <v>130</v>
      </c>
    </row>
    <row r="303" customFormat="false" ht="15" hidden="false" customHeight="false" outlineLevel="0" collapsed="false">
      <c r="A303" s="2" t="s">
        <v>308</v>
      </c>
      <c r="B303" s="2" t="n">
        <v>31</v>
      </c>
      <c r="C303" s="2" t="s">
        <v>128</v>
      </c>
      <c r="D303" s="2" t="s">
        <v>352</v>
      </c>
      <c r="E303" s="2" t="s">
        <v>130</v>
      </c>
    </row>
    <row r="304" customFormat="false" ht="15" hidden="false" customHeight="false" outlineLevel="0" collapsed="false">
      <c r="A304" s="2" t="s">
        <v>308</v>
      </c>
      <c r="B304" s="2" t="n">
        <v>32</v>
      </c>
      <c r="C304" s="2" t="s">
        <v>125</v>
      </c>
      <c r="D304" s="2" t="s">
        <v>350</v>
      </c>
      <c r="E304" s="2" t="s">
        <v>127</v>
      </c>
    </row>
    <row r="305" customFormat="false" ht="15" hidden="false" customHeight="false" outlineLevel="0" collapsed="false">
      <c r="A305" s="2" t="s">
        <v>308</v>
      </c>
      <c r="B305" s="2" t="n">
        <v>32</v>
      </c>
      <c r="C305" s="2" t="s">
        <v>132</v>
      </c>
      <c r="D305" s="2" t="s">
        <v>150</v>
      </c>
      <c r="E305" s="2" t="s">
        <v>151</v>
      </c>
    </row>
    <row r="306" customFormat="false" ht="15" hidden="false" customHeight="false" outlineLevel="0" collapsed="false">
      <c r="A306" s="2" t="s">
        <v>308</v>
      </c>
      <c r="B306" s="2" t="n">
        <v>32</v>
      </c>
      <c r="C306" s="2" t="s">
        <v>128</v>
      </c>
      <c r="D306" s="2" t="s">
        <v>351</v>
      </c>
      <c r="E306" s="2" t="s">
        <v>130</v>
      </c>
    </row>
    <row r="307" customFormat="false" ht="15" hidden="false" customHeight="false" outlineLevel="0" collapsed="false">
      <c r="A307" s="2" t="s">
        <v>308</v>
      </c>
      <c r="B307" s="2" t="n">
        <v>32</v>
      </c>
      <c r="C307" s="2" t="s">
        <v>128</v>
      </c>
      <c r="D307" s="2" t="s">
        <v>352</v>
      </c>
      <c r="E307" s="2" t="s">
        <v>130</v>
      </c>
    </row>
    <row r="308" customFormat="false" ht="15" hidden="false" customHeight="false" outlineLevel="0" collapsed="false">
      <c r="A308" s="2" t="s">
        <v>308</v>
      </c>
      <c r="B308" s="2" t="n">
        <v>33</v>
      </c>
      <c r="C308" s="2" t="s">
        <v>132</v>
      </c>
      <c r="D308" s="2" t="s">
        <v>133</v>
      </c>
      <c r="E308" s="2" t="s">
        <v>134</v>
      </c>
    </row>
    <row r="309" customFormat="false" ht="15" hidden="false" customHeight="false" outlineLevel="0" collapsed="false">
      <c r="A309" s="2" t="s">
        <v>308</v>
      </c>
      <c r="B309" s="2" t="n">
        <v>33</v>
      </c>
      <c r="C309" s="2" t="s">
        <v>128</v>
      </c>
      <c r="D309" s="2" t="s">
        <v>353</v>
      </c>
      <c r="E309" s="2" t="s">
        <v>130</v>
      </c>
    </row>
    <row r="310" customFormat="false" ht="15" hidden="false" customHeight="false" outlineLevel="0" collapsed="false">
      <c r="A310" s="2" t="s">
        <v>308</v>
      </c>
      <c r="B310" s="2" t="n">
        <v>34</v>
      </c>
      <c r="C310" s="2" t="s">
        <v>147</v>
      </c>
      <c r="D310" s="2" t="s">
        <v>148</v>
      </c>
      <c r="E310" s="2" t="s">
        <v>149</v>
      </c>
    </row>
    <row r="311" customFormat="false" ht="15" hidden="false" customHeight="false" outlineLevel="0" collapsed="false">
      <c r="A311" s="2" t="s">
        <v>308</v>
      </c>
      <c r="B311" s="2" t="n">
        <v>35</v>
      </c>
      <c r="C311" s="2" t="s">
        <v>132</v>
      </c>
      <c r="D311" s="2" t="s">
        <v>160</v>
      </c>
      <c r="E311" s="2" t="s">
        <v>151</v>
      </c>
    </row>
    <row r="312" customFormat="false" ht="15" hidden="false" customHeight="false" outlineLevel="0" collapsed="false">
      <c r="A312" s="2" t="s">
        <v>308</v>
      </c>
      <c r="B312" s="2" t="n">
        <v>35</v>
      </c>
      <c r="C312" s="2" t="s">
        <v>128</v>
      </c>
      <c r="D312" s="2" t="s">
        <v>354</v>
      </c>
      <c r="E312" s="2" t="s">
        <v>130</v>
      </c>
    </row>
    <row r="313" customFormat="false" ht="15" hidden="false" customHeight="false" outlineLevel="0" collapsed="false">
      <c r="A313" s="2" t="s">
        <v>308</v>
      </c>
      <c r="B313" s="2" t="n">
        <v>36</v>
      </c>
      <c r="C313" s="2" t="s">
        <v>132</v>
      </c>
      <c r="D313" s="2" t="s">
        <v>163</v>
      </c>
      <c r="E313" s="2" t="s">
        <v>134</v>
      </c>
    </row>
    <row r="314" customFormat="false" ht="15" hidden="false" customHeight="false" outlineLevel="0" collapsed="false">
      <c r="A314" s="2" t="s">
        <v>308</v>
      </c>
      <c r="B314" s="2" t="n">
        <v>36</v>
      </c>
      <c r="C314" s="2" t="s">
        <v>128</v>
      </c>
      <c r="D314" s="2" t="s">
        <v>355</v>
      </c>
      <c r="E314" s="2" t="s">
        <v>130</v>
      </c>
    </row>
    <row r="315" customFormat="false" ht="15" hidden="false" customHeight="false" outlineLevel="0" collapsed="false">
      <c r="A315" s="2" t="s">
        <v>308</v>
      </c>
      <c r="B315" s="2" t="n">
        <v>37</v>
      </c>
      <c r="C315" s="2" t="s">
        <v>132</v>
      </c>
      <c r="D315" s="2" t="s">
        <v>160</v>
      </c>
      <c r="E315" s="2" t="s">
        <v>151</v>
      </c>
    </row>
    <row r="316" customFormat="false" ht="15" hidden="false" customHeight="false" outlineLevel="0" collapsed="false">
      <c r="A316" s="2" t="s">
        <v>308</v>
      </c>
      <c r="B316" s="2" t="n">
        <v>37</v>
      </c>
      <c r="C316" s="2" t="s">
        <v>128</v>
      </c>
      <c r="D316" s="2" t="s">
        <v>356</v>
      </c>
      <c r="E316" s="2" t="s">
        <v>130</v>
      </c>
    </row>
    <row r="317" customFormat="false" ht="15" hidden="false" customHeight="false" outlineLevel="0" collapsed="false">
      <c r="A317" s="2" t="s">
        <v>308</v>
      </c>
      <c r="B317" s="2" t="n">
        <v>37</v>
      </c>
      <c r="C317" s="2" t="s">
        <v>128</v>
      </c>
      <c r="D317" s="2" t="s">
        <v>357</v>
      </c>
      <c r="E317" s="2" t="s">
        <v>130</v>
      </c>
    </row>
    <row r="318" customFormat="false" ht="15" hidden="false" customHeight="false" outlineLevel="0" collapsed="false">
      <c r="A318" s="2" t="s">
        <v>308</v>
      </c>
      <c r="B318" s="2" t="n">
        <v>37</v>
      </c>
      <c r="C318" s="2" t="s">
        <v>128</v>
      </c>
      <c r="D318" s="2" t="s">
        <v>358</v>
      </c>
      <c r="E318" s="2" t="s">
        <v>130</v>
      </c>
    </row>
    <row r="319" customFormat="false" ht="15" hidden="false" customHeight="false" outlineLevel="0" collapsed="false">
      <c r="A319" s="2" t="s">
        <v>308</v>
      </c>
      <c r="B319" s="2" t="n">
        <v>38</v>
      </c>
      <c r="C319" s="2" t="s">
        <v>132</v>
      </c>
      <c r="D319" s="2" t="s">
        <v>163</v>
      </c>
      <c r="E319" s="2" t="s">
        <v>134</v>
      </c>
    </row>
    <row r="320" customFormat="false" ht="15" hidden="false" customHeight="false" outlineLevel="0" collapsed="false">
      <c r="A320" s="2" t="s">
        <v>308</v>
      </c>
      <c r="B320" s="2" t="n">
        <v>39</v>
      </c>
      <c r="C320" s="2" t="s">
        <v>125</v>
      </c>
      <c r="D320" s="2" t="s">
        <v>359</v>
      </c>
      <c r="E320" s="2" t="s">
        <v>127</v>
      </c>
    </row>
    <row r="321" customFormat="false" ht="15" hidden="false" customHeight="false" outlineLevel="0" collapsed="false">
      <c r="A321" s="2" t="s">
        <v>308</v>
      </c>
      <c r="B321" s="2" t="n">
        <v>39</v>
      </c>
      <c r="C321" s="2" t="s">
        <v>128</v>
      </c>
      <c r="D321" s="2" t="s">
        <v>360</v>
      </c>
      <c r="E321" s="2" t="s">
        <v>130</v>
      </c>
    </row>
    <row r="322" customFormat="false" ht="15" hidden="false" customHeight="false" outlineLevel="0" collapsed="false">
      <c r="A322" s="2" t="s">
        <v>308</v>
      </c>
      <c r="B322" s="2" t="n">
        <v>39</v>
      </c>
      <c r="C322" s="2" t="s">
        <v>128</v>
      </c>
      <c r="D322" s="2" t="s">
        <v>232</v>
      </c>
      <c r="E322" s="2" t="s">
        <v>130</v>
      </c>
    </row>
    <row r="323" customFormat="false" ht="15" hidden="false" customHeight="false" outlineLevel="0" collapsed="false">
      <c r="A323" s="2" t="s">
        <v>308</v>
      </c>
      <c r="B323" s="2" t="n">
        <v>39</v>
      </c>
      <c r="C323" s="2" t="s">
        <v>128</v>
      </c>
      <c r="D323" s="2" t="s">
        <v>361</v>
      </c>
      <c r="E323" s="2" t="s">
        <v>130</v>
      </c>
    </row>
    <row r="324" customFormat="false" ht="15" hidden="false" customHeight="false" outlineLevel="0" collapsed="false">
      <c r="A324" s="2" t="s">
        <v>308</v>
      </c>
      <c r="B324" s="2" t="n">
        <v>40</v>
      </c>
      <c r="C324" s="2" t="s">
        <v>132</v>
      </c>
      <c r="D324" s="2" t="s">
        <v>163</v>
      </c>
      <c r="E324" s="2" t="s">
        <v>134</v>
      </c>
    </row>
    <row r="325" customFormat="false" ht="15" hidden="false" customHeight="false" outlineLevel="0" collapsed="false">
      <c r="A325" s="2" t="s">
        <v>308</v>
      </c>
      <c r="B325" s="2" t="n">
        <v>40</v>
      </c>
      <c r="C325" s="2" t="s">
        <v>128</v>
      </c>
      <c r="D325" s="2" t="s">
        <v>362</v>
      </c>
      <c r="E325" s="2" t="s">
        <v>130</v>
      </c>
    </row>
    <row r="326" customFormat="false" ht="15" hidden="false" customHeight="false" outlineLevel="0" collapsed="false">
      <c r="A326" s="2" t="s">
        <v>308</v>
      </c>
      <c r="B326" s="2" t="n">
        <v>40</v>
      </c>
      <c r="C326" s="2" t="s">
        <v>128</v>
      </c>
      <c r="D326" s="2" t="s">
        <v>363</v>
      </c>
      <c r="E326" s="2" t="s">
        <v>130</v>
      </c>
    </row>
    <row r="327" customFormat="false" ht="15" hidden="false" customHeight="false" outlineLevel="0" collapsed="false">
      <c r="A327" s="2" t="s">
        <v>308</v>
      </c>
      <c r="B327" s="2" t="n">
        <v>41</v>
      </c>
      <c r="C327" s="2" t="s">
        <v>125</v>
      </c>
      <c r="D327" s="2" t="s">
        <v>364</v>
      </c>
      <c r="E327" s="2" t="s">
        <v>127</v>
      </c>
    </row>
    <row r="328" customFormat="false" ht="15" hidden="false" customHeight="false" outlineLevel="0" collapsed="false">
      <c r="A328" s="2" t="s">
        <v>308</v>
      </c>
      <c r="B328" s="2" t="n">
        <v>41</v>
      </c>
      <c r="C328" s="2" t="s">
        <v>132</v>
      </c>
      <c r="D328" s="2" t="s">
        <v>150</v>
      </c>
      <c r="E328" s="2" t="s">
        <v>151</v>
      </c>
    </row>
    <row r="329" customFormat="false" ht="15" hidden="false" customHeight="false" outlineLevel="0" collapsed="false">
      <c r="A329" s="2" t="s">
        <v>308</v>
      </c>
      <c r="B329" s="2" t="n">
        <v>41</v>
      </c>
      <c r="C329" s="2" t="s">
        <v>128</v>
      </c>
      <c r="D329" s="2" t="s">
        <v>365</v>
      </c>
      <c r="E329" s="2" t="s">
        <v>130</v>
      </c>
    </row>
    <row r="330" customFormat="false" ht="15" hidden="false" customHeight="false" outlineLevel="0" collapsed="false">
      <c r="A330" s="2" t="s">
        <v>308</v>
      </c>
      <c r="B330" s="2" t="n">
        <v>41</v>
      </c>
      <c r="C330" s="2" t="s">
        <v>128</v>
      </c>
      <c r="D330" s="2" t="s">
        <v>366</v>
      </c>
      <c r="E330" s="2" t="s">
        <v>130</v>
      </c>
    </row>
    <row r="331" customFormat="false" ht="15" hidden="false" customHeight="false" outlineLevel="0" collapsed="false">
      <c r="A331" s="2" t="s">
        <v>308</v>
      </c>
      <c r="B331" s="2" t="n">
        <v>42</v>
      </c>
      <c r="C331" s="2" t="s">
        <v>132</v>
      </c>
      <c r="D331" s="2" t="s">
        <v>163</v>
      </c>
      <c r="E331" s="2" t="s">
        <v>134</v>
      </c>
    </row>
    <row r="332" customFormat="false" ht="15" hidden="false" customHeight="false" outlineLevel="0" collapsed="false">
      <c r="A332" s="2" t="s">
        <v>308</v>
      </c>
      <c r="B332" s="2" t="n">
        <v>42</v>
      </c>
      <c r="C332" s="2" t="s">
        <v>128</v>
      </c>
      <c r="D332" s="2" t="s">
        <v>367</v>
      </c>
      <c r="E332" s="2" t="s">
        <v>130</v>
      </c>
    </row>
    <row r="333" customFormat="false" ht="15" hidden="false" customHeight="false" outlineLevel="0" collapsed="false">
      <c r="A333" s="2" t="s">
        <v>308</v>
      </c>
      <c r="B333" s="2" t="n">
        <v>43</v>
      </c>
      <c r="C333" s="2" t="s">
        <v>128</v>
      </c>
      <c r="D333" s="2" t="s">
        <v>368</v>
      </c>
      <c r="E333" s="2" t="s">
        <v>130</v>
      </c>
    </row>
    <row r="334" customFormat="false" ht="15" hidden="false" customHeight="false" outlineLevel="0" collapsed="false">
      <c r="A334" s="2" t="s">
        <v>308</v>
      </c>
      <c r="B334" s="2" t="n">
        <v>44</v>
      </c>
      <c r="C334" s="2" t="s">
        <v>132</v>
      </c>
      <c r="D334" s="2" t="s">
        <v>158</v>
      </c>
      <c r="E334" s="2" t="s">
        <v>134</v>
      </c>
    </row>
    <row r="335" customFormat="false" ht="15" hidden="false" customHeight="false" outlineLevel="0" collapsed="false">
      <c r="A335" s="2" t="s">
        <v>308</v>
      </c>
      <c r="B335" s="2" t="n">
        <v>44</v>
      </c>
      <c r="C335" s="2" t="s">
        <v>128</v>
      </c>
      <c r="D335" s="2" t="s">
        <v>369</v>
      </c>
      <c r="E335" s="2" t="s">
        <v>130</v>
      </c>
    </row>
    <row r="336" customFormat="false" ht="15" hidden="false" customHeight="false" outlineLevel="0" collapsed="false">
      <c r="A336" s="2" t="s">
        <v>308</v>
      </c>
      <c r="B336" s="2" t="n">
        <v>44</v>
      </c>
      <c r="C336" s="2" t="s">
        <v>128</v>
      </c>
      <c r="D336" s="2" t="s">
        <v>370</v>
      </c>
      <c r="E336" s="2" t="s">
        <v>130</v>
      </c>
    </row>
    <row r="337" customFormat="false" ht="15" hidden="false" customHeight="false" outlineLevel="0" collapsed="false">
      <c r="A337" s="2" t="s">
        <v>308</v>
      </c>
      <c r="B337" s="2" t="n">
        <v>44</v>
      </c>
      <c r="C337" s="2" t="s">
        <v>128</v>
      </c>
      <c r="D337" s="2" t="s">
        <v>371</v>
      </c>
      <c r="E337" s="2" t="s">
        <v>130</v>
      </c>
    </row>
    <row r="338" customFormat="false" ht="15" hidden="false" customHeight="false" outlineLevel="0" collapsed="false">
      <c r="A338" s="2" t="s">
        <v>308</v>
      </c>
      <c r="B338" s="2" t="n">
        <v>45</v>
      </c>
      <c r="C338" s="2" t="s">
        <v>128</v>
      </c>
      <c r="D338" s="2" t="s">
        <v>372</v>
      </c>
      <c r="E338" s="2" t="s">
        <v>130</v>
      </c>
    </row>
    <row r="339" customFormat="false" ht="15" hidden="false" customHeight="false" outlineLevel="0" collapsed="false">
      <c r="A339" s="2" t="s">
        <v>308</v>
      </c>
      <c r="B339" s="2" t="n">
        <v>45</v>
      </c>
      <c r="C339" s="2" t="s">
        <v>128</v>
      </c>
      <c r="D339" s="2" t="s">
        <v>373</v>
      </c>
      <c r="E339" s="2" t="s">
        <v>130</v>
      </c>
    </row>
    <row r="340" customFormat="false" ht="15" hidden="false" customHeight="false" outlineLevel="0" collapsed="false">
      <c r="A340" s="2" t="s">
        <v>308</v>
      </c>
      <c r="B340" s="2" t="n">
        <v>46</v>
      </c>
      <c r="C340" s="2" t="s">
        <v>132</v>
      </c>
      <c r="D340" s="2" t="s">
        <v>163</v>
      </c>
      <c r="E340" s="2" t="s">
        <v>134</v>
      </c>
    </row>
    <row r="341" customFormat="false" ht="15" hidden="false" customHeight="false" outlineLevel="0" collapsed="false">
      <c r="A341" s="2" t="s">
        <v>308</v>
      </c>
      <c r="B341" s="2" t="n">
        <v>46</v>
      </c>
      <c r="C341" s="2" t="s">
        <v>128</v>
      </c>
      <c r="D341" s="2" t="s">
        <v>374</v>
      </c>
      <c r="E341" s="2" t="s">
        <v>130</v>
      </c>
    </row>
    <row r="342" customFormat="false" ht="15" hidden="false" customHeight="false" outlineLevel="0" collapsed="false">
      <c r="A342" s="2" t="s">
        <v>308</v>
      </c>
      <c r="B342" s="2" t="n">
        <v>47</v>
      </c>
      <c r="C342" s="2" t="s">
        <v>147</v>
      </c>
      <c r="D342" s="2" t="s">
        <v>148</v>
      </c>
      <c r="E342" s="2" t="s">
        <v>149</v>
      </c>
    </row>
    <row r="343" customFormat="false" ht="15" hidden="false" customHeight="false" outlineLevel="0" collapsed="false">
      <c r="A343" s="2" t="s">
        <v>308</v>
      </c>
      <c r="B343" s="2" t="n">
        <v>48</v>
      </c>
      <c r="C343" s="2" t="s">
        <v>125</v>
      </c>
      <c r="D343" s="2" t="s">
        <v>375</v>
      </c>
      <c r="E343" s="2" t="s">
        <v>127</v>
      </c>
    </row>
    <row r="344" customFormat="false" ht="15" hidden="false" customHeight="false" outlineLevel="0" collapsed="false">
      <c r="A344" s="2" t="s">
        <v>308</v>
      </c>
      <c r="B344" s="2" t="n">
        <v>48</v>
      </c>
      <c r="C344" s="2" t="s">
        <v>132</v>
      </c>
      <c r="D344" s="2" t="s">
        <v>160</v>
      </c>
      <c r="E344" s="2" t="s">
        <v>151</v>
      </c>
    </row>
    <row r="345" customFormat="false" ht="15" hidden="false" customHeight="false" outlineLevel="0" collapsed="false">
      <c r="A345" s="2" t="s">
        <v>308</v>
      </c>
      <c r="B345" s="2" t="n">
        <v>49</v>
      </c>
      <c r="C345" s="2" t="s">
        <v>132</v>
      </c>
      <c r="D345" s="2" t="s">
        <v>133</v>
      </c>
      <c r="E345" s="2" t="s">
        <v>134</v>
      </c>
    </row>
    <row r="346" customFormat="false" ht="15" hidden="false" customHeight="false" outlineLevel="0" collapsed="false">
      <c r="A346" s="2" t="s">
        <v>308</v>
      </c>
      <c r="B346" s="2" t="n">
        <v>49</v>
      </c>
      <c r="C346" s="2" t="s">
        <v>128</v>
      </c>
      <c r="D346" s="2" t="s">
        <v>376</v>
      </c>
      <c r="E346" s="2" t="s">
        <v>130</v>
      </c>
    </row>
    <row r="347" customFormat="false" ht="15" hidden="false" customHeight="false" outlineLevel="0" collapsed="false">
      <c r="A347" s="2" t="s">
        <v>308</v>
      </c>
      <c r="B347" s="2" t="n">
        <v>49</v>
      </c>
      <c r="C347" s="2" t="s">
        <v>128</v>
      </c>
      <c r="D347" s="2" t="s">
        <v>377</v>
      </c>
      <c r="E347" s="2" t="s">
        <v>130</v>
      </c>
    </row>
    <row r="348" customFormat="false" ht="15" hidden="false" customHeight="false" outlineLevel="0" collapsed="false">
      <c r="A348" s="2" t="s">
        <v>308</v>
      </c>
      <c r="B348" s="2" t="n">
        <v>49</v>
      </c>
      <c r="C348" s="2" t="s">
        <v>128</v>
      </c>
      <c r="D348" s="2" t="s">
        <v>378</v>
      </c>
      <c r="E348" s="2" t="s">
        <v>130</v>
      </c>
    </row>
    <row r="349" customFormat="false" ht="15" hidden="false" customHeight="false" outlineLevel="0" collapsed="false">
      <c r="A349" s="2" t="s">
        <v>308</v>
      </c>
      <c r="B349" s="2" t="n">
        <v>50</v>
      </c>
      <c r="C349" s="2" t="s">
        <v>125</v>
      </c>
      <c r="D349" s="2" t="s">
        <v>379</v>
      </c>
      <c r="E349" s="2" t="s">
        <v>127</v>
      </c>
    </row>
    <row r="350" customFormat="false" ht="15" hidden="false" customHeight="false" outlineLevel="0" collapsed="false">
      <c r="A350" s="2" t="s">
        <v>308</v>
      </c>
      <c r="B350" s="2" t="n">
        <v>50</v>
      </c>
      <c r="C350" s="2" t="s">
        <v>128</v>
      </c>
      <c r="D350" s="2" t="s">
        <v>380</v>
      </c>
      <c r="E350" s="2" t="s">
        <v>130</v>
      </c>
    </row>
    <row r="351" customFormat="false" ht="15" hidden="false" customHeight="false" outlineLevel="0" collapsed="false">
      <c r="A351" s="2" t="s">
        <v>308</v>
      </c>
      <c r="B351" s="2" t="n">
        <v>51</v>
      </c>
      <c r="C351" s="2" t="s">
        <v>125</v>
      </c>
      <c r="D351" s="2" t="s">
        <v>381</v>
      </c>
      <c r="E351" s="2" t="s">
        <v>127</v>
      </c>
    </row>
    <row r="352" customFormat="false" ht="15" hidden="false" customHeight="false" outlineLevel="0" collapsed="false">
      <c r="A352" s="2" t="s">
        <v>308</v>
      </c>
      <c r="B352" s="2" t="n">
        <v>51</v>
      </c>
      <c r="C352" s="2" t="s">
        <v>132</v>
      </c>
      <c r="D352" s="2" t="s">
        <v>158</v>
      </c>
      <c r="E352" s="2" t="s">
        <v>134</v>
      </c>
    </row>
    <row r="353" customFormat="false" ht="15" hidden="false" customHeight="false" outlineLevel="0" collapsed="false">
      <c r="A353" s="2" t="s">
        <v>308</v>
      </c>
      <c r="B353" s="2" t="n">
        <v>51</v>
      </c>
      <c r="C353" s="2" t="s">
        <v>128</v>
      </c>
      <c r="D353" s="2" t="s">
        <v>382</v>
      </c>
      <c r="E353" s="2" t="s">
        <v>130</v>
      </c>
    </row>
    <row r="354" customFormat="false" ht="15" hidden="false" customHeight="false" outlineLevel="0" collapsed="false">
      <c r="A354" s="2" t="s">
        <v>308</v>
      </c>
      <c r="B354" s="2" t="n">
        <v>52</v>
      </c>
      <c r="C354" s="2" t="s">
        <v>125</v>
      </c>
      <c r="D354" s="2" t="s">
        <v>383</v>
      </c>
      <c r="E354" s="2" t="s">
        <v>127</v>
      </c>
    </row>
    <row r="355" customFormat="false" ht="15" hidden="false" customHeight="false" outlineLevel="0" collapsed="false">
      <c r="A355" s="2" t="s">
        <v>308</v>
      </c>
      <c r="B355" s="2" t="n">
        <v>52</v>
      </c>
      <c r="C355" s="2" t="s">
        <v>128</v>
      </c>
      <c r="D355" s="2" t="s">
        <v>384</v>
      </c>
      <c r="E355" s="2" t="s">
        <v>130</v>
      </c>
    </row>
    <row r="356" customFormat="false" ht="15" hidden="false" customHeight="false" outlineLevel="0" collapsed="false">
      <c r="A356" s="2" t="s">
        <v>308</v>
      </c>
      <c r="B356" s="2" t="n">
        <v>53</v>
      </c>
      <c r="C356" s="2" t="s">
        <v>132</v>
      </c>
      <c r="D356" s="2" t="s">
        <v>163</v>
      </c>
      <c r="E356" s="2" t="s">
        <v>134</v>
      </c>
    </row>
    <row r="357" customFormat="false" ht="15" hidden="false" customHeight="false" outlineLevel="0" collapsed="false">
      <c r="A357" s="2" t="s">
        <v>308</v>
      </c>
      <c r="B357" s="2" t="n">
        <v>54</v>
      </c>
      <c r="C357" s="2" t="s">
        <v>132</v>
      </c>
      <c r="D357" s="2" t="s">
        <v>160</v>
      </c>
      <c r="E357" s="2" t="s">
        <v>151</v>
      </c>
    </row>
    <row r="358" customFormat="false" ht="15" hidden="false" customHeight="false" outlineLevel="0" collapsed="false">
      <c r="A358" s="2" t="s">
        <v>308</v>
      </c>
      <c r="B358" s="2" t="n">
        <v>54</v>
      </c>
      <c r="C358" s="2" t="s">
        <v>128</v>
      </c>
      <c r="D358" s="2" t="s">
        <v>385</v>
      </c>
      <c r="E358" s="2" t="s">
        <v>130</v>
      </c>
    </row>
    <row r="359" customFormat="false" ht="15" hidden="false" customHeight="false" outlineLevel="0" collapsed="false">
      <c r="A359" s="2" t="s">
        <v>308</v>
      </c>
      <c r="B359" s="2" t="n">
        <v>55</v>
      </c>
      <c r="C359" s="2" t="s">
        <v>132</v>
      </c>
      <c r="D359" s="2" t="s">
        <v>158</v>
      </c>
      <c r="E359" s="2" t="s">
        <v>134</v>
      </c>
    </row>
    <row r="360" customFormat="false" ht="15" hidden="false" customHeight="false" outlineLevel="0" collapsed="false">
      <c r="A360" s="2" t="s">
        <v>308</v>
      </c>
      <c r="B360" s="2" t="n">
        <v>55</v>
      </c>
      <c r="C360" s="2" t="s">
        <v>128</v>
      </c>
      <c r="D360" s="2" t="s">
        <v>386</v>
      </c>
      <c r="E360" s="2" t="s">
        <v>130</v>
      </c>
    </row>
    <row r="361" customFormat="false" ht="15" hidden="false" customHeight="false" outlineLevel="0" collapsed="false">
      <c r="A361" s="2" t="s">
        <v>308</v>
      </c>
      <c r="B361" s="2" t="n">
        <v>55</v>
      </c>
      <c r="C361" s="2" t="s">
        <v>128</v>
      </c>
      <c r="D361" s="2" t="s">
        <v>387</v>
      </c>
      <c r="E361" s="2" t="s">
        <v>130</v>
      </c>
    </row>
    <row r="362" customFormat="false" ht="15" hidden="false" customHeight="false" outlineLevel="0" collapsed="false">
      <c r="A362" s="2" t="s">
        <v>308</v>
      </c>
      <c r="B362" s="2" t="n">
        <v>56</v>
      </c>
      <c r="C362" s="2" t="s">
        <v>128</v>
      </c>
      <c r="D362" s="2" t="s">
        <v>388</v>
      </c>
      <c r="E362" s="2" t="s">
        <v>130</v>
      </c>
    </row>
    <row r="363" customFormat="false" ht="15" hidden="false" customHeight="false" outlineLevel="0" collapsed="false">
      <c r="A363" s="2" t="s">
        <v>308</v>
      </c>
      <c r="B363" s="2" t="n">
        <v>56</v>
      </c>
      <c r="C363" s="2" t="s">
        <v>128</v>
      </c>
      <c r="D363" s="2" t="s">
        <v>389</v>
      </c>
      <c r="E363" s="2" t="s">
        <v>130</v>
      </c>
    </row>
    <row r="364" customFormat="false" ht="15" hidden="false" customHeight="false" outlineLevel="0" collapsed="false">
      <c r="A364" s="2" t="s">
        <v>308</v>
      </c>
      <c r="B364" s="2" t="n">
        <v>57</v>
      </c>
      <c r="C364" s="2" t="s">
        <v>132</v>
      </c>
      <c r="D364" s="2" t="s">
        <v>163</v>
      </c>
      <c r="E364" s="2" t="s">
        <v>134</v>
      </c>
    </row>
    <row r="365" customFormat="false" ht="15" hidden="false" customHeight="false" outlineLevel="0" collapsed="false">
      <c r="A365" s="2" t="s">
        <v>308</v>
      </c>
      <c r="B365" s="2" t="n">
        <v>57</v>
      </c>
      <c r="C365" s="2" t="s">
        <v>128</v>
      </c>
      <c r="D365" s="2" t="s">
        <v>390</v>
      </c>
      <c r="E365" s="2" t="s">
        <v>130</v>
      </c>
    </row>
    <row r="366" customFormat="false" ht="15" hidden="false" customHeight="false" outlineLevel="0" collapsed="false">
      <c r="A366" s="2" t="s">
        <v>308</v>
      </c>
      <c r="B366" s="2" t="n">
        <v>57</v>
      </c>
      <c r="C366" s="2" t="s">
        <v>128</v>
      </c>
      <c r="D366" s="2" t="s">
        <v>391</v>
      </c>
      <c r="E366" s="2" t="s">
        <v>130</v>
      </c>
    </row>
    <row r="367" customFormat="false" ht="15" hidden="false" customHeight="false" outlineLevel="0" collapsed="false">
      <c r="A367" s="2" t="s">
        <v>308</v>
      </c>
      <c r="B367" s="2" t="n">
        <v>57</v>
      </c>
      <c r="C367" s="2" t="s">
        <v>128</v>
      </c>
      <c r="D367" s="2" t="s">
        <v>392</v>
      </c>
      <c r="E367" s="2" t="s">
        <v>130</v>
      </c>
    </row>
    <row r="368" customFormat="false" ht="15" hidden="false" customHeight="false" outlineLevel="0" collapsed="false">
      <c r="A368" s="2" t="s">
        <v>308</v>
      </c>
      <c r="B368" s="2" t="n">
        <v>57</v>
      </c>
      <c r="C368" s="2" t="s">
        <v>128</v>
      </c>
      <c r="D368" s="2" t="s">
        <v>393</v>
      </c>
      <c r="E368" s="2" t="s">
        <v>130</v>
      </c>
    </row>
    <row r="369" customFormat="false" ht="15" hidden="false" customHeight="false" outlineLevel="0" collapsed="false">
      <c r="A369" s="2" t="s">
        <v>308</v>
      </c>
      <c r="B369" s="2" t="n">
        <v>58</v>
      </c>
      <c r="C369" s="2" t="s">
        <v>132</v>
      </c>
      <c r="D369" s="2" t="s">
        <v>163</v>
      </c>
      <c r="E369" s="2" t="s">
        <v>134</v>
      </c>
    </row>
    <row r="370" customFormat="false" ht="15" hidden="false" customHeight="false" outlineLevel="0" collapsed="false">
      <c r="A370" s="2" t="s">
        <v>308</v>
      </c>
      <c r="B370" s="2" t="n">
        <v>58</v>
      </c>
      <c r="C370" s="2" t="s">
        <v>128</v>
      </c>
      <c r="D370" s="2" t="s">
        <v>390</v>
      </c>
      <c r="E370" s="2" t="s">
        <v>130</v>
      </c>
    </row>
    <row r="371" customFormat="false" ht="15" hidden="false" customHeight="false" outlineLevel="0" collapsed="false">
      <c r="A371" s="2" t="s">
        <v>308</v>
      </c>
      <c r="B371" s="2" t="n">
        <v>58</v>
      </c>
      <c r="C371" s="2" t="s">
        <v>128</v>
      </c>
      <c r="D371" s="2" t="s">
        <v>391</v>
      </c>
      <c r="E371" s="2" t="s">
        <v>130</v>
      </c>
    </row>
    <row r="372" customFormat="false" ht="15" hidden="false" customHeight="false" outlineLevel="0" collapsed="false">
      <c r="A372" s="2" t="s">
        <v>308</v>
      </c>
      <c r="B372" s="2" t="n">
        <v>58</v>
      </c>
      <c r="C372" s="2" t="s">
        <v>128</v>
      </c>
      <c r="D372" s="2" t="s">
        <v>392</v>
      </c>
      <c r="E372" s="2" t="s">
        <v>130</v>
      </c>
    </row>
    <row r="373" customFormat="false" ht="15" hidden="false" customHeight="false" outlineLevel="0" collapsed="false">
      <c r="A373" s="2" t="s">
        <v>308</v>
      </c>
      <c r="B373" s="2" t="n">
        <v>58</v>
      </c>
      <c r="C373" s="2" t="s">
        <v>128</v>
      </c>
      <c r="D373" s="2" t="s">
        <v>393</v>
      </c>
      <c r="E373" s="2" t="s">
        <v>130</v>
      </c>
    </row>
    <row r="374" customFormat="false" ht="15" hidden="false" customHeight="false" outlineLevel="0" collapsed="false">
      <c r="A374" s="2" t="s">
        <v>308</v>
      </c>
      <c r="B374" s="2" t="n">
        <v>59</v>
      </c>
      <c r="C374" s="2" t="s">
        <v>125</v>
      </c>
      <c r="D374" s="2" t="s">
        <v>394</v>
      </c>
      <c r="E374" s="2" t="s">
        <v>127</v>
      </c>
    </row>
    <row r="375" customFormat="false" ht="15" hidden="false" customHeight="false" outlineLevel="0" collapsed="false">
      <c r="A375" s="2" t="s">
        <v>308</v>
      </c>
      <c r="B375" s="2" t="n">
        <v>59</v>
      </c>
      <c r="C375" s="2" t="s">
        <v>132</v>
      </c>
      <c r="D375" s="2" t="s">
        <v>160</v>
      </c>
      <c r="E375" s="2" t="s">
        <v>151</v>
      </c>
    </row>
    <row r="376" customFormat="false" ht="15" hidden="false" customHeight="false" outlineLevel="0" collapsed="false">
      <c r="A376" s="2" t="s">
        <v>308</v>
      </c>
      <c r="B376" s="2" t="n">
        <v>59</v>
      </c>
      <c r="C376" s="2" t="s">
        <v>128</v>
      </c>
      <c r="D376" s="2" t="s">
        <v>395</v>
      </c>
      <c r="E376" s="2" t="s">
        <v>130</v>
      </c>
    </row>
    <row r="377" customFormat="false" ht="15" hidden="false" customHeight="false" outlineLevel="0" collapsed="false">
      <c r="A377" s="2" t="s">
        <v>308</v>
      </c>
      <c r="B377" s="2" t="n">
        <v>59</v>
      </c>
      <c r="C377" s="2" t="s">
        <v>128</v>
      </c>
      <c r="D377" s="2" t="s">
        <v>396</v>
      </c>
      <c r="E377" s="2" t="s">
        <v>130</v>
      </c>
    </row>
    <row r="378" customFormat="false" ht="15" hidden="false" customHeight="false" outlineLevel="0" collapsed="false">
      <c r="A378" s="2" t="s">
        <v>308</v>
      </c>
      <c r="B378" s="2" t="n">
        <v>60</v>
      </c>
      <c r="C378" s="2" t="s">
        <v>125</v>
      </c>
      <c r="D378" s="2" t="s">
        <v>394</v>
      </c>
      <c r="E378" s="2" t="s">
        <v>127</v>
      </c>
    </row>
    <row r="379" customFormat="false" ht="15" hidden="false" customHeight="false" outlineLevel="0" collapsed="false">
      <c r="A379" s="2" t="s">
        <v>308</v>
      </c>
      <c r="B379" s="2" t="n">
        <v>60</v>
      </c>
      <c r="C379" s="2" t="s">
        <v>132</v>
      </c>
      <c r="D379" s="2" t="s">
        <v>160</v>
      </c>
      <c r="E379" s="2" t="s">
        <v>151</v>
      </c>
    </row>
    <row r="380" customFormat="false" ht="15" hidden="false" customHeight="false" outlineLevel="0" collapsed="false">
      <c r="A380" s="2" t="s">
        <v>308</v>
      </c>
      <c r="B380" s="2" t="n">
        <v>60</v>
      </c>
      <c r="C380" s="2" t="s">
        <v>128</v>
      </c>
      <c r="D380" s="2" t="s">
        <v>395</v>
      </c>
      <c r="E380" s="2" t="s">
        <v>130</v>
      </c>
    </row>
    <row r="381" customFormat="false" ht="15" hidden="false" customHeight="false" outlineLevel="0" collapsed="false">
      <c r="A381" s="2" t="s">
        <v>308</v>
      </c>
      <c r="B381" s="2" t="n">
        <v>60</v>
      </c>
      <c r="C381" s="2" t="s">
        <v>128</v>
      </c>
      <c r="D381" s="2" t="s">
        <v>396</v>
      </c>
      <c r="E381" s="2" t="s">
        <v>130</v>
      </c>
    </row>
    <row r="382" customFormat="false" ht="15" hidden="false" customHeight="false" outlineLevel="0" collapsed="false">
      <c r="A382" s="2" t="s">
        <v>308</v>
      </c>
      <c r="B382" s="2" t="n">
        <v>61</v>
      </c>
      <c r="C382" s="2" t="s">
        <v>132</v>
      </c>
      <c r="D382" s="2" t="s">
        <v>163</v>
      </c>
      <c r="E382" s="2" t="s">
        <v>134</v>
      </c>
    </row>
    <row r="383" customFormat="false" ht="15" hidden="false" customHeight="false" outlineLevel="0" collapsed="false">
      <c r="A383" s="2" t="s">
        <v>308</v>
      </c>
      <c r="B383" s="2" t="n">
        <v>63</v>
      </c>
      <c r="C383" s="2" t="s">
        <v>147</v>
      </c>
      <c r="D383" s="2" t="s">
        <v>221</v>
      </c>
      <c r="E383" s="2" t="s">
        <v>149</v>
      </c>
    </row>
    <row r="384" customFormat="false" ht="15" hidden="false" customHeight="false" outlineLevel="0" collapsed="false">
      <c r="A384" s="2" t="s">
        <v>397</v>
      </c>
      <c r="B384" s="2" t="n">
        <v>2</v>
      </c>
      <c r="C384" s="2" t="s">
        <v>125</v>
      </c>
      <c r="D384" s="2" t="s">
        <v>398</v>
      </c>
      <c r="E384" s="2" t="s">
        <v>127</v>
      </c>
    </row>
    <row r="385" customFormat="false" ht="15" hidden="false" customHeight="false" outlineLevel="0" collapsed="false">
      <c r="A385" s="2" t="s">
        <v>397</v>
      </c>
      <c r="B385" s="2" t="n">
        <v>2</v>
      </c>
      <c r="C385" s="2" t="s">
        <v>132</v>
      </c>
      <c r="D385" s="2" t="s">
        <v>160</v>
      </c>
      <c r="E385" s="2" t="s">
        <v>151</v>
      </c>
    </row>
    <row r="386" customFormat="false" ht="15" hidden="false" customHeight="false" outlineLevel="0" collapsed="false">
      <c r="A386" s="2" t="s">
        <v>397</v>
      </c>
      <c r="B386" s="2" t="n">
        <v>2</v>
      </c>
      <c r="C386" s="2" t="s">
        <v>128</v>
      </c>
      <c r="D386" s="2" t="s">
        <v>399</v>
      </c>
      <c r="E386" s="2" t="s">
        <v>130</v>
      </c>
    </row>
    <row r="387" customFormat="false" ht="15" hidden="false" customHeight="false" outlineLevel="0" collapsed="false">
      <c r="A387" s="2" t="s">
        <v>397</v>
      </c>
      <c r="B387" s="2" t="n">
        <v>2</v>
      </c>
      <c r="C387" s="2" t="s">
        <v>128</v>
      </c>
      <c r="D387" s="2" t="s">
        <v>400</v>
      </c>
      <c r="E387" s="2" t="s">
        <v>130</v>
      </c>
    </row>
    <row r="388" customFormat="false" ht="15" hidden="false" customHeight="false" outlineLevel="0" collapsed="false">
      <c r="A388" s="2" t="s">
        <v>397</v>
      </c>
      <c r="B388" s="2" t="n">
        <v>2</v>
      </c>
      <c r="C388" s="2" t="s">
        <v>128</v>
      </c>
      <c r="D388" s="2" t="s">
        <v>401</v>
      </c>
      <c r="E388" s="2" t="s">
        <v>130</v>
      </c>
    </row>
    <row r="389" customFormat="false" ht="15" hidden="false" customHeight="false" outlineLevel="0" collapsed="false">
      <c r="A389" s="2" t="s">
        <v>397</v>
      </c>
      <c r="B389" s="2" t="n">
        <v>3</v>
      </c>
      <c r="C389" s="2" t="s">
        <v>128</v>
      </c>
      <c r="D389" s="2" t="s">
        <v>402</v>
      </c>
      <c r="E389" s="2" t="s">
        <v>130</v>
      </c>
    </row>
    <row r="390" customFormat="false" ht="15" hidden="false" customHeight="false" outlineLevel="0" collapsed="false">
      <c r="A390" s="2" t="s">
        <v>397</v>
      </c>
      <c r="B390" s="2" t="n">
        <v>3</v>
      </c>
      <c r="C390" s="2" t="s">
        <v>128</v>
      </c>
      <c r="D390" s="2" t="s">
        <v>403</v>
      </c>
      <c r="E390" s="2" t="s">
        <v>130</v>
      </c>
    </row>
    <row r="391" customFormat="false" ht="15" hidden="false" customHeight="false" outlineLevel="0" collapsed="false">
      <c r="A391" s="2" t="s">
        <v>397</v>
      </c>
      <c r="B391" s="2" t="n">
        <v>3</v>
      </c>
      <c r="C391" s="2" t="s">
        <v>128</v>
      </c>
      <c r="D391" s="2" t="s">
        <v>404</v>
      </c>
      <c r="E391" s="2" t="s">
        <v>130</v>
      </c>
    </row>
    <row r="392" customFormat="false" ht="15" hidden="false" customHeight="false" outlineLevel="0" collapsed="false">
      <c r="A392" s="2" t="s">
        <v>397</v>
      </c>
      <c r="B392" s="2" t="n">
        <v>4</v>
      </c>
      <c r="C392" s="2" t="s">
        <v>132</v>
      </c>
      <c r="D392" s="2" t="s">
        <v>150</v>
      </c>
      <c r="E392" s="2" t="s">
        <v>151</v>
      </c>
    </row>
    <row r="393" customFormat="false" ht="15" hidden="false" customHeight="false" outlineLevel="0" collapsed="false">
      <c r="A393" s="2" t="s">
        <v>397</v>
      </c>
      <c r="B393" s="2" t="n">
        <v>4</v>
      </c>
      <c r="C393" s="2" t="s">
        <v>128</v>
      </c>
      <c r="D393" s="2" t="s">
        <v>405</v>
      </c>
      <c r="E393" s="2" t="s">
        <v>130</v>
      </c>
    </row>
    <row r="394" customFormat="false" ht="15" hidden="false" customHeight="false" outlineLevel="0" collapsed="false">
      <c r="A394" s="2" t="s">
        <v>397</v>
      </c>
      <c r="B394" s="2" t="n">
        <v>4</v>
      </c>
      <c r="C394" s="2" t="s">
        <v>128</v>
      </c>
      <c r="D394" s="2" t="s">
        <v>406</v>
      </c>
      <c r="E394" s="2" t="s">
        <v>130</v>
      </c>
    </row>
    <row r="395" customFormat="false" ht="15" hidden="false" customHeight="false" outlineLevel="0" collapsed="false">
      <c r="A395" s="2" t="s">
        <v>397</v>
      </c>
      <c r="B395" s="2" t="n">
        <v>5</v>
      </c>
      <c r="C395" s="2" t="s">
        <v>125</v>
      </c>
      <c r="D395" s="2" t="s">
        <v>407</v>
      </c>
      <c r="E395" s="2" t="s">
        <v>127</v>
      </c>
    </row>
    <row r="396" customFormat="false" ht="15" hidden="false" customHeight="false" outlineLevel="0" collapsed="false">
      <c r="A396" s="2" t="s">
        <v>397</v>
      </c>
      <c r="B396" s="2" t="n">
        <v>5</v>
      </c>
      <c r="C396" s="2" t="s">
        <v>132</v>
      </c>
      <c r="D396" s="2" t="s">
        <v>158</v>
      </c>
      <c r="E396" s="2" t="s">
        <v>134</v>
      </c>
    </row>
    <row r="397" customFormat="false" ht="15" hidden="false" customHeight="false" outlineLevel="0" collapsed="false">
      <c r="A397" s="2" t="s">
        <v>397</v>
      </c>
      <c r="B397" s="2" t="n">
        <v>5</v>
      </c>
      <c r="C397" s="2" t="s">
        <v>128</v>
      </c>
      <c r="D397" s="2" t="s">
        <v>408</v>
      </c>
      <c r="E397" s="2" t="s">
        <v>130</v>
      </c>
    </row>
    <row r="398" customFormat="false" ht="15" hidden="false" customHeight="false" outlineLevel="0" collapsed="false">
      <c r="A398" s="2" t="s">
        <v>397</v>
      </c>
      <c r="B398" s="2" t="n">
        <v>6</v>
      </c>
      <c r="C398" s="2" t="s">
        <v>132</v>
      </c>
      <c r="D398" s="2" t="s">
        <v>150</v>
      </c>
      <c r="E398" s="2" t="s">
        <v>151</v>
      </c>
    </row>
    <row r="399" customFormat="false" ht="15" hidden="false" customHeight="false" outlineLevel="0" collapsed="false">
      <c r="A399" s="2" t="s">
        <v>397</v>
      </c>
      <c r="B399" s="2" t="n">
        <v>7</v>
      </c>
      <c r="C399" s="2" t="s">
        <v>128</v>
      </c>
      <c r="D399" s="2" t="s">
        <v>409</v>
      </c>
      <c r="E399" s="2" t="s">
        <v>130</v>
      </c>
    </row>
    <row r="400" customFormat="false" ht="15" hidden="false" customHeight="false" outlineLevel="0" collapsed="false">
      <c r="A400" s="2" t="s">
        <v>397</v>
      </c>
      <c r="B400" s="2" t="n">
        <v>9</v>
      </c>
      <c r="C400" s="2" t="s">
        <v>132</v>
      </c>
      <c r="D400" s="2" t="s">
        <v>133</v>
      </c>
      <c r="E400" s="2" t="s">
        <v>134</v>
      </c>
    </row>
    <row r="401" customFormat="false" ht="15" hidden="false" customHeight="false" outlineLevel="0" collapsed="false">
      <c r="A401" s="2" t="s">
        <v>397</v>
      </c>
      <c r="B401" s="2" t="n">
        <v>10</v>
      </c>
      <c r="C401" s="2" t="s">
        <v>125</v>
      </c>
      <c r="D401" s="2" t="s">
        <v>410</v>
      </c>
      <c r="E401" s="2" t="s">
        <v>127</v>
      </c>
    </row>
    <row r="402" customFormat="false" ht="15" hidden="false" customHeight="false" outlineLevel="0" collapsed="false">
      <c r="A402" s="2" t="s">
        <v>397</v>
      </c>
      <c r="B402" s="2" t="n">
        <v>10</v>
      </c>
      <c r="C402" s="2" t="s">
        <v>128</v>
      </c>
      <c r="D402" s="2" t="s">
        <v>411</v>
      </c>
      <c r="E402" s="2" t="s">
        <v>130</v>
      </c>
    </row>
    <row r="403" customFormat="false" ht="15" hidden="false" customHeight="false" outlineLevel="0" collapsed="false">
      <c r="A403" s="2" t="s">
        <v>397</v>
      </c>
      <c r="B403" s="2" t="n">
        <v>10</v>
      </c>
      <c r="C403" s="2" t="s">
        <v>128</v>
      </c>
      <c r="D403" s="2" t="s">
        <v>412</v>
      </c>
      <c r="E403" s="2" t="s">
        <v>130</v>
      </c>
    </row>
    <row r="404" customFormat="false" ht="15" hidden="false" customHeight="false" outlineLevel="0" collapsed="false">
      <c r="A404" s="2" t="s">
        <v>397</v>
      </c>
      <c r="B404" s="2" t="n">
        <v>11</v>
      </c>
      <c r="C404" s="2" t="s">
        <v>125</v>
      </c>
      <c r="D404" s="2" t="s">
        <v>410</v>
      </c>
      <c r="E404" s="2" t="s">
        <v>127</v>
      </c>
    </row>
    <row r="405" customFormat="false" ht="15" hidden="false" customHeight="false" outlineLevel="0" collapsed="false">
      <c r="A405" s="2" t="s">
        <v>397</v>
      </c>
      <c r="B405" s="2" t="n">
        <v>11</v>
      </c>
      <c r="C405" s="2" t="s">
        <v>132</v>
      </c>
      <c r="D405" s="2" t="s">
        <v>133</v>
      </c>
      <c r="E405" s="2" t="s">
        <v>134</v>
      </c>
    </row>
    <row r="406" customFormat="false" ht="15" hidden="false" customHeight="false" outlineLevel="0" collapsed="false">
      <c r="A406" s="2" t="s">
        <v>397</v>
      </c>
      <c r="B406" s="2" t="n">
        <v>11</v>
      </c>
      <c r="C406" s="2" t="s">
        <v>128</v>
      </c>
      <c r="D406" s="2" t="s">
        <v>413</v>
      </c>
      <c r="E406" s="2" t="s">
        <v>130</v>
      </c>
    </row>
    <row r="407" customFormat="false" ht="15" hidden="false" customHeight="false" outlineLevel="0" collapsed="false">
      <c r="A407" s="2" t="s">
        <v>397</v>
      </c>
      <c r="B407" s="2" t="n">
        <v>12</v>
      </c>
      <c r="C407" s="2" t="s">
        <v>132</v>
      </c>
      <c r="D407" s="2" t="s">
        <v>150</v>
      </c>
      <c r="E407" s="2" t="s">
        <v>151</v>
      </c>
    </row>
    <row r="408" customFormat="false" ht="15" hidden="false" customHeight="false" outlineLevel="0" collapsed="false">
      <c r="A408" s="2" t="s">
        <v>397</v>
      </c>
      <c r="B408" s="2" t="n">
        <v>13</v>
      </c>
      <c r="C408" s="2" t="s">
        <v>128</v>
      </c>
      <c r="D408" s="2" t="s">
        <v>414</v>
      </c>
      <c r="E408" s="2" t="s">
        <v>130</v>
      </c>
    </row>
    <row r="409" customFormat="false" ht="15" hidden="false" customHeight="false" outlineLevel="0" collapsed="false">
      <c r="A409" s="2" t="s">
        <v>397</v>
      </c>
      <c r="B409" s="2" t="n">
        <v>14</v>
      </c>
      <c r="C409" s="2" t="s">
        <v>147</v>
      </c>
      <c r="D409" s="2" t="s">
        <v>148</v>
      </c>
      <c r="E409" s="2" t="s">
        <v>149</v>
      </c>
    </row>
    <row r="410" customFormat="false" ht="15" hidden="false" customHeight="false" outlineLevel="0" collapsed="false">
      <c r="A410" s="2" t="s">
        <v>397</v>
      </c>
      <c r="B410" s="2" t="n">
        <v>15</v>
      </c>
      <c r="C410" s="2" t="s">
        <v>132</v>
      </c>
      <c r="D410" s="2" t="s">
        <v>150</v>
      </c>
      <c r="E410" s="2" t="s">
        <v>151</v>
      </c>
    </row>
    <row r="411" customFormat="false" ht="15" hidden="false" customHeight="false" outlineLevel="0" collapsed="false">
      <c r="A411" s="2" t="s">
        <v>397</v>
      </c>
      <c r="B411" s="2" t="n">
        <v>15</v>
      </c>
      <c r="C411" s="2" t="s">
        <v>128</v>
      </c>
      <c r="D411" s="2" t="s">
        <v>415</v>
      </c>
      <c r="E411" s="2" t="s">
        <v>130</v>
      </c>
    </row>
    <row r="412" customFormat="false" ht="15" hidden="false" customHeight="false" outlineLevel="0" collapsed="false">
      <c r="A412" s="2" t="s">
        <v>397</v>
      </c>
      <c r="B412" s="2" t="n">
        <v>16</v>
      </c>
      <c r="C412" s="2" t="s">
        <v>132</v>
      </c>
      <c r="D412" s="2" t="s">
        <v>163</v>
      </c>
      <c r="E412" s="2" t="s">
        <v>134</v>
      </c>
    </row>
    <row r="413" customFormat="false" ht="15" hidden="false" customHeight="false" outlineLevel="0" collapsed="false">
      <c r="A413" s="2" t="s">
        <v>397</v>
      </c>
      <c r="B413" s="2" t="n">
        <v>17</v>
      </c>
      <c r="C413" s="2" t="s">
        <v>132</v>
      </c>
      <c r="D413" s="2" t="s">
        <v>150</v>
      </c>
      <c r="E413" s="2" t="s">
        <v>151</v>
      </c>
    </row>
    <row r="414" customFormat="false" ht="15" hidden="false" customHeight="false" outlineLevel="0" collapsed="false">
      <c r="A414" s="2" t="s">
        <v>397</v>
      </c>
      <c r="B414" s="2" t="n">
        <v>18</v>
      </c>
      <c r="C414" s="2" t="s">
        <v>125</v>
      </c>
      <c r="D414" s="2" t="s">
        <v>416</v>
      </c>
      <c r="E414" s="2" t="s">
        <v>127</v>
      </c>
    </row>
    <row r="415" customFormat="false" ht="15" hidden="false" customHeight="false" outlineLevel="0" collapsed="false">
      <c r="A415" s="2" t="s">
        <v>397</v>
      </c>
      <c r="B415" s="2" t="n">
        <v>18</v>
      </c>
      <c r="C415" s="2" t="s">
        <v>132</v>
      </c>
      <c r="D415" s="2" t="s">
        <v>133</v>
      </c>
      <c r="E415" s="2" t="s">
        <v>134</v>
      </c>
    </row>
    <row r="416" customFormat="false" ht="15" hidden="false" customHeight="false" outlineLevel="0" collapsed="false">
      <c r="A416" s="2" t="s">
        <v>397</v>
      </c>
      <c r="B416" s="2" t="n">
        <v>19</v>
      </c>
      <c r="C416" s="2" t="s">
        <v>128</v>
      </c>
      <c r="D416" s="2" t="s">
        <v>417</v>
      </c>
      <c r="E416" s="2" t="s">
        <v>130</v>
      </c>
    </row>
    <row r="417" customFormat="false" ht="15" hidden="false" customHeight="false" outlineLevel="0" collapsed="false">
      <c r="A417" s="2" t="s">
        <v>397</v>
      </c>
      <c r="B417" s="2" t="n">
        <v>19</v>
      </c>
      <c r="C417" s="2" t="s">
        <v>128</v>
      </c>
      <c r="D417" s="2" t="s">
        <v>418</v>
      </c>
      <c r="E417" s="2" t="s">
        <v>130</v>
      </c>
    </row>
    <row r="418" customFormat="false" ht="15" hidden="false" customHeight="false" outlineLevel="0" collapsed="false">
      <c r="A418" s="2" t="s">
        <v>397</v>
      </c>
      <c r="B418" s="2" t="n">
        <v>20</v>
      </c>
      <c r="C418" s="2" t="s">
        <v>132</v>
      </c>
      <c r="D418" s="2" t="s">
        <v>133</v>
      </c>
      <c r="E418" s="2" t="s">
        <v>134</v>
      </c>
    </row>
    <row r="419" customFormat="false" ht="15" hidden="false" customHeight="false" outlineLevel="0" collapsed="false">
      <c r="A419" s="2" t="s">
        <v>397</v>
      </c>
      <c r="B419" s="2" t="n">
        <v>20</v>
      </c>
      <c r="C419" s="2" t="s">
        <v>128</v>
      </c>
      <c r="D419" s="2" t="s">
        <v>419</v>
      </c>
      <c r="E419" s="2" t="s">
        <v>130</v>
      </c>
    </row>
    <row r="420" customFormat="false" ht="15" hidden="false" customHeight="false" outlineLevel="0" collapsed="false">
      <c r="A420" s="2" t="s">
        <v>397</v>
      </c>
      <c r="B420" s="2" t="n">
        <v>21</v>
      </c>
      <c r="C420" s="2" t="s">
        <v>125</v>
      </c>
      <c r="D420" s="2" t="s">
        <v>420</v>
      </c>
      <c r="E420" s="2" t="s">
        <v>127</v>
      </c>
    </row>
    <row r="421" customFormat="false" ht="15" hidden="false" customHeight="false" outlineLevel="0" collapsed="false">
      <c r="A421" s="2" t="s">
        <v>397</v>
      </c>
      <c r="B421" s="2" t="n">
        <v>22</v>
      </c>
      <c r="C421" s="2" t="s">
        <v>128</v>
      </c>
      <c r="D421" s="2" t="s">
        <v>421</v>
      </c>
      <c r="E421" s="2" t="s">
        <v>130</v>
      </c>
    </row>
    <row r="422" customFormat="false" ht="15" hidden="false" customHeight="false" outlineLevel="0" collapsed="false">
      <c r="A422" s="2" t="s">
        <v>397</v>
      </c>
      <c r="B422" s="2" t="n">
        <v>22</v>
      </c>
      <c r="C422" s="2" t="s">
        <v>128</v>
      </c>
      <c r="D422" s="2" t="s">
        <v>422</v>
      </c>
      <c r="E422" s="2" t="s">
        <v>130</v>
      </c>
    </row>
    <row r="423" customFormat="false" ht="15" hidden="false" customHeight="false" outlineLevel="0" collapsed="false">
      <c r="A423" s="2" t="s">
        <v>397</v>
      </c>
      <c r="B423" s="2" t="n">
        <v>23</v>
      </c>
      <c r="C423" s="2" t="s">
        <v>128</v>
      </c>
      <c r="D423" s="2" t="s">
        <v>423</v>
      </c>
      <c r="E423" s="2" t="s">
        <v>130</v>
      </c>
    </row>
    <row r="424" customFormat="false" ht="15" hidden="false" customHeight="false" outlineLevel="0" collapsed="false">
      <c r="A424" s="2" t="s">
        <v>397</v>
      </c>
      <c r="B424" s="2" t="n">
        <v>23</v>
      </c>
      <c r="C424" s="2" t="s">
        <v>128</v>
      </c>
      <c r="D424" s="2" t="s">
        <v>424</v>
      </c>
      <c r="E424" s="2" t="s">
        <v>130</v>
      </c>
    </row>
    <row r="425" customFormat="false" ht="15" hidden="false" customHeight="false" outlineLevel="0" collapsed="false">
      <c r="A425" s="2" t="s">
        <v>397</v>
      </c>
      <c r="B425" s="2" t="n">
        <v>23</v>
      </c>
      <c r="C425" s="2" t="s">
        <v>128</v>
      </c>
      <c r="D425" s="2" t="s">
        <v>425</v>
      </c>
      <c r="E425" s="2" t="s">
        <v>130</v>
      </c>
    </row>
    <row r="426" customFormat="false" ht="15" hidden="false" customHeight="false" outlineLevel="0" collapsed="false">
      <c r="A426" s="2" t="s">
        <v>397</v>
      </c>
      <c r="B426" s="2" t="n">
        <v>24</v>
      </c>
      <c r="C426" s="2" t="s">
        <v>125</v>
      </c>
      <c r="D426" s="2" t="s">
        <v>426</v>
      </c>
      <c r="E426" s="2" t="s">
        <v>127</v>
      </c>
    </row>
    <row r="427" customFormat="false" ht="15" hidden="false" customHeight="false" outlineLevel="0" collapsed="false">
      <c r="A427" s="2" t="s">
        <v>397</v>
      </c>
      <c r="B427" s="2" t="n">
        <v>24</v>
      </c>
      <c r="C427" s="2" t="s">
        <v>132</v>
      </c>
      <c r="D427" s="2" t="s">
        <v>133</v>
      </c>
      <c r="E427" s="2" t="s">
        <v>134</v>
      </c>
    </row>
    <row r="428" customFormat="false" ht="15" hidden="false" customHeight="false" outlineLevel="0" collapsed="false">
      <c r="A428" s="2" t="s">
        <v>397</v>
      </c>
      <c r="B428" s="2" t="n">
        <v>24</v>
      </c>
      <c r="C428" s="2" t="s">
        <v>128</v>
      </c>
      <c r="D428" s="2" t="s">
        <v>427</v>
      </c>
      <c r="E428" s="2" t="s">
        <v>130</v>
      </c>
    </row>
    <row r="429" customFormat="false" ht="15" hidden="false" customHeight="false" outlineLevel="0" collapsed="false">
      <c r="A429" s="2" t="s">
        <v>397</v>
      </c>
      <c r="B429" s="2" t="n">
        <v>24</v>
      </c>
      <c r="C429" s="2" t="s">
        <v>128</v>
      </c>
      <c r="D429" s="2" t="s">
        <v>428</v>
      </c>
      <c r="E429" s="2" t="s">
        <v>130</v>
      </c>
    </row>
    <row r="430" customFormat="false" ht="15" hidden="false" customHeight="false" outlineLevel="0" collapsed="false">
      <c r="A430" s="2" t="s">
        <v>397</v>
      </c>
      <c r="B430" s="2" t="n">
        <v>25</v>
      </c>
      <c r="C430" s="2" t="s">
        <v>128</v>
      </c>
      <c r="D430" s="2" t="s">
        <v>429</v>
      </c>
      <c r="E430" s="2" t="s">
        <v>130</v>
      </c>
    </row>
    <row r="431" customFormat="false" ht="15" hidden="false" customHeight="false" outlineLevel="0" collapsed="false">
      <c r="A431" s="2" t="s">
        <v>397</v>
      </c>
      <c r="B431" s="2" t="n">
        <v>25</v>
      </c>
      <c r="C431" s="2" t="s">
        <v>128</v>
      </c>
      <c r="D431" s="2" t="s">
        <v>430</v>
      </c>
      <c r="E431" s="2" t="s">
        <v>130</v>
      </c>
    </row>
    <row r="432" customFormat="false" ht="15" hidden="false" customHeight="false" outlineLevel="0" collapsed="false">
      <c r="A432" s="2" t="s">
        <v>397</v>
      </c>
      <c r="B432" s="2" t="n">
        <v>25</v>
      </c>
      <c r="C432" s="2" t="s">
        <v>128</v>
      </c>
      <c r="D432" s="2" t="s">
        <v>431</v>
      </c>
      <c r="E432" s="2" t="s">
        <v>130</v>
      </c>
    </row>
    <row r="433" customFormat="false" ht="15" hidden="false" customHeight="false" outlineLevel="0" collapsed="false">
      <c r="A433" s="2" t="s">
        <v>397</v>
      </c>
      <c r="B433" s="2" t="n">
        <v>26</v>
      </c>
      <c r="C433" s="2" t="s">
        <v>128</v>
      </c>
      <c r="D433" s="2" t="s">
        <v>432</v>
      </c>
      <c r="E433" s="2" t="s">
        <v>130</v>
      </c>
    </row>
    <row r="434" customFormat="false" ht="15" hidden="false" customHeight="false" outlineLevel="0" collapsed="false">
      <c r="A434" s="2" t="s">
        <v>397</v>
      </c>
      <c r="B434" s="2" t="n">
        <v>26</v>
      </c>
      <c r="C434" s="2" t="s">
        <v>128</v>
      </c>
      <c r="D434" s="2" t="s">
        <v>433</v>
      </c>
      <c r="E434" s="2" t="s">
        <v>130</v>
      </c>
    </row>
    <row r="435" customFormat="false" ht="15" hidden="false" customHeight="false" outlineLevel="0" collapsed="false">
      <c r="A435" s="2" t="s">
        <v>397</v>
      </c>
      <c r="B435" s="2" t="n">
        <v>27</v>
      </c>
      <c r="C435" s="2" t="s">
        <v>147</v>
      </c>
      <c r="D435" s="2" t="s">
        <v>148</v>
      </c>
      <c r="E435" s="2" t="s">
        <v>149</v>
      </c>
    </row>
    <row r="436" customFormat="false" ht="15" hidden="false" customHeight="false" outlineLevel="0" collapsed="false">
      <c r="A436" s="2" t="s">
        <v>397</v>
      </c>
      <c r="B436" s="2" t="n">
        <v>28</v>
      </c>
      <c r="C436" s="2" t="s">
        <v>125</v>
      </c>
      <c r="D436" s="2" t="s">
        <v>434</v>
      </c>
      <c r="E436" s="2" t="s">
        <v>127</v>
      </c>
    </row>
    <row r="437" customFormat="false" ht="15" hidden="false" customHeight="false" outlineLevel="0" collapsed="false">
      <c r="A437" s="2" t="s">
        <v>397</v>
      </c>
      <c r="B437" s="2" t="n">
        <v>28</v>
      </c>
      <c r="C437" s="2" t="s">
        <v>132</v>
      </c>
      <c r="D437" s="2" t="s">
        <v>160</v>
      </c>
      <c r="E437" s="2" t="s">
        <v>151</v>
      </c>
    </row>
    <row r="438" customFormat="false" ht="15" hidden="false" customHeight="false" outlineLevel="0" collapsed="false">
      <c r="A438" s="2" t="s">
        <v>397</v>
      </c>
      <c r="B438" s="2" t="n">
        <v>28</v>
      </c>
      <c r="C438" s="2" t="s">
        <v>128</v>
      </c>
      <c r="D438" s="2" t="s">
        <v>435</v>
      </c>
      <c r="E438" s="2" t="s">
        <v>130</v>
      </c>
    </row>
    <row r="439" customFormat="false" ht="15" hidden="false" customHeight="false" outlineLevel="0" collapsed="false">
      <c r="A439" s="2" t="s">
        <v>397</v>
      </c>
      <c r="B439" s="2" t="n">
        <v>29</v>
      </c>
      <c r="C439" s="2" t="s">
        <v>132</v>
      </c>
      <c r="D439" s="2" t="s">
        <v>163</v>
      </c>
      <c r="E439" s="2" t="s">
        <v>134</v>
      </c>
    </row>
    <row r="440" customFormat="false" ht="15" hidden="false" customHeight="false" outlineLevel="0" collapsed="false">
      <c r="A440" s="2" t="s">
        <v>397</v>
      </c>
      <c r="B440" s="2" t="n">
        <v>29</v>
      </c>
      <c r="C440" s="2" t="s">
        <v>128</v>
      </c>
      <c r="D440" s="2" t="s">
        <v>436</v>
      </c>
      <c r="E440" s="2" t="s">
        <v>130</v>
      </c>
    </row>
    <row r="441" customFormat="false" ht="15" hidden="false" customHeight="false" outlineLevel="0" collapsed="false">
      <c r="A441" s="2" t="s">
        <v>397</v>
      </c>
      <c r="B441" s="2" t="n">
        <v>30</v>
      </c>
      <c r="C441" s="2" t="s">
        <v>125</v>
      </c>
      <c r="D441" s="2" t="s">
        <v>437</v>
      </c>
      <c r="E441" s="2" t="s">
        <v>127</v>
      </c>
    </row>
    <row r="442" customFormat="false" ht="15" hidden="false" customHeight="false" outlineLevel="0" collapsed="false">
      <c r="A442" s="2" t="s">
        <v>397</v>
      </c>
      <c r="B442" s="2" t="n">
        <v>30</v>
      </c>
      <c r="C442" s="2" t="s">
        <v>132</v>
      </c>
      <c r="D442" s="2" t="s">
        <v>150</v>
      </c>
      <c r="E442" s="2" t="s">
        <v>151</v>
      </c>
    </row>
    <row r="443" customFormat="false" ht="15" hidden="false" customHeight="false" outlineLevel="0" collapsed="false">
      <c r="A443" s="2" t="s">
        <v>397</v>
      </c>
      <c r="B443" s="2" t="n">
        <v>30</v>
      </c>
      <c r="C443" s="2" t="s">
        <v>128</v>
      </c>
      <c r="D443" s="2" t="s">
        <v>438</v>
      </c>
      <c r="E443" s="2" t="s">
        <v>130</v>
      </c>
    </row>
    <row r="444" customFormat="false" ht="15" hidden="false" customHeight="false" outlineLevel="0" collapsed="false">
      <c r="A444" s="2" t="s">
        <v>397</v>
      </c>
      <c r="B444" s="2" t="n">
        <v>30</v>
      </c>
      <c r="C444" s="2" t="s">
        <v>128</v>
      </c>
      <c r="D444" s="2" t="s">
        <v>439</v>
      </c>
      <c r="E444" s="2" t="s">
        <v>130</v>
      </c>
    </row>
    <row r="445" customFormat="false" ht="15" hidden="false" customHeight="false" outlineLevel="0" collapsed="false">
      <c r="A445" s="2" t="s">
        <v>397</v>
      </c>
      <c r="B445" s="2" t="n">
        <v>31</v>
      </c>
      <c r="C445" s="2" t="s">
        <v>132</v>
      </c>
      <c r="D445" s="2" t="s">
        <v>133</v>
      </c>
      <c r="E445" s="2" t="s">
        <v>134</v>
      </c>
    </row>
    <row r="446" customFormat="false" ht="15" hidden="false" customHeight="false" outlineLevel="0" collapsed="false">
      <c r="A446" s="2" t="s">
        <v>397</v>
      </c>
      <c r="B446" s="2" t="n">
        <v>31</v>
      </c>
      <c r="C446" s="2" t="s">
        <v>128</v>
      </c>
      <c r="D446" s="2" t="s">
        <v>440</v>
      </c>
      <c r="E446" s="2" t="s">
        <v>130</v>
      </c>
    </row>
    <row r="447" customFormat="false" ht="15" hidden="false" customHeight="false" outlineLevel="0" collapsed="false">
      <c r="A447" s="2" t="s">
        <v>397</v>
      </c>
      <c r="B447" s="2" t="n">
        <v>31</v>
      </c>
      <c r="C447" s="2" t="s">
        <v>128</v>
      </c>
      <c r="D447" s="2" t="s">
        <v>441</v>
      </c>
      <c r="E447" s="2" t="s">
        <v>130</v>
      </c>
    </row>
    <row r="448" customFormat="false" ht="15" hidden="false" customHeight="false" outlineLevel="0" collapsed="false">
      <c r="A448" s="2" t="s">
        <v>397</v>
      </c>
      <c r="B448" s="2" t="n">
        <v>32</v>
      </c>
      <c r="C448" s="2" t="s">
        <v>125</v>
      </c>
      <c r="D448" s="2" t="s">
        <v>442</v>
      </c>
      <c r="E448" s="2" t="s">
        <v>127</v>
      </c>
    </row>
    <row r="449" customFormat="false" ht="15" hidden="false" customHeight="false" outlineLevel="0" collapsed="false">
      <c r="A449" s="2" t="s">
        <v>397</v>
      </c>
      <c r="B449" s="2" t="n">
        <v>32</v>
      </c>
      <c r="C449" s="2" t="s">
        <v>128</v>
      </c>
      <c r="D449" s="2" t="s">
        <v>443</v>
      </c>
      <c r="E449" s="2" t="s">
        <v>130</v>
      </c>
    </row>
    <row r="450" customFormat="false" ht="15" hidden="false" customHeight="false" outlineLevel="0" collapsed="false">
      <c r="A450" s="2" t="s">
        <v>397</v>
      </c>
      <c r="B450" s="2" t="n">
        <v>32</v>
      </c>
      <c r="C450" s="2" t="s">
        <v>128</v>
      </c>
      <c r="D450" s="2" t="s">
        <v>444</v>
      </c>
      <c r="E450" s="2" t="s">
        <v>130</v>
      </c>
    </row>
    <row r="451" customFormat="false" ht="15" hidden="false" customHeight="false" outlineLevel="0" collapsed="false">
      <c r="A451" s="2" t="s">
        <v>397</v>
      </c>
      <c r="B451" s="2" t="n">
        <v>33</v>
      </c>
      <c r="C451" s="2" t="s">
        <v>125</v>
      </c>
      <c r="D451" s="2" t="s">
        <v>445</v>
      </c>
      <c r="E451" s="2" t="s">
        <v>127</v>
      </c>
    </row>
    <row r="452" customFormat="false" ht="15" hidden="false" customHeight="false" outlineLevel="0" collapsed="false">
      <c r="A452" s="2" t="s">
        <v>397</v>
      </c>
      <c r="B452" s="2" t="n">
        <v>33</v>
      </c>
      <c r="C452" s="2" t="s">
        <v>128</v>
      </c>
      <c r="D452" s="2" t="s">
        <v>446</v>
      </c>
      <c r="E452" s="2" t="s">
        <v>130</v>
      </c>
    </row>
    <row r="453" customFormat="false" ht="15" hidden="false" customHeight="false" outlineLevel="0" collapsed="false">
      <c r="A453" s="2" t="s">
        <v>397</v>
      </c>
      <c r="B453" s="2" t="n">
        <v>34</v>
      </c>
      <c r="C453" s="2" t="s">
        <v>132</v>
      </c>
      <c r="D453" s="2" t="s">
        <v>150</v>
      </c>
      <c r="E453" s="2" t="s">
        <v>151</v>
      </c>
    </row>
    <row r="454" customFormat="false" ht="15" hidden="false" customHeight="false" outlineLevel="0" collapsed="false">
      <c r="A454" s="2" t="s">
        <v>397</v>
      </c>
      <c r="B454" s="2" t="n">
        <v>34</v>
      </c>
      <c r="C454" s="2" t="s">
        <v>128</v>
      </c>
      <c r="D454" s="2" t="s">
        <v>447</v>
      </c>
      <c r="E454" s="2" t="s">
        <v>130</v>
      </c>
    </row>
    <row r="455" customFormat="false" ht="15" hidden="false" customHeight="false" outlineLevel="0" collapsed="false">
      <c r="A455" s="2" t="s">
        <v>397</v>
      </c>
      <c r="B455" s="2" t="n">
        <v>35</v>
      </c>
      <c r="C455" s="2" t="s">
        <v>125</v>
      </c>
      <c r="D455" s="2" t="s">
        <v>448</v>
      </c>
      <c r="E455" s="2" t="s">
        <v>127</v>
      </c>
    </row>
    <row r="456" customFormat="false" ht="15" hidden="false" customHeight="false" outlineLevel="0" collapsed="false">
      <c r="A456" s="2" t="s">
        <v>397</v>
      </c>
      <c r="B456" s="2" t="n">
        <v>35</v>
      </c>
      <c r="C456" s="2" t="s">
        <v>132</v>
      </c>
      <c r="D456" s="2" t="s">
        <v>158</v>
      </c>
      <c r="E456" s="2" t="s">
        <v>134</v>
      </c>
    </row>
    <row r="457" customFormat="false" ht="15" hidden="false" customHeight="false" outlineLevel="0" collapsed="false">
      <c r="A457" s="2" t="s">
        <v>397</v>
      </c>
      <c r="B457" s="2" t="n">
        <v>35</v>
      </c>
      <c r="C457" s="2" t="s">
        <v>128</v>
      </c>
      <c r="D457" s="2" t="s">
        <v>449</v>
      </c>
      <c r="E457" s="2" t="s">
        <v>130</v>
      </c>
    </row>
    <row r="458" customFormat="false" ht="15" hidden="false" customHeight="false" outlineLevel="0" collapsed="false">
      <c r="A458" s="2" t="s">
        <v>397</v>
      </c>
      <c r="B458" s="2" t="n">
        <v>35</v>
      </c>
      <c r="C458" s="2" t="s">
        <v>128</v>
      </c>
      <c r="D458" s="2" t="s">
        <v>450</v>
      </c>
      <c r="E458" s="2" t="s">
        <v>130</v>
      </c>
    </row>
    <row r="459" customFormat="false" ht="15" hidden="false" customHeight="false" outlineLevel="0" collapsed="false">
      <c r="A459" s="2" t="s">
        <v>397</v>
      </c>
      <c r="B459" s="2" t="n">
        <v>36</v>
      </c>
      <c r="C459" s="2" t="s">
        <v>128</v>
      </c>
      <c r="D459" s="2" t="s">
        <v>451</v>
      </c>
      <c r="E459" s="2" t="s">
        <v>130</v>
      </c>
    </row>
    <row r="460" customFormat="false" ht="15" hidden="false" customHeight="false" outlineLevel="0" collapsed="false">
      <c r="A460" s="2" t="s">
        <v>397</v>
      </c>
      <c r="B460" s="2" t="n">
        <v>38</v>
      </c>
      <c r="C460" s="2" t="s">
        <v>132</v>
      </c>
      <c r="D460" s="2" t="s">
        <v>160</v>
      </c>
      <c r="E460" s="2" t="s">
        <v>151</v>
      </c>
    </row>
    <row r="461" customFormat="false" ht="15" hidden="false" customHeight="false" outlineLevel="0" collapsed="false">
      <c r="A461" s="2" t="s">
        <v>397</v>
      </c>
      <c r="B461" s="2" t="n">
        <v>38</v>
      </c>
      <c r="C461" s="2" t="s">
        <v>128</v>
      </c>
      <c r="D461" s="2" t="s">
        <v>452</v>
      </c>
      <c r="E461" s="2" t="s">
        <v>130</v>
      </c>
    </row>
    <row r="462" customFormat="false" ht="15" hidden="false" customHeight="false" outlineLevel="0" collapsed="false">
      <c r="A462" s="2" t="s">
        <v>397</v>
      </c>
      <c r="B462" s="2" t="n">
        <v>39</v>
      </c>
      <c r="C462" s="2" t="s">
        <v>132</v>
      </c>
      <c r="D462" s="2" t="s">
        <v>158</v>
      </c>
      <c r="E462" s="2" t="s">
        <v>134</v>
      </c>
    </row>
    <row r="463" customFormat="false" ht="15" hidden="false" customHeight="false" outlineLevel="0" collapsed="false">
      <c r="A463" s="2" t="s">
        <v>397</v>
      </c>
      <c r="B463" s="2" t="n">
        <v>39</v>
      </c>
      <c r="C463" s="2" t="s">
        <v>128</v>
      </c>
      <c r="D463" s="2" t="s">
        <v>453</v>
      </c>
      <c r="E463" s="2" t="s">
        <v>130</v>
      </c>
    </row>
    <row r="464" customFormat="false" ht="15" hidden="false" customHeight="false" outlineLevel="0" collapsed="false">
      <c r="A464" s="2" t="s">
        <v>397</v>
      </c>
      <c r="B464" s="2" t="n">
        <v>40</v>
      </c>
      <c r="C464" s="2" t="s">
        <v>147</v>
      </c>
      <c r="D464" s="2" t="s">
        <v>148</v>
      </c>
      <c r="E464" s="2" t="s">
        <v>149</v>
      </c>
    </row>
    <row r="465" customFormat="false" ht="15" hidden="false" customHeight="false" outlineLevel="0" collapsed="false">
      <c r="A465" s="2" t="s">
        <v>397</v>
      </c>
      <c r="B465" s="2" t="n">
        <v>41</v>
      </c>
      <c r="C465" s="2" t="s">
        <v>132</v>
      </c>
      <c r="D465" s="2" t="s">
        <v>150</v>
      </c>
      <c r="E465" s="2" t="s">
        <v>151</v>
      </c>
    </row>
    <row r="466" customFormat="false" ht="15" hidden="false" customHeight="false" outlineLevel="0" collapsed="false">
      <c r="A466" s="2" t="s">
        <v>397</v>
      </c>
      <c r="B466" s="2" t="n">
        <v>41</v>
      </c>
      <c r="C466" s="2" t="s">
        <v>128</v>
      </c>
      <c r="D466" s="2" t="s">
        <v>454</v>
      </c>
      <c r="E466" s="2" t="s">
        <v>130</v>
      </c>
    </row>
    <row r="467" customFormat="false" ht="15" hidden="false" customHeight="false" outlineLevel="0" collapsed="false">
      <c r="A467" s="2" t="s">
        <v>397</v>
      </c>
      <c r="B467" s="2" t="n">
        <v>42</v>
      </c>
      <c r="C467" s="2" t="s">
        <v>132</v>
      </c>
      <c r="D467" s="2" t="s">
        <v>163</v>
      </c>
      <c r="E467" s="2" t="s">
        <v>134</v>
      </c>
    </row>
    <row r="468" customFormat="false" ht="15" hidden="false" customHeight="false" outlineLevel="0" collapsed="false">
      <c r="A468" s="2" t="s">
        <v>397</v>
      </c>
      <c r="B468" s="2" t="n">
        <v>42</v>
      </c>
      <c r="C468" s="2" t="s">
        <v>128</v>
      </c>
      <c r="D468" s="2" t="s">
        <v>455</v>
      </c>
      <c r="E468" s="2" t="s">
        <v>130</v>
      </c>
    </row>
    <row r="469" customFormat="false" ht="15" hidden="false" customHeight="false" outlineLevel="0" collapsed="false">
      <c r="A469" s="2" t="s">
        <v>397</v>
      </c>
      <c r="B469" s="2" t="n">
        <v>42</v>
      </c>
      <c r="C469" s="2" t="s">
        <v>128</v>
      </c>
      <c r="D469" s="2" t="s">
        <v>456</v>
      </c>
      <c r="E469" s="2" t="s">
        <v>130</v>
      </c>
    </row>
    <row r="470" customFormat="false" ht="15" hidden="false" customHeight="false" outlineLevel="0" collapsed="false">
      <c r="A470" s="2" t="s">
        <v>397</v>
      </c>
      <c r="B470" s="2" t="n">
        <v>43</v>
      </c>
      <c r="C470" s="2" t="s">
        <v>132</v>
      </c>
      <c r="D470" s="2" t="s">
        <v>163</v>
      </c>
      <c r="E470" s="2" t="s">
        <v>134</v>
      </c>
    </row>
    <row r="471" customFormat="false" ht="15" hidden="false" customHeight="false" outlineLevel="0" collapsed="false">
      <c r="A471" s="2" t="s">
        <v>397</v>
      </c>
      <c r="B471" s="2" t="n">
        <v>43</v>
      </c>
      <c r="C471" s="2" t="s">
        <v>128</v>
      </c>
      <c r="D471" s="2" t="s">
        <v>455</v>
      </c>
      <c r="E471" s="2" t="s">
        <v>130</v>
      </c>
    </row>
    <row r="472" customFormat="false" ht="15" hidden="false" customHeight="false" outlineLevel="0" collapsed="false">
      <c r="A472" s="2" t="s">
        <v>397</v>
      </c>
      <c r="B472" s="2" t="n">
        <v>43</v>
      </c>
      <c r="C472" s="2" t="s">
        <v>128</v>
      </c>
      <c r="D472" s="2" t="s">
        <v>456</v>
      </c>
      <c r="E472" s="2" t="s">
        <v>130</v>
      </c>
    </row>
    <row r="473" customFormat="false" ht="15" hidden="false" customHeight="false" outlineLevel="0" collapsed="false">
      <c r="A473" s="2" t="s">
        <v>397</v>
      </c>
      <c r="B473" s="2" t="n">
        <v>44</v>
      </c>
      <c r="C473" s="2" t="s">
        <v>132</v>
      </c>
      <c r="D473" s="2" t="s">
        <v>150</v>
      </c>
      <c r="E473" s="2" t="s">
        <v>151</v>
      </c>
    </row>
    <row r="474" customFormat="false" ht="15" hidden="false" customHeight="false" outlineLevel="0" collapsed="false">
      <c r="A474" s="2" t="s">
        <v>397</v>
      </c>
      <c r="B474" s="2" t="n">
        <v>44</v>
      </c>
      <c r="C474" s="2" t="s">
        <v>128</v>
      </c>
      <c r="D474" s="2" t="s">
        <v>457</v>
      </c>
      <c r="E474" s="2" t="s">
        <v>130</v>
      </c>
    </row>
    <row r="475" customFormat="false" ht="15" hidden="false" customHeight="false" outlineLevel="0" collapsed="false">
      <c r="A475" s="2" t="s">
        <v>397</v>
      </c>
      <c r="B475" s="2" t="n">
        <v>44</v>
      </c>
      <c r="C475" s="2" t="s">
        <v>128</v>
      </c>
      <c r="D475" s="2" t="s">
        <v>458</v>
      </c>
      <c r="E475" s="2" t="s">
        <v>130</v>
      </c>
    </row>
    <row r="476" customFormat="false" ht="15" hidden="false" customHeight="false" outlineLevel="0" collapsed="false">
      <c r="A476" s="2" t="s">
        <v>397</v>
      </c>
      <c r="B476" s="2" t="n">
        <v>45</v>
      </c>
      <c r="C476" s="2" t="s">
        <v>125</v>
      </c>
      <c r="D476" s="2" t="s">
        <v>459</v>
      </c>
      <c r="E476" s="2" t="s">
        <v>127</v>
      </c>
    </row>
    <row r="477" customFormat="false" ht="15" hidden="false" customHeight="false" outlineLevel="0" collapsed="false">
      <c r="A477" s="2" t="s">
        <v>397</v>
      </c>
      <c r="B477" s="2" t="n">
        <v>45</v>
      </c>
      <c r="C477" s="2" t="s">
        <v>128</v>
      </c>
      <c r="D477" s="2" t="s">
        <v>460</v>
      </c>
      <c r="E477" s="2" t="s">
        <v>130</v>
      </c>
    </row>
    <row r="478" customFormat="false" ht="15" hidden="false" customHeight="false" outlineLevel="0" collapsed="false">
      <c r="A478" s="2" t="s">
        <v>397</v>
      </c>
      <c r="B478" s="2" t="n">
        <v>45</v>
      </c>
      <c r="C478" s="2" t="s">
        <v>128</v>
      </c>
      <c r="D478" s="2" t="s">
        <v>461</v>
      </c>
      <c r="E478" s="2" t="s">
        <v>130</v>
      </c>
    </row>
    <row r="479" customFormat="false" ht="15" hidden="false" customHeight="false" outlineLevel="0" collapsed="false">
      <c r="A479" s="2" t="s">
        <v>397</v>
      </c>
      <c r="B479" s="2" t="n">
        <v>46</v>
      </c>
      <c r="C479" s="2" t="s">
        <v>125</v>
      </c>
      <c r="D479" s="2" t="s">
        <v>462</v>
      </c>
      <c r="E479" s="2" t="s">
        <v>127</v>
      </c>
    </row>
    <row r="480" customFormat="false" ht="15" hidden="false" customHeight="false" outlineLevel="0" collapsed="false">
      <c r="A480" s="2" t="s">
        <v>397</v>
      </c>
      <c r="B480" s="2" t="n">
        <v>46</v>
      </c>
      <c r="C480" s="2" t="s">
        <v>132</v>
      </c>
      <c r="D480" s="2" t="s">
        <v>160</v>
      </c>
      <c r="E480" s="2" t="s">
        <v>151</v>
      </c>
    </row>
    <row r="481" customFormat="false" ht="15" hidden="false" customHeight="false" outlineLevel="0" collapsed="false">
      <c r="A481" s="2" t="s">
        <v>397</v>
      </c>
      <c r="B481" s="2" t="n">
        <v>46</v>
      </c>
      <c r="C481" s="2" t="s">
        <v>128</v>
      </c>
      <c r="D481" s="2" t="s">
        <v>463</v>
      </c>
      <c r="E481" s="2" t="s">
        <v>130</v>
      </c>
    </row>
    <row r="482" customFormat="false" ht="15" hidden="false" customHeight="false" outlineLevel="0" collapsed="false">
      <c r="A482" s="2" t="s">
        <v>397</v>
      </c>
      <c r="B482" s="2" t="n">
        <v>47</v>
      </c>
      <c r="C482" s="2" t="s">
        <v>128</v>
      </c>
      <c r="D482" s="2" t="s">
        <v>464</v>
      </c>
      <c r="E482" s="2" t="s">
        <v>130</v>
      </c>
    </row>
    <row r="483" customFormat="false" ht="15" hidden="false" customHeight="false" outlineLevel="0" collapsed="false">
      <c r="A483" s="2" t="s">
        <v>397</v>
      </c>
      <c r="B483" s="2" t="n">
        <v>47</v>
      </c>
      <c r="C483" s="2" t="s">
        <v>128</v>
      </c>
      <c r="D483" s="2" t="s">
        <v>465</v>
      </c>
      <c r="E483" s="2" t="s">
        <v>130</v>
      </c>
    </row>
    <row r="484" customFormat="false" ht="15" hidden="false" customHeight="false" outlineLevel="0" collapsed="false">
      <c r="A484" s="2" t="s">
        <v>397</v>
      </c>
      <c r="B484" s="2" t="n">
        <v>48</v>
      </c>
      <c r="C484" s="2" t="s">
        <v>132</v>
      </c>
      <c r="D484" s="2" t="s">
        <v>150</v>
      </c>
      <c r="E484" s="2" t="s">
        <v>151</v>
      </c>
    </row>
    <row r="485" customFormat="false" ht="15" hidden="false" customHeight="false" outlineLevel="0" collapsed="false">
      <c r="A485" s="2" t="s">
        <v>397</v>
      </c>
      <c r="B485" s="2" t="n">
        <v>48</v>
      </c>
      <c r="C485" s="2" t="s">
        <v>128</v>
      </c>
      <c r="D485" s="2" t="s">
        <v>466</v>
      </c>
      <c r="E485" s="2" t="s">
        <v>130</v>
      </c>
    </row>
    <row r="486" customFormat="false" ht="15" hidden="false" customHeight="false" outlineLevel="0" collapsed="false">
      <c r="A486" s="2" t="s">
        <v>397</v>
      </c>
      <c r="B486" s="2" t="n">
        <v>49</v>
      </c>
      <c r="C486" s="2" t="s">
        <v>132</v>
      </c>
      <c r="D486" s="2" t="s">
        <v>158</v>
      </c>
      <c r="E486" s="2" t="s">
        <v>134</v>
      </c>
    </row>
    <row r="487" customFormat="false" ht="15" hidden="false" customHeight="false" outlineLevel="0" collapsed="false">
      <c r="A487" s="2" t="s">
        <v>397</v>
      </c>
      <c r="B487" s="2" t="n">
        <v>50</v>
      </c>
      <c r="C487" s="2" t="s">
        <v>128</v>
      </c>
      <c r="D487" s="2" t="s">
        <v>467</v>
      </c>
      <c r="E487" s="2" t="s">
        <v>130</v>
      </c>
    </row>
    <row r="488" customFormat="false" ht="15" hidden="false" customHeight="false" outlineLevel="0" collapsed="false">
      <c r="A488" s="2" t="s">
        <v>397</v>
      </c>
      <c r="B488" s="2" t="n">
        <v>50</v>
      </c>
      <c r="C488" s="2" t="s">
        <v>128</v>
      </c>
      <c r="D488" s="2" t="s">
        <v>468</v>
      </c>
      <c r="E488" s="2" t="s">
        <v>130</v>
      </c>
    </row>
    <row r="489" customFormat="false" ht="15" hidden="false" customHeight="false" outlineLevel="0" collapsed="false">
      <c r="A489" s="2" t="s">
        <v>397</v>
      </c>
      <c r="B489" s="2" t="n">
        <v>50</v>
      </c>
      <c r="C489" s="2" t="s">
        <v>128</v>
      </c>
      <c r="D489" s="2" t="s">
        <v>469</v>
      </c>
      <c r="E489" s="2" t="s">
        <v>130</v>
      </c>
    </row>
    <row r="490" customFormat="false" ht="15" hidden="false" customHeight="false" outlineLevel="0" collapsed="false">
      <c r="A490" s="2" t="s">
        <v>397</v>
      </c>
      <c r="B490" s="2" t="n">
        <v>50</v>
      </c>
      <c r="C490" s="2" t="s">
        <v>128</v>
      </c>
      <c r="D490" s="2" t="s">
        <v>470</v>
      </c>
      <c r="E490" s="2" t="s">
        <v>130</v>
      </c>
    </row>
    <row r="491" customFormat="false" ht="15" hidden="false" customHeight="false" outlineLevel="0" collapsed="false">
      <c r="A491" s="2" t="s">
        <v>397</v>
      </c>
      <c r="B491" s="2" t="n">
        <v>51</v>
      </c>
      <c r="C491" s="2" t="s">
        <v>132</v>
      </c>
      <c r="D491" s="2" t="s">
        <v>158</v>
      </c>
      <c r="E491" s="2" t="s">
        <v>134</v>
      </c>
    </row>
    <row r="492" customFormat="false" ht="15" hidden="false" customHeight="false" outlineLevel="0" collapsed="false">
      <c r="A492" s="2" t="s">
        <v>397</v>
      </c>
      <c r="B492" s="2" t="n">
        <v>51</v>
      </c>
      <c r="C492" s="2" t="s">
        <v>128</v>
      </c>
      <c r="D492" s="2" t="s">
        <v>471</v>
      </c>
      <c r="E492" s="2" t="s">
        <v>130</v>
      </c>
    </row>
    <row r="493" customFormat="false" ht="15" hidden="false" customHeight="false" outlineLevel="0" collapsed="false">
      <c r="A493" s="2" t="s">
        <v>397</v>
      </c>
      <c r="B493" s="2" t="n">
        <v>52</v>
      </c>
      <c r="C493" s="2" t="s">
        <v>125</v>
      </c>
      <c r="D493" s="2" t="s">
        <v>472</v>
      </c>
      <c r="E493" s="2" t="s">
        <v>127</v>
      </c>
    </row>
    <row r="494" customFormat="false" ht="15" hidden="false" customHeight="false" outlineLevel="0" collapsed="false">
      <c r="A494" s="2" t="s">
        <v>397</v>
      </c>
      <c r="B494" s="2" t="n">
        <v>52</v>
      </c>
      <c r="C494" s="2" t="s">
        <v>132</v>
      </c>
      <c r="D494" s="2" t="s">
        <v>150</v>
      </c>
      <c r="E494" s="2" t="s">
        <v>151</v>
      </c>
    </row>
    <row r="495" customFormat="false" ht="15" hidden="false" customHeight="false" outlineLevel="0" collapsed="false">
      <c r="A495" s="2" t="s">
        <v>397</v>
      </c>
      <c r="B495" s="2" t="n">
        <v>52</v>
      </c>
      <c r="C495" s="2" t="s">
        <v>128</v>
      </c>
      <c r="D495" s="2" t="s">
        <v>473</v>
      </c>
      <c r="E495" s="2" t="s">
        <v>130</v>
      </c>
    </row>
    <row r="496" customFormat="false" ht="15" hidden="false" customHeight="false" outlineLevel="0" collapsed="false">
      <c r="A496" s="2" t="s">
        <v>397</v>
      </c>
      <c r="B496" s="2" t="n">
        <v>52</v>
      </c>
      <c r="C496" s="2" t="s">
        <v>128</v>
      </c>
      <c r="D496" s="2" t="s">
        <v>474</v>
      </c>
      <c r="E496" s="2" t="s">
        <v>130</v>
      </c>
    </row>
    <row r="497" customFormat="false" ht="15" hidden="false" customHeight="false" outlineLevel="0" collapsed="false">
      <c r="A497" s="2" t="s">
        <v>397</v>
      </c>
      <c r="B497" s="2" t="n">
        <v>52</v>
      </c>
      <c r="C497" s="2" t="s">
        <v>128</v>
      </c>
      <c r="D497" s="2" t="s">
        <v>475</v>
      </c>
      <c r="E497" s="2" t="s">
        <v>130</v>
      </c>
    </row>
    <row r="498" customFormat="false" ht="15" hidden="false" customHeight="false" outlineLevel="0" collapsed="false">
      <c r="A498" s="2" t="s">
        <v>397</v>
      </c>
      <c r="B498" s="2" t="n">
        <v>53</v>
      </c>
      <c r="C498" s="2" t="s">
        <v>125</v>
      </c>
      <c r="D498" s="2" t="s">
        <v>472</v>
      </c>
      <c r="E498" s="2" t="s">
        <v>127</v>
      </c>
    </row>
    <row r="499" customFormat="false" ht="15" hidden="false" customHeight="false" outlineLevel="0" collapsed="false">
      <c r="A499" s="2" t="s">
        <v>397</v>
      </c>
      <c r="B499" s="2" t="n">
        <v>53</v>
      </c>
      <c r="C499" s="2" t="s">
        <v>132</v>
      </c>
      <c r="D499" s="2" t="s">
        <v>133</v>
      </c>
      <c r="E499" s="2" t="s">
        <v>134</v>
      </c>
    </row>
    <row r="500" customFormat="false" ht="15" hidden="false" customHeight="false" outlineLevel="0" collapsed="false">
      <c r="A500" s="2" t="s">
        <v>397</v>
      </c>
      <c r="B500" s="2" t="n">
        <v>53</v>
      </c>
      <c r="C500" s="2" t="s">
        <v>128</v>
      </c>
      <c r="D500" s="2" t="s">
        <v>476</v>
      </c>
      <c r="E500" s="2" t="s">
        <v>130</v>
      </c>
    </row>
    <row r="501" customFormat="false" ht="15" hidden="false" customHeight="false" outlineLevel="0" collapsed="false">
      <c r="A501" s="2" t="s">
        <v>397</v>
      </c>
      <c r="B501" s="2" t="n">
        <v>53</v>
      </c>
      <c r="C501" s="2" t="s">
        <v>128</v>
      </c>
      <c r="D501" s="2" t="s">
        <v>477</v>
      </c>
      <c r="E501" s="2" t="s">
        <v>130</v>
      </c>
    </row>
    <row r="502" customFormat="false" ht="15" hidden="false" customHeight="false" outlineLevel="0" collapsed="false">
      <c r="A502" s="2" t="s">
        <v>397</v>
      </c>
      <c r="B502" s="2" t="n">
        <v>53</v>
      </c>
      <c r="C502" s="2" t="s">
        <v>128</v>
      </c>
      <c r="D502" s="2" t="s">
        <v>478</v>
      </c>
      <c r="E502" s="2" t="s">
        <v>130</v>
      </c>
    </row>
    <row r="503" customFormat="false" ht="15" hidden="false" customHeight="false" outlineLevel="0" collapsed="false">
      <c r="A503" s="2" t="s">
        <v>397</v>
      </c>
      <c r="B503" s="2" t="n">
        <v>54</v>
      </c>
      <c r="C503" s="2" t="s">
        <v>147</v>
      </c>
      <c r="D503" s="2" t="s">
        <v>148</v>
      </c>
      <c r="E503" s="2" t="s">
        <v>149</v>
      </c>
    </row>
    <row r="504" customFormat="false" ht="15" hidden="false" customHeight="false" outlineLevel="0" collapsed="false">
      <c r="A504" s="2" t="s">
        <v>397</v>
      </c>
      <c r="B504" s="2" t="n">
        <v>55</v>
      </c>
      <c r="C504" s="2" t="s">
        <v>132</v>
      </c>
      <c r="D504" s="2" t="s">
        <v>150</v>
      </c>
      <c r="E504" s="2" t="s">
        <v>151</v>
      </c>
    </row>
    <row r="505" customFormat="false" ht="15" hidden="false" customHeight="false" outlineLevel="0" collapsed="false">
      <c r="A505" s="2" t="s">
        <v>397</v>
      </c>
      <c r="B505" s="2" t="n">
        <v>55</v>
      </c>
      <c r="C505" s="2" t="s">
        <v>128</v>
      </c>
      <c r="D505" s="2" t="s">
        <v>479</v>
      </c>
      <c r="E505" s="2" t="s">
        <v>130</v>
      </c>
    </row>
    <row r="506" customFormat="false" ht="15" hidden="false" customHeight="false" outlineLevel="0" collapsed="false">
      <c r="A506" s="2" t="s">
        <v>397</v>
      </c>
      <c r="B506" s="2" t="n">
        <v>55</v>
      </c>
      <c r="C506" s="2" t="s">
        <v>128</v>
      </c>
      <c r="D506" s="2" t="s">
        <v>480</v>
      </c>
      <c r="E506" s="2" t="s">
        <v>130</v>
      </c>
    </row>
    <row r="507" customFormat="false" ht="15" hidden="false" customHeight="false" outlineLevel="0" collapsed="false">
      <c r="A507" s="2" t="s">
        <v>397</v>
      </c>
      <c r="B507" s="2" t="n">
        <v>56</v>
      </c>
      <c r="C507" s="2" t="s">
        <v>132</v>
      </c>
      <c r="D507" s="2" t="s">
        <v>133</v>
      </c>
      <c r="E507" s="2" t="s">
        <v>134</v>
      </c>
    </row>
    <row r="508" customFormat="false" ht="15" hidden="false" customHeight="false" outlineLevel="0" collapsed="false">
      <c r="A508" s="2" t="s">
        <v>397</v>
      </c>
      <c r="B508" s="2" t="n">
        <v>56</v>
      </c>
      <c r="C508" s="2" t="s">
        <v>128</v>
      </c>
      <c r="D508" s="2" t="s">
        <v>481</v>
      </c>
      <c r="E508" s="2" t="s">
        <v>130</v>
      </c>
    </row>
    <row r="509" customFormat="false" ht="15" hidden="false" customHeight="false" outlineLevel="0" collapsed="false">
      <c r="A509" s="2" t="s">
        <v>397</v>
      </c>
      <c r="B509" s="2" t="n">
        <v>57</v>
      </c>
      <c r="C509" s="2" t="s">
        <v>132</v>
      </c>
      <c r="D509" s="2" t="s">
        <v>160</v>
      </c>
      <c r="E509" s="2" t="s">
        <v>151</v>
      </c>
    </row>
    <row r="510" customFormat="false" ht="15" hidden="false" customHeight="false" outlineLevel="0" collapsed="false">
      <c r="A510" s="2" t="s">
        <v>397</v>
      </c>
      <c r="B510" s="2" t="n">
        <v>57</v>
      </c>
      <c r="C510" s="2" t="s">
        <v>128</v>
      </c>
      <c r="D510" s="2" t="s">
        <v>482</v>
      </c>
      <c r="E510" s="2" t="s">
        <v>130</v>
      </c>
    </row>
    <row r="511" customFormat="false" ht="15" hidden="false" customHeight="false" outlineLevel="0" collapsed="false">
      <c r="A511" s="2" t="s">
        <v>397</v>
      </c>
      <c r="B511" s="2" t="n">
        <v>60</v>
      </c>
      <c r="C511" s="2" t="s">
        <v>147</v>
      </c>
      <c r="D511" s="2" t="s">
        <v>221</v>
      </c>
      <c r="E511" s="2" t="s">
        <v>149</v>
      </c>
    </row>
    <row r="512" customFormat="false" ht="15" hidden="false" customHeight="false" outlineLevel="0" collapsed="false">
      <c r="A512" s="2" t="s">
        <v>483</v>
      </c>
      <c r="B512" s="2" t="n">
        <v>2</v>
      </c>
      <c r="C512" s="2" t="s">
        <v>132</v>
      </c>
      <c r="D512" s="2" t="s">
        <v>160</v>
      </c>
      <c r="E512" s="2" t="s">
        <v>151</v>
      </c>
    </row>
    <row r="513" customFormat="false" ht="15" hidden="false" customHeight="false" outlineLevel="0" collapsed="false">
      <c r="A513" s="2" t="s">
        <v>483</v>
      </c>
      <c r="B513" s="2" t="n">
        <v>2</v>
      </c>
      <c r="C513" s="2" t="s">
        <v>128</v>
      </c>
      <c r="D513" s="2" t="s">
        <v>484</v>
      </c>
      <c r="E513" s="2" t="s">
        <v>130</v>
      </c>
    </row>
    <row r="514" customFormat="false" ht="15" hidden="false" customHeight="false" outlineLevel="0" collapsed="false">
      <c r="A514" s="2" t="s">
        <v>483</v>
      </c>
      <c r="B514" s="2" t="n">
        <v>3</v>
      </c>
      <c r="C514" s="2" t="s">
        <v>128</v>
      </c>
      <c r="D514" s="2" t="s">
        <v>485</v>
      </c>
      <c r="E514" s="2" t="s">
        <v>130</v>
      </c>
    </row>
    <row r="515" customFormat="false" ht="15" hidden="false" customHeight="false" outlineLevel="0" collapsed="false">
      <c r="A515" s="2" t="s">
        <v>483</v>
      </c>
      <c r="B515" s="2" t="n">
        <v>4</v>
      </c>
      <c r="C515" s="2" t="s">
        <v>125</v>
      </c>
      <c r="D515" s="2" t="s">
        <v>486</v>
      </c>
      <c r="E515" s="2" t="s">
        <v>127</v>
      </c>
    </row>
    <row r="516" customFormat="false" ht="15" hidden="false" customHeight="false" outlineLevel="0" collapsed="false">
      <c r="A516" s="2" t="s">
        <v>483</v>
      </c>
      <c r="B516" s="2" t="n">
        <v>4</v>
      </c>
      <c r="C516" s="2" t="s">
        <v>132</v>
      </c>
      <c r="D516" s="2" t="s">
        <v>160</v>
      </c>
      <c r="E516" s="2" t="s">
        <v>151</v>
      </c>
    </row>
    <row r="517" customFormat="false" ht="15" hidden="false" customHeight="false" outlineLevel="0" collapsed="false">
      <c r="A517" s="2" t="s">
        <v>483</v>
      </c>
      <c r="B517" s="2" t="n">
        <v>4</v>
      </c>
      <c r="C517" s="2" t="s">
        <v>128</v>
      </c>
      <c r="D517" s="2" t="s">
        <v>487</v>
      </c>
      <c r="E517" s="2" t="s">
        <v>130</v>
      </c>
    </row>
    <row r="518" customFormat="false" ht="15" hidden="false" customHeight="false" outlineLevel="0" collapsed="false">
      <c r="A518" s="2" t="s">
        <v>483</v>
      </c>
      <c r="B518" s="2" t="n">
        <v>4</v>
      </c>
      <c r="C518" s="2" t="s">
        <v>128</v>
      </c>
      <c r="D518" s="2" t="s">
        <v>488</v>
      </c>
      <c r="E518" s="2" t="s">
        <v>130</v>
      </c>
    </row>
    <row r="519" customFormat="false" ht="15" hidden="false" customHeight="false" outlineLevel="0" collapsed="false">
      <c r="A519" s="2" t="s">
        <v>483</v>
      </c>
      <c r="B519" s="2" t="n">
        <v>4</v>
      </c>
      <c r="C519" s="2" t="s">
        <v>128</v>
      </c>
      <c r="D519" s="2" t="s">
        <v>489</v>
      </c>
      <c r="E519" s="2" t="s">
        <v>130</v>
      </c>
    </row>
    <row r="520" customFormat="false" ht="15" hidden="false" customHeight="false" outlineLevel="0" collapsed="false">
      <c r="A520" s="2" t="s">
        <v>483</v>
      </c>
      <c r="B520" s="2" t="n">
        <v>5</v>
      </c>
      <c r="C520" s="2" t="s">
        <v>125</v>
      </c>
      <c r="D520" s="2" t="s">
        <v>486</v>
      </c>
      <c r="E520" s="2" t="s">
        <v>127</v>
      </c>
    </row>
    <row r="521" customFormat="false" ht="15" hidden="false" customHeight="false" outlineLevel="0" collapsed="false">
      <c r="A521" s="2" t="s">
        <v>483</v>
      </c>
      <c r="B521" s="2" t="n">
        <v>5</v>
      </c>
      <c r="C521" s="2" t="s">
        <v>132</v>
      </c>
      <c r="D521" s="2" t="s">
        <v>133</v>
      </c>
      <c r="E521" s="2" t="s">
        <v>134</v>
      </c>
    </row>
    <row r="522" customFormat="false" ht="15" hidden="false" customHeight="false" outlineLevel="0" collapsed="false">
      <c r="A522" s="2" t="s">
        <v>483</v>
      </c>
      <c r="B522" s="2" t="n">
        <v>6</v>
      </c>
      <c r="C522" s="2" t="s">
        <v>128</v>
      </c>
      <c r="D522" s="2" t="s">
        <v>490</v>
      </c>
      <c r="E522" s="2" t="s">
        <v>130</v>
      </c>
    </row>
    <row r="523" customFormat="false" ht="15" hidden="false" customHeight="false" outlineLevel="0" collapsed="false">
      <c r="A523" s="2" t="s">
        <v>483</v>
      </c>
      <c r="B523" s="2" t="n">
        <v>6</v>
      </c>
      <c r="C523" s="2" t="s">
        <v>128</v>
      </c>
      <c r="D523" s="2" t="s">
        <v>491</v>
      </c>
      <c r="E523" s="2" t="s">
        <v>130</v>
      </c>
    </row>
    <row r="524" customFormat="false" ht="15" hidden="false" customHeight="false" outlineLevel="0" collapsed="false">
      <c r="A524" s="2" t="s">
        <v>483</v>
      </c>
      <c r="B524" s="2" t="n">
        <v>6</v>
      </c>
      <c r="C524" s="2" t="s">
        <v>128</v>
      </c>
      <c r="D524" s="2" t="s">
        <v>492</v>
      </c>
      <c r="E524" s="2" t="s">
        <v>130</v>
      </c>
    </row>
    <row r="525" customFormat="false" ht="15" hidden="false" customHeight="false" outlineLevel="0" collapsed="false">
      <c r="A525" s="2" t="s">
        <v>483</v>
      </c>
      <c r="B525" s="2" t="n">
        <v>6</v>
      </c>
      <c r="C525" s="2" t="s">
        <v>128</v>
      </c>
      <c r="D525" s="2" t="s">
        <v>493</v>
      </c>
      <c r="E525" s="2" t="s">
        <v>130</v>
      </c>
    </row>
    <row r="526" customFormat="false" ht="15" hidden="false" customHeight="false" outlineLevel="0" collapsed="false">
      <c r="A526" s="2" t="s">
        <v>483</v>
      </c>
      <c r="B526" s="2" t="n">
        <v>7</v>
      </c>
      <c r="C526" s="2" t="s">
        <v>132</v>
      </c>
      <c r="D526" s="2" t="s">
        <v>133</v>
      </c>
      <c r="E526" s="2" t="s">
        <v>134</v>
      </c>
    </row>
    <row r="527" customFormat="false" ht="15" hidden="false" customHeight="false" outlineLevel="0" collapsed="false">
      <c r="A527" s="2" t="s">
        <v>483</v>
      </c>
      <c r="B527" s="2" t="n">
        <v>7</v>
      </c>
      <c r="C527" s="2" t="s">
        <v>494</v>
      </c>
      <c r="D527" s="2" t="s">
        <v>495</v>
      </c>
      <c r="E527" s="2" t="s">
        <v>496</v>
      </c>
    </row>
    <row r="528" customFormat="false" ht="15" hidden="false" customHeight="false" outlineLevel="0" collapsed="false">
      <c r="A528" s="2" t="s">
        <v>483</v>
      </c>
      <c r="B528" s="2" t="n">
        <v>7</v>
      </c>
      <c r="C528" s="2" t="s">
        <v>128</v>
      </c>
      <c r="D528" s="2" t="s">
        <v>497</v>
      </c>
      <c r="E528" s="2" t="s">
        <v>130</v>
      </c>
    </row>
    <row r="529" customFormat="false" ht="15" hidden="false" customHeight="false" outlineLevel="0" collapsed="false">
      <c r="A529" s="2" t="s">
        <v>483</v>
      </c>
      <c r="B529" s="2" t="n">
        <v>7</v>
      </c>
      <c r="C529" s="2" t="s">
        <v>128</v>
      </c>
      <c r="D529" s="2" t="s">
        <v>498</v>
      </c>
      <c r="E529" s="2" t="s">
        <v>130</v>
      </c>
    </row>
    <row r="530" customFormat="false" ht="15" hidden="false" customHeight="false" outlineLevel="0" collapsed="false">
      <c r="A530" s="2" t="s">
        <v>483</v>
      </c>
      <c r="B530" s="2" t="n">
        <v>7</v>
      </c>
      <c r="C530" s="2" t="s">
        <v>128</v>
      </c>
      <c r="D530" s="2" t="s">
        <v>499</v>
      </c>
      <c r="E530" s="2" t="s">
        <v>130</v>
      </c>
    </row>
    <row r="531" customFormat="false" ht="15" hidden="false" customHeight="false" outlineLevel="0" collapsed="false">
      <c r="A531" s="2" t="s">
        <v>483</v>
      </c>
      <c r="B531" s="2" t="n">
        <v>7</v>
      </c>
      <c r="C531" s="2" t="s">
        <v>128</v>
      </c>
      <c r="D531" s="2" t="s">
        <v>500</v>
      </c>
      <c r="E531" s="2" t="s">
        <v>130</v>
      </c>
    </row>
    <row r="532" customFormat="false" ht="15" hidden="false" customHeight="false" outlineLevel="0" collapsed="false">
      <c r="A532" s="2" t="s">
        <v>483</v>
      </c>
      <c r="B532" s="2" t="n">
        <v>8</v>
      </c>
      <c r="C532" s="2" t="s">
        <v>125</v>
      </c>
      <c r="D532" s="2" t="s">
        <v>501</v>
      </c>
      <c r="E532" s="2" t="s">
        <v>127</v>
      </c>
    </row>
    <row r="533" customFormat="false" ht="15" hidden="false" customHeight="false" outlineLevel="0" collapsed="false">
      <c r="A533" s="2" t="s">
        <v>483</v>
      </c>
      <c r="B533" s="2" t="n">
        <v>8</v>
      </c>
      <c r="C533" s="2" t="s">
        <v>132</v>
      </c>
      <c r="D533" s="2" t="s">
        <v>150</v>
      </c>
      <c r="E533" s="2" t="s">
        <v>151</v>
      </c>
    </row>
    <row r="534" customFormat="false" ht="15" hidden="false" customHeight="false" outlineLevel="0" collapsed="false">
      <c r="A534" s="2" t="s">
        <v>483</v>
      </c>
      <c r="B534" s="2" t="n">
        <v>8</v>
      </c>
      <c r="C534" s="2" t="s">
        <v>128</v>
      </c>
      <c r="D534" s="2" t="s">
        <v>502</v>
      </c>
      <c r="E534" s="2" t="s">
        <v>130</v>
      </c>
    </row>
    <row r="535" customFormat="false" ht="15" hidden="false" customHeight="false" outlineLevel="0" collapsed="false">
      <c r="A535" s="2" t="s">
        <v>483</v>
      </c>
      <c r="B535" s="2" t="n">
        <v>9</v>
      </c>
      <c r="C535" s="2" t="s">
        <v>128</v>
      </c>
      <c r="D535" s="2" t="s">
        <v>503</v>
      </c>
      <c r="E535" s="2" t="s">
        <v>130</v>
      </c>
    </row>
    <row r="536" customFormat="false" ht="15" hidden="false" customHeight="false" outlineLevel="0" collapsed="false">
      <c r="A536" s="2" t="s">
        <v>483</v>
      </c>
      <c r="B536" s="2" t="n">
        <v>10</v>
      </c>
      <c r="C536" s="2" t="s">
        <v>147</v>
      </c>
      <c r="D536" s="2" t="s">
        <v>148</v>
      </c>
      <c r="E536" s="2" t="s">
        <v>149</v>
      </c>
    </row>
    <row r="537" customFormat="false" ht="15" hidden="false" customHeight="false" outlineLevel="0" collapsed="false">
      <c r="A537" s="2" t="s">
        <v>483</v>
      </c>
      <c r="B537" s="2" t="n">
        <v>11</v>
      </c>
      <c r="C537" s="2" t="s">
        <v>132</v>
      </c>
      <c r="D537" s="2" t="s">
        <v>150</v>
      </c>
      <c r="E537" s="2" t="s">
        <v>151</v>
      </c>
    </row>
    <row r="538" customFormat="false" ht="15" hidden="false" customHeight="false" outlineLevel="0" collapsed="false">
      <c r="A538" s="2" t="s">
        <v>483</v>
      </c>
      <c r="B538" s="2" t="n">
        <v>11</v>
      </c>
      <c r="C538" s="2" t="s">
        <v>128</v>
      </c>
      <c r="D538" s="2" t="s">
        <v>504</v>
      </c>
      <c r="E538" s="2" t="s">
        <v>130</v>
      </c>
    </row>
    <row r="539" customFormat="false" ht="15" hidden="false" customHeight="false" outlineLevel="0" collapsed="false">
      <c r="A539" s="2" t="s">
        <v>483</v>
      </c>
      <c r="B539" s="2" t="n">
        <v>11</v>
      </c>
      <c r="C539" s="2" t="s">
        <v>128</v>
      </c>
      <c r="D539" s="2" t="s">
        <v>505</v>
      </c>
      <c r="E539" s="2" t="s">
        <v>130</v>
      </c>
    </row>
    <row r="540" customFormat="false" ht="15" hidden="false" customHeight="false" outlineLevel="0" collapsed="false">
      <c r="A540" s="2" t="s">
        <v>483</v>
      </c>
      <c r="B540" s="2" t="n">
        <v>12</v>
      </c>
      <c r="C540" s="2" t="s">
        <v>132</v>
      </c>
      <c r="D540" s="2" t="s">
        <v>133</v>
      </c>
      <c r="E540" s="2" t="s">
        <v>134</v>
      </c>
    </row>
    <row r="541" customFormat="false" ht="15" hidden="false" customHeight="false" outlineLevel="0" collapsed="false">
      <c r="A541" s="2" t="s">
        <v>483</v>
      </c>
      <c r="B541" s="2" t="n">
        <v>12</v>
      </c>
      <c r="C541" s="2" t="s">
        <v>128</v>
      </c>
      <c r="D541" s="2" t="s">
        <v>506</v>
      </c>
      <c r="E541" s="2" t="s">
        <v>130</v>
      </c>
    </row>
    <row r="542" customFormat="false" ht="15" hidden="false" customHeight="false" outlineLevel="0" collapsed="false">
      <c r="A542" s="2" t="s">
        <v>483</v>
      </c>
      <c r="B542" s="2" t="n">
        <v>13</v>
      </c>
      <c r="C542" s="2" t="s">
        <v>125</v>
      </c>
      <c r="D542" s="2" t="s">
        <v>507</v>
      </c>
      <c r="E542" s="2" t="s">
        <v>127</v>
      </c>
    </row>
    <row r="543" customFormat="false" ht="15" hidden="false" customHeight="false" outlineLevel="0" collapsed="false">
      <c r="A543" s="2" t="s">
        <v>483</v>
      </c>
      <c r="B543" s="2" t="n">
        <v>13</v>
      </c>
      <c r="C543" s="2" t="s">
        <v>128</v>
      </c>
      <c r="D543" s="2" t="s">
        <v>508</v>
      </c>
      <c r="E543" s="2" t="s">
        <v>130</v>
      </c>
    </row>
    <row r="544" customFormat="false" ht="15" hidden="false" customHeight="false" outlineLevel="0" collapsed="false">
      <c r="A544" s="2" t="s">
        <v>483</v>
      </c>
      <c r="B544" s="2" t="n">
        <v>13</v>
      </c>
      <c r="C544" s="2" t="s">
        <v>128</v>
      </c>
      <c r="D544" s="2" t="s">
        <v>509</v>
      </c>
      <c r="E544" s="2" t="s">
        <v>130</v>
      </c>
    </row>
    <row r="545" customFormat="false" ht="15" hidden="false" customHeight="false" outlineLevel="0" collapsed="false">
      <c r="A545" s="2" t="s">
        <v>483</v>
      </c>
      <c r="B545" s="2" t="n">
        <v>14</v>
      </c>
      <c r="C545" s="2" t="s">
        <v>132</v>
      </c>
      <c r="D545" s="2" t="s">
        <v>158</v>
      </c>
      <c r="E545" s="2" t="s">
        <v>134</v>
      </c>
    </row>
    <row r="546" customFormat="false" ht="15" hidden="false" customHeight="false" outlineLevel="0" collapsed="false">
      <c r="A546" s="2" t="s">
        <v>483</v>
      </c>
      <c r="B546" s="2" t="n">
        <v>14</v>
      </c>
      <c r="C546" s="2" t="s">
        <v>128</v>
      </c>
      <c r="D546" s="2" t="s">
        <v>510</v>
      </c>
      <c r="E546" s="2" t="s">
        <v>130</v>
      </c>
    </row>
    <row r="547" customFormat="false" ht="15" hidden="false" customHeight="false" outlineLevel="0" collapsed="false">
      <c r="A547" s="2" t="s">
        <v>483</v>
      </c>
      <c r="B547" s="2" t="n">
        <v>14</v>
      </c>
      <c r="C547" s="2" t="s">
        <v>128</v>
      </c>
      <c r="D547" s="2" t="s">
        <v>511</v>
      </c>
      <c r="E547" s="2" t="s">
        <v>130</v>
      </c>
    </row>
    <row r="548" customFormat="false" ht="15" hidden="false" customHeight="false" outlineLevel="0" collapsed="false">
      <c r="A548" s="2" t="s">
        <v>483</v>
      </c>
      <c r="B548" s="2" t="n">
        <v>14</v>
      </c>
      <c r="C548" s="2" t="s">
        <v>128</v>
      </c>
      <c r="D548" s="2" t="s">
        <v>512</v>
      </c>
      <c r="E548" s="2" t="s">
        <v>130</v>
      </c>
    </row>
    <row r="549" customFormat="false" ht="15" hidden="false" customHeight="false" outlineLevel="0" collapsed="false">
      <c r="A549" s="2" t="s">
        <v>483</v>
      </c>
      <c r="B549" s="2" t="n">
        <v>15</v>
      </c>
      <c r="C549" s="2" t="s">
        <v>128</v>
      </c>
      <c r="D549" s="2" t="s">
        <v>513</v>
      </c>
      <c r="E549" s="2" t="s">
        <v>130</v>
      </c>
    </row>
    <row r="550" customFormat="false" ht="15" hidden="false" customHeight="false" outlineLevel="0" collapsed="false">
      <c r="A550" s="2" t="s">
        <v>483</v>
      </c>
      <c r="B550" s="2" t="n">
        <v>16</v>
      </c>
      <c r="C550" s="2" t="s">
        <v>125</v>
      </c>
      <c r="D550" s="2" t="s">
        <v>514</v>
      </c>
      <c r="E550" s="2" t="s">
        <v>127</v>
      </c>
    </row>
    <row r="551" customFormat="false" ht="15" hidden="false" customHeight="false" outlineLevel="0" collapsed="false">
      <c r="A551" s="2" t="s">
        <v>483</v>
      </c>
      <c r="B551" s="2" t="n">
        <v>16</v>
      </c>
      <c r="C551" s="2" t="s">
        <v>132</v>
      </c>
      <c r="D551" s="2" t="s">
        <v>133</v>
      </c>
      <c r="E551" s="2" t="s">
        <v>134</v>
      </c>
    </row>
    <row r="552" customFormat="false" ht="15" hidden="false" customHeight="false" outlineLevel="0" collapsed="false">
      <c r="A552" s="2" t="s">
        <v>483</v>
      </c>
      <c r="B552" s="2" t="n">
        <v>16</v>
      </c>
      <c r="C552" s="2" t="s">
        <v>128</v>
      </c>
      <c r="D552" s="2" t="s">
        <v>515</v>
      </c>
      <c r="E552" s="2" t="s">
        <v>130</v>
      </c>
    </row>
    <row r="553" customFormat="false" ht="15" hidden="false" customHeight="false" outlineLevel="0" collapsed="false">
      <c r="A553" s="2" t="s">
        <v>483</v>
      </c>
      <c r="B553" s="2" t="n">
        <v>16</v>
      </c>
      <c r="C553" s="2" t="s">
        <v>128</v>
      </c>
      <c r="D553" s="2" t="s">
        <v>516</v>
      </c>
      <c r="E553" s="2" t="s">
        <v>130</v>
      </c>
    </row>
    <row r="554" customFormat="false" ht="15" hidden="false" customHeight="false" outlineLevel="0" collapsed="false">
      <c r="A554" s="2" t="s">
        <v>483</v>
      </c>
      <c r="B554" s="2" t="n">
        <v>17</v>
      </c>
      <c r="C554" s="2" t="s">
        <v>125</v>
      </c>
      <c r="D554" s="2" t="s">
        <v>517</v>
      </c>
      <c r="E554" s="2" t="s">
        <v>127</v>
      </c>
    </row>
    <row r="555" customFormat="false" ht="15" hidden="false" customHeight="false" outlineLevel="0" collapsed="false">
      <c r="A555" s="2" t="s">
        <v>483</v>
      </c>
      <c r="B555" s="2" t="n">
        <v>18</v>
      </c>
      <c r="C555" s="2" t="s">
        <v>128</v>
      </c>
      <c r="D555" s="2" t="s">
        <v>518</v>
      </c>
      <c r="E555" s="2" t="s">
        <v>130</v>
      </c>
    </row>
    <row r="556" customFormat="false" ht="15" hidden="false" customHeight="false" outlineLevel="0" collapsed="false">
      <c r="A556" s="2" t="s">
        <v>483</v>
      </c>
      <c r="B556" s="2" t="n">
        <v>18</v>
      </c>
      <c r="C556" s="2" t="s">
        <v>128</v>
      </c>
      <c r="D556" s="2" t="s">
        <v>519</v>
      </c>
      <c r="E556" s="2" t="s">
        <v>130</v>
      </c>
    </row>
    <row r="557" customFormat="false" ht="15" hidden="false" customHeight="false" outlineLevel="0" collapsed="false">
      <c r="A557" s="2" t="s">
        <v>483</v>
      </c>
      <c r="B557" s="2" t="n">
        <v>19</v>
      </c>
      <c r="C557" s="2" t="s">
        <v>125</v>
      </c>
      <c r="D557" s="2" t="s">
        <v>520</v>
      </c>
      <c r="E557" s="2" t="s">
        <v>127</v>
      </c>
    </row>
    <row r="558" customFormat="false" ht="15" hidden="false" customHeight="false" outlineLevel="0" collapsed="false">
      <c r="A558" s="2" t="s">
        <v>483</v>
      </c>
      <c r="B558" s="2" t="n">
        <v>19</v>
      </c>
      <c r="C558" s="2" t="s">
        <v>132</v>
      </c>
      <c r="D558" s="2" t="s">
        <v>160</v>
      </c>
      <c r="E558" s="2" t="s">
        <v>151</v>
      </c>
    </row>
    <row r="559" customFormat="false" ht="15" hidden="false" customHeight="false" outlineLevel="0" collapsed="false">
      <c r="A559" s="2" t="s">
        <v>483</v>
      </c>
      <c r="B559" s="2" t="n">
        <v>19</v>
      </c>
      <c r="C559" s="2" t="s">
        <v>128</v>
      </c>
      <c r="D559" s="2" t="s">
        <v>521</v>
      </c>
      <c r="E559" s="2" t="s">
        <v>130</v>
      </c>
    </row>
    <row r="560" customFormat="false" ht="15" hidden="false" customHeight="false" outlineLevel="0" collapsed="false">
      <c r="A560" s="2" t="s">
        <v>483</v>
      </c>
      <c r="B560" s="2" t="n">
        <v>19</v>
      </c>
      <c r="C560" s="2" t="s">
        <v>128</v>
      </c>
      <c r="D560" s="2" t="s">
        <v>522</v>
      </c>
      <c r="E560" s="2" t="s">
        <v>130</v>
      </c>
    </row>
    <row r="561" customFormat="false" ht="15" hidden="false" customHeight="false" outlineLevel="0" collapsed="false">
      <c r="A561" s="2" t="s">
        <v>483</v>
      </c>
      <c r="B561" s="2" t="n">
        <v>20</v>
      </c>
      <c r="C561" s="2" t="s">
        <v>132</v>
      </c>
      <c r="D561" s="2" t="s">
        <v>163</v>
      </c>
      <c r="E561" s="2" t="s">
        <v>134</v>
      </c>
    </row>
    <row r="562" customFormat="false" ht="15" hidden="false" customHeight="false" outlineLevel="0" collapsed="false">
      <c r="A562" s="2" t="s">
        <v>483</v>
      </c>
      <c r="B562" s="2" t="n">
        <v>20</v>
      </c>
      <c r="C562" s="2" t="s">
        <v>128</v>
      </c>
      <c r="D562" s="2" t="s">
        <v>523</v>
      </c>
      <c r="E562" s="2" t="s">
        <v>130</v>
      </c>
    </row>
    <row r="563" customFormat="false" ht="15" hidden="false" customHeight="false" outlineLevel="0" collapsed="false">
      <c r="A563" s="2" t="s">
        <v>483</v>
      </c>
      <c r="B563" s="2" t="n">
        <v>20</v>
      </c>
      <c r="C563" s="2" t="s">
        <v>128</v>
      </c>
      <c r="D563" s="2" t="s">
        <v>524</v>
      </c>
      <c r="E563" s="2" t="s">
        <v>130</v>
      </c>
    </row>
    <row r="564" customFormat="false" ht="15" hidden="false" customHeight="false" outlineLevel="0" collapsed="false">
      <c r="A564" s="2" t="s">
        <v>483</v>
      </c>
      <c r="B564" s="2" t="n">
        <v>20</v>
      </c>
      <c r="C564" s="2" t="s">
        <v>128</v>
      </c>
      <c r="D564" s="2" t="s">
        <v>525</v>
      </c>
      <c r="E564" s="2" t="s">
        <v>130</v>
      </c>
    </row>
    <row r="565" customFormat="false" ht="15" hidden="false" customHeight="false" outlineLevel="0" collapsed="false">
      <c r="A565" s="2" t="s">
        <v>483</v>
      </c>
      <c r="B565" s="2" t="n">
        <v>21</v>
      </c>
      <c r="C565" s="2" t="s">
        <v>125</v>
      </c>
      <c r="D565" s="2" t="s">
        <v>526</v>
      </c>
      <c r="E565" s="2" t="s">
        <v>127</v>
      </c>
    </row>
    <row r="566" customFormat="false" ht="15" hidden="false" customHeight="false" outlineLevel="0" collapsed="false">
      <c r="A566" s="2" t="s">
        <v>483</v>
      </c>
      <c r="B566" s="2" t="n">
        <v>21</v>
      </c>
      <c r="C566" s="2" t="s">
        <v>132</v>
      </c>
      <c r="D566" s="2" t="s">
        <v>150</v>
      </c>
      <c r="E566" s="2" t="s">
        <v>151</v>
      </c>
    </row>
    <row r="567" customFormat="false" ht="15" hidden="false" customHeight="false" outlineLevel="0" collapsed="false">
      <c r="A567" s="2" t="s">
        <v>483</v>
      </c>
      <c r="B567" s="2" t="n">
        <v>21</v>
      </c>
      <c r="C567" s="2" t="s">
        <v>128</v>
      </c>
      <c r="D567" s="2" t="s">
        <v>527</v>
      </c>
      <c r="E567" s="2" t="s">
        <v>130</v>
      </c>
    </row>
    <row r="568" customFormat="false" ht="15" hidden="false" customHeight="false" outlineLevel="0" collapsed="false">
      <c r="A568" s="2" t="s">
        <v>483</v>
      </c>
      <c r="B568" s="2" t="n">
        <v>21</v>
      </c>
      <c r="C568" s="2" t="s">
        <v>128</v>
      </c>
      <c r="D568" s="2" t="s">
        <v>528</v>
      </c>
      <c r="E568" s="2" t="s">
        <v>130</v>
      </c>
    </row>
    <row r="569" customFormat="false" ht="15" hidden="false" customHeight="false" outlineLevel="0" collapsed="false">
      <c r="A569" s="2" t="s">
        <v>483</v>
      </c>
      <c r="B569" s="2" t="n">
        <v>22</v>
      </c>
      <c r="C569" s="2" t="s">
        <v>128</v>
      </c>
      <c r="D569" s="2" t="s">
        <v>529</v>
      </c>
      <c r="E569" s="2" t="s">
        <v>130</v>
      </c>
    </row>
    <row r="570" customFormat="false" ht="15" hidden="false" customHeight="false" outlineLevel="0" collapsed="false">
      <c r="A570" s="2" t="s">
        <v>483</v>
      </c>
      <c r="B570" s="2" t="n">
        <v>22</v>
      </c>
      <c r="C570" s="2" t="s">
        <v>128</v>
      </c>
      <c r="D570" s="2" t="s">
        <v>530</v>
      </c>
      <c r="E570" s="2" t="s">
        <v>130</v>
      </c>
    </row>
    <row r="571" customFormat="false" ht="15" hidden="false" customHeight="false" outlineLevel="0" collapsed="false">
      <c r="A571" s="2" t="s">
        <v>483</v>
      </c>
      <c r="B571" s="2" t="n">
        <v>23</v>
      </c>
      <c r="C571" s="2" t="s">
        <v>147</v>
      </c>
      <c r="D571" s="2" t="s">
        <v>148</v>
      </c>
      <c r="E571" s="2" t="s">
        <v>149</v>
      </c>
    </row>
    <row r="572" customFormat="false" ht="15" hidden="false" customHeight="false" outlineLevel="0" collapsed="false">
      <c r="A572" s="2" t="s">
        <v>483</v>
      </c>
      <c r="B572" s="2" t="n">
        <v>24</v>
      </c>
      <c r="C572" s="2" t="s">
        <v>125</v>
      </c>
      <c r="D572" s="2" t="s">
        <v>531</v>
      </c>
      <c r="E572" s="2" t="s">
        <v>127</v>
      </c>
    </row>
    <row r="573" customFormat="false" ht="15" hidden="false" customHeight="false" outlineLevel="0" collapsed="false">
      <c r="A573" s="2" t="s">
        <v>483</v>
      </c>
      <c r="B573" s="2" t="n">
        <v>24</v>
      </c>
      <c r="C573" s="2" t="s">
        <v>128</v>
      </c>
      <c r="D573" s="2" t="s">
        <v>532</v>
      </c>
      <c r="E573" s="2" t="s">
        <v>130</v>
      </c>
    </row>
    <row r="574" customFormat="false" ht="15" hidden="false" customHeight="false" outlineLevel="0" collapsed="false">
      <c r="A574" s="2" t="s">
        <v>483</v>
      </c>
      <c r="B574" s="2" t="n">
        <v>24</v>
      </c>
      <c r="C574" s="2" t="s">
        <v>128</v>
      </c>
      <c r="D574" s="2" t="s">
        <v>533</v>
      </c>
      <c r="E574" s="2" t="s">
        <v>130</v>
      </c>
    </row>
    <row r="575" customFormat="false" ht="15" hidden="false" customHeight="false" outlineLevel="0" collapsed="false">
      <c r="A575" s="2" t="s">
        <v>483</v>
      </c>
      <c r="B575" s="2" t="n">
        <v>25</v>
      </c>
      <c r="C575" s="2" t="s">
        <v>132</v>
      </c>
      <c r="D575" s="2" t="s">
        <v>133</v>
      </c>
      <c r="E575" s="2" t="s">
        <v>134</v>
      </c>
    </row>
    <row r="576" customFormat="false" ht="15" hidden="false" customHeight="false" outlineLevel="0" collapsed="false">
      <c r="A576" s="2" t="s">
        <v>483</v>
      </c>
      <c r="B576" s="2" t="n">
        <v>25</v>
      </c>
      <c r="C576" s="2" t="s">
        <v>128</v>
      </c>
      <c r="D576" s="2" t="s">
        <v>534</v>
      </c>
      <c r="E576" s="2" t="s">
        <v>130</v>
      </c>
    </row>
    <row r="577" customFormat="false" ht="15" hidden="false" customHeight="false" outlineLevel="0" collapsed="false">
      <c r="A577" s="2" t="s">
        <v>483</v>
      </c>
      <c r="B577" s="2" t="n">
        <v>25</v>
      </c>
      <c r="C577" s="2" t="s">
        <v>128</v>
      </c>
      <c r="D577" s="2" t="s">
        <v>535</v>
      </c>
      <c r="E577" s="2" t="s">
        <v>130</v>
      </c>
    </row>
    <row r="578" customFormat="false" ht="15" hidden="false" customHeight="false" outlineLevel="0" collapsed="false">
      <c r="A578" s="2" t="s">
        <v>483</v>
      </c>
      <c r="B578" s="2" t="n">
        <v>26</v>
      </c>
      <c r="C578" s="2" t="s">
        <v>132</v>
      </c>
      <c r="D578" s="2" t="s">
        <v>133</v>
      </c>
      <c r="E578" s="2" t="s">
        <v>134</v>
      </c>
    </row>
    <row r="579" customFormat="false" ht="15" hidden="false" customHeight="false" outlineLevel="0" collapsed="false">
      <c r="A579" s="2" t="s">
        <v>483</v>
      </c>
      <c r="B579" s="2" t="n">
        <v>26</v>
      </c>
      <c r="C579" s="2" t="s">
        <v>128</v>
      </c>
      <c r="D579" s="2" t="s">
        <v>534</v>
      </c>
      <c r="E579" s="2" t="s">
        <v>130</v>
      </c>
    </row>
    <row r="580" customFormat="false" ht="15" hidden="false" customHeight="false" outlineLevel="0" collapsed="false">
      <c r="A580" s="2" t="s">
        <v>483</v>
      </c>
      <c r="B580" s="2" t="n">
        <v>26</v>
      </c>
      <c r="C580" s="2" t="s">
        <v>128</v>
      </c>
      <c r="D580" s="2" t="s">
        <v>535</v>
      </c>
      <c r="E580" s="2" t="s">
        <v>130</v>
      </c>
    </row>
    <row r="581" customFormat="false" ht="15" hidden="false" customHeight="false" outlineLevel="0" collapsed="false">
      <c r="A581" s="2" t="s">
        <v>483</v>
      </c>
      <c r="B581" s="2" t="n">
        <v>27</v>
      </c>
      <c r="C581" s="2" t="s">
        <v>132</v>
      </c>
      <c r="D581" s="2" t="s">
        <v>160</v>
      </c>
      <c r="E581" s="2" t="s">
        <v>151</v>
      </c>
    </row>
    <row r="582" customFormat="false" ht="15" hidden="false" customHeight="false" outlineLevel="0" collapsed="false">
      <c r="A582" s="2" t="s">
        <v>483</v>
      </c>
      <c r="B582" s="2" t="n">
        <v>27</v>
      </c>
      <c r="C582" s="2" t="s">
        <v>128</v>
      </c>
      <c r="D582" s="2" t="s">
        <v>536</v>
      </c>
      <c r="E582" s="2" t="s">
        <v>130</v>
      </c>
    </row>
    <row r="583" customFormat="false" ht="15" hidden="false" customHeight="false" outlineLevel="0" collapsed="false">
      <c r="A583" s="2" t="s">
        <v>483</v>
      </c>
      <c r="B583" s="2" t="n">
        <v>27</v>
      </c>
      <c r="C583" s="2" t="s">
        <v>128</v>
      </c>
      <c r="D583" s="2" t="s">
        <v>537</v>
      </c>
      <c r="E583" s="2" t="s">
        <v>130</v>
      </c>
    </row>
    <row r="584" customFormat="false" ht="15" hidden="false" customHeight="false" outlineLevel="0" collapsed="false">
      <c r="A584" s="2" t="s">
        <v>483</v>
      </c>
      <c r="B584" s="2" t="n">
        <v>28</v>
      </c>
      <c r="C584" s="2" t="s">
        <v>132</v>
      </c>
      <c r="D584" s="2" t="s">
        <v>133</v>
      </c>
      <c r="E584" s="2" t="s">
        <v>134</v>
      </c>
    </row>
    <row r="585" customFormat="false" ht="15" hidden="false" customHeight="false" outlineLevel="0" collapsed="false">
      <c r="A585" s="2" t="s">
        <v>483</v>
      </c>
      <c r="B585" s="2" t="n">
        <v>28</v>
      </c>
      <c r="C585" s="2" t="s">
        <v>128</v>
      </c>
      <c r="D585" s="2" t="s">
        <v>538</v>
      </c>
      <c r="E585" s="2" t="s">
        <v>130</v>
      </c>
    </row>
    <row r="586" customFormat="false" ht="15" hidden="false" customHeight="false" outlineLevel="0" collapsed="false">
      <c r="A586" s="2" t="s">
        <v>483</v>
      </c>
      <c r="B586" s="2" t="n">
        <v>28</v>
      </c>
      <c r="C586" s="2" t="s">
        <v>128</v>
      </c>
      <c r="D586" s="2" t="s">
        <v>539</v>
      </c>
      <c r="E586" s="2" t="s">
        <v>130</v>
      </c>
    </row>
    <row r="587" customFormat="false" ht="15" hidden="false" customHeight="false" outlineLevel="0" collapsed="false">
      <c r="A587" s="2" t="s">
        <v>483</v>
      </c>
      <c r="B587" s="2" t="n">
        <v>29</v>
      </c>
      <c r="C587" s="2" t="s">
        <v>132</v>
      </c>
      <c r="D587" s="2" t="s">
        <v>160</v>
      </c>
      <c r="E587" s="2" t="s">
        <v>151</v>
      </c>
    </row>
    <row r="588" customFormat="false" ht="15" hidden="false" customHeight="false" outlineLevel="0" collapsed="false">
      <c r="A588" s="2" t="s">
        <v>483</v>
      </c>
      <c r="B588" s="2" t="n">
        <v>29</v>
      </c>
      <c r="C588" s="2" t="s">
        <v>128</v>
      </c>
      <c r="D588" s="2" t="s">
        <v>540</v>
      </c>
      <c r="E588" s="2" t="s">
        <v>130</v>
      </c>
    </row>
    <row r="589" customFormat="false" ht="15" hidden="false" customHeight="false" outlineLevel="0" collapsed="false">
      <c r="A589" s="2" t="s">
        <v>483</v>
      </c>
      <c r="B589" s="2" t="n">
        <v>30</v>
      </c>
      <c r="C589" s="2" t="s">
        <v>132</v>
      </c>
      <c r="D589" s="2" t="s">
        <v>133</v>
      </c>
      <c r="E589" s="2" t="s">
        <v>134</v>
      </c>
    </row>
    <row r="590" customFormat="false" ht="15" hidden="false" customHeight="false" outlineLevel="0" collapsed="false">
      <c r="A590" s="2" t="s">
        <v>483</v>
      </c>
      <c r="B590" s="2" t="n">
        <v>30</v>
      </c>
      <c r="C590" s="2" t="s">
        <v>128</v>
      </c>
      <c r="D590" s="2" t="s">
        <v>541</v>
      </c>
      <c r="E590" s="2" t="s">
        <v>130</v>
      </c>
    </row>
    <row r="591" customFormat="false" ht="15" hidden="false" customHeight="false" outlineLevel="0" collapsed="false">
      <c r="A591" s="2" t="s">
        <v>483</v>
      </c>
      <c r="B591" s="2" t="n">
        <v>31</v>
      </c>
      <c r="C591" s="2" t="s">
        <v>132</v>
      </c>
      <c r="D591" s="2" t="s">
        <v>160</v>
      </c>
      <c r="E591" s="2" t="s">
        <v>151</v>
      </c>
    </row>
    <row r="592" customFormat="false" ht="15" hidden="false" customHeight="false" outlineLevel="0" collapsed="false">
      <c r="A592" s="2" t="s">
        <v>483</v>
      </c>
      <c r="B592" s="2" t="n">
        <v>31</v>
      </c>
      <c r="C592" s="2" t="s">
        <v>128</v>
      </c>
      <c r="D592" s="2" t="s">
        <v>542</v>
      </c>
      <c r="E592" s="2" t="s">
        <v>130</v>
      </c>
    </row>
    <row r="593" customFormat="false" ht="15" hidden="false" customHeight="false" outlineLevel="0" collapsed="false">
      <c r="A593" s="2" t="s">
        <v>483</v>
      </c>
      <c r="B593" s="2" t="n">
        <v>31</v>
      </c>
      <c r="C593" s="2" t="s">
        <v>128</v>
      </c>
      <c r="D593" s="2" t="s">
        <v>543</v>
      </c>
      <c r="E593" s="2" t="s">
        <v>130</v>
      </c>
    </row>
    <row r="594" customFormat="false" ht="15" hidden="false" customHeight="false" outlineLevel="0" collapsed="false">
      <c r="A594" s="2" t="s">
        <v>483</v>
      </c>
      <c r="B594" s="2" t="n">
        <v>32</v>
      </c>
      <c r="C594" s="2" t="s">
        <v>125</v>
      </c>
      <c r="D594" s="2" t="s">
        <v>544</v>
      </c>
      <c r="E594" s="2" t="s">
        <v>127</v>
      </c>
    </row>
    <row r="595" customFormat="false" ht="15" hidden="false" customHeight="false" outlineLevel="0" collapsed="false">
      <c r="A595" s="2" t="s">
        <v>483</v>
      </c>
      <c r="B595" s="2" t="n">
        <v>32</v>
      </c>
      <c r="C595" s="2" t="s">
        <v>128</v>
      </c>
      <c r="D595" s="2" t="s">
        <v>545</v>
      </c>
      <c r="E595" s="2" t="s">
        <v>130</v>
      </c>
    </row>
    <row r="596" customFormat="false" ht="15" hidden="false" customHeight="false" outlineLevel="0" collapsed="false">
      <c r="A596" s="2" t="s">
        <v>483</v>
      </c>
      <c r="B596" s="2" t="n">
        <v>33</v>
      </c>
      <c r="C596" s="2" t="s">
        <v>132</v>
      </c>
      <c r="D596" s="2" t="s">
        <v>150</v>
      </c>
      <c r="E596" s="2" t="s">
        <v>151</v>
      </c>
    </row>
    <row r="597" customFormat="false" ht="15" hidden="false" customHeight="false" outlineLevel="0" collapsed="false">
      <c r="A597" s="2" t="s">
        <v>483</v>
      </c>
      <c r="B597" s="2" t="n">
        <v>33</v>
      </c>
      <c r="C597" s="2" t="s">
        <v>128</v>
      </c>
      <c r="D597" s="2" t="s">
        <v>546</v>
      </c>
      <c r="E597" s="2" t="s">
        <v>130</v>
      </c>
    </row>
    <row r="598" customFormat="false" ht="15" hidden="false" customHeight="false" outlineLevel="0" collapsed="false">
      <c r="A598" s="2" t="s">
        <v>483</v>
      </c>
      <c r="B598" s="2" t="n">
        <v>33</v>
      </c>
      <c r="C598" s="2" t="s">
        <v>128</v>
      </c>
      <c r="D598" s="2" t="s">
        <v>547</v>
      </c>
      <c r="E598" s="2" t="s">
        <v>130</v>
      </c>
    </row>
    <row r="599" customFormat="false" ht="15" hidden="false" customHeight="false" outlineLevel="0" collapsed="false">
      <c r="A599" s="2" t="s">
        <v>483</v>
      </c>
      <c r="B599" s="2" t="n">
        <v>34</v>
      </c>
      <c r="C599" s="2" t="s">
        <v>125</v>
      </c>
      <c r="D599" s="2" t="s">
        <v>548</v>
      </c>
      <c r="E599" s="2" t="s">
        <v>127</v>
      </c>
    </row>
    <row r="600" customFormat="false" ht="15" hidden="false" customHeight="false" outlineLevel="0" collapsed="false">
      <c r="A600" s="2" t="s">
        <v>483</v>
      </c>
      <c r="B600" s="2" t="n">
        <v>34</v>
      </c>
      <c r="C600" s="2" t="s">
        <v>132</v>
      </c>
      <c r="D600" s="2" t="s">
        <v>133</v>
      </c>
      <c r="E600" s="2" t="s">
        <v>134</v>
      </c>
    </row>
    <row r="601" customFormat="false" ht="15" hidden="false" customHeight="false" outlineLevel="0" collapsed="false">
      <c r="A601" s="2" t="s">
        <v>483</v>
      </c>
      <c r="B601" s="2" t="n">
        <v>34</v>
      </c>
      <c r="C601" s="2" t="s">
        <v>128</v>
      </c>
      <c r="D601" s="2" t="s">
        <v>549</v>
      </c>
      <c r="E601" s="2" t="s">
        <v>130</v>
      </c>
    </row>
    <row r="602" customFormat="false" ht="15" hidden="false" customHeight="false" outlineLevel="0" collapsed="false">
      <c r="A602" s="2" t="s">
        <v>483</v>
      </c>
      <c r="B602" s="2" t="n">
        <v>34</v>
      </c>
      <c r="C602" s="2" t="s">
        <v>128</v>
      </c>
      <c r="D602" s="2" t="s">
        <v>550</v>
      </c>
      <c r="E602" s="2" t="s">
        <v>130</v>
      </c>
    </row>
    <row r="603" customFormat="false" ht="15" hidden="false" customHeight="false" outlineLevel="0" collapsed="false">
      <c r="A603" s="2" t="s">
        <v>483</v>
      </c>
      <c r="B603" s="2" t="n">
        <v>34</v>
      </c>
      <c r="C603" s="2" t="s">
        <v>128</v>
      </c>
      <c r="D603" s="2" t="s">
        <v>551</v>
      </c>
      <c r="E603" s="2" t="s">
        <v>130</v>
      </c>
    </row>
    <row r="604" customFormat="false" ht="15" hidden="false" customHeight="false" outlineLevel="0" collapsed="false">
      <c r="A604" s="2" t="s">
        <v>483</v>
      </c>
      <c r="B604" s="2" t="n">
        <v>35</v>
      </c>
      <c r="C604" s="2" t="s">
        <v>128</v>
      </c>
      <c r="D604" s="2" t="s">
        <v>552</v>
      </c>
      <c r="E604" s="2" t="s">
        <v>130</v>
      </c>
    </row>
    <row r="605" customFormat="false" ht="15" hidden="false" customHeight="false" outlineLevel="0" collapsed="false">
      <c r="A605" s="2" t="s">
        <v>483</v>
      </c>
      <c r="B605" s="2" t="n">
        <v>35</v>
      </c>
      <c r="C605" s="2" t="s">
        <v>128</v>
      </c>
      <c r="D605" s="2" t="s">
        <v>553</v>
      </c>
      <c r="E605" s="2" t="s">
        <v>130</v>
      </c>
    </row>
    <row r="606" customFormat="false" ht="15" hidden="false" customHeight="false" outlineLevel="0" collapsed="false">
      <c r="A606" s="2" t="s">
        <v>483</v>
      </c>
      <c r="B606" s="2" t="n">
        <v>35</v>
      </c>
      <c r="C606" s="2" t="s">
        <v>128</v>
      </c>
      <c r="D606" s="2" t="s">
        <v>554</v>
      </c>
      <c r="E606" s="2" t="s">
        <v>130</v>
      </c>
    </row>
    <row r="607" customFormat="false" ht="15" hidden="false" customHeight="false" outlineLevel="0" collapsed="false">
      <c r="A607" s="2" t="s">
        <v>483</v>
      </c>
      <c r="B607" s="2" t="n">
        <v>36</v>
      </c>
      <c r="C607" s="2" t="s">
        <v>132</v>
      </c>
      <c r="D607" s="2" t="s">
        <v>133</v>
      </c>
      <c r="E607" s="2" t="s">
        <v>134</v>
      </c>
    </row>
    <row r="608" customFormat="false" ht="15" hidden="false" customHeight="false" outlineLevel="0" collapsed="false">
      <c r="A608" s="2" t="s">
        <v>483</v>
      </c>
      <c r="B608" s="2" t="n">
        <v>36</v>
      </c>
      <c r="C608" s="2" t="s">
        <v>128</v>
      </c>
      <c r="D608" s="2" t="s">
        <v>555</v>
      </c>
      <c r="E608" s="2" t="s">
        <v>130</v>
      </c>
    </row>
    <row r="609" customFormat="false" ht="15" hidden="false" customHeight="false" outlineLevel="0" collapsed="false">
      <c r="A609" s="2" t="s">
        <v>483</v>
      </c>
      <c r="B609" s="2" t="n">
        <v>36</v>
      </c>
      <c r="C609" s="2" t="s">
        <v>128</v>
      </c>
      <c r="D609" s="2" t="s">
        <v>556</v>
      </c>
      <c r="E609" s="2" t="s">
        <v>130</v>
      </c>
    </row>
    <row r="610" customFormat="false" ht="15" hidden="false" customHeight="false" outlineLevel="0" collapsed="false">
      <c r="A610" s="2" t="s">
        <v>483</v>
      </c>
      <c r="B610" s="2" t="n">
        <v>36</v>
      </c>
      <c r="C610" s="2" t="s">
        <v>128</v>
      </c>
      <c r="D610" s="2" t="s">
        <v>557</v>
      </c>
      <c r="E610" s="2" t="s">
        <v>130</v>
      </c>
    </row>
    <row r="611" customFormat="false" ht="15" hidden="false" customHeight="false" outlineLevel="0" collapsed="false">
      <c r="A611" s="2" t="s">
        <v>483</v>
      </c>
      <c r="B611" s="2" t="n">
        <v>37</v>
      </c>
      <c r="C611" s="2" t="s">
        <v>147</v>
      </c>
      <c r="D611" s="2" t="s">
        <v>148</v>
      </c>
      <c r="E611" s="2" t="s">
        <v>149</v>
      </c>
    </row>
    <row r="612" customFormat="false" ht="15" hidden="false" customHeight="false" outlineLevel="0" collapsed="false">
      <c r="A612" s="2" t="s">
        <v>483</v>
      </c>
      <c r="B612" s="2" t="n">
        <v>38</v>
      </c>
      <c r="C612" s="2" t="s">
        <v>132</v>
      </c>
      <c r="D612" s="2" t="s">
        <v>150</v>
      </c>
      <c r="E612" s="2" t="s">
        <v>151</v>
      </c>
    </row>
    <row r="613" customFormat="false" ht="15" hidden="false" customHeight="false" outlineLevel="0" collapsed="false">
      <c r="A613" s="2" t="s">
        <v>483</v>
      </c>
      <c r="B613" s="2" t="n">
        <v>38</v>
      </c>
      <c r="C613" s="2" t="s">
        <v>128</v>
      </c>
      <c r="D613" s="2" t="s">
        <v>558</v>
      </c>
      <c r="E613" s="2" t="s">
        <v>130</v>
      </c>
    </row>
    <row r="614" customFormat="false" ht="15" hidden="false" customHeight="false" outlineLevel="0" collapsed="false">
      <c r="A614" s="2" t="s">
        <v>483</v>
      </c>
      <c r="B614" s="2" t="n">
        <v>38</v>
      </c>
      <c r="C614" s="2" t="s">
        <v>128</v>
      </c>
      <c r="D614" s="2" t="s">
        <v>559</v>
      </c>
      <c r="E614" s="2" t="s">
        <v>130</v>
      </c>
    </row>
    <row r="615" customFormat="false" ht="15" hidden="false" customHeight="false" outlineLevel="0" collapsed="false">
      <c r="A615" s="2" t="s">
        <v>483</v>
      </c>
      <c r="B615" s="2" t="n">
        <v>38</v>
      </c>
      <c r="C615" s="2" t="s">
        <v>128</v>
      </c>
      <c r="D615" s="2" t="s">
        <v>560</v>
      </c>
      <c r="E615" s="2" t="s">
        <v>130</v>
      </c>
    </row>
    <row r="616" customFormat="false" ht="15" hidden="false" customHeight="false" outlineLevel="0" collapsed="false">
      <c r="A616" s="2" t="s">
        <v>483</v>
      </c>
      <c r="B616" s="2" t="n">
        <v>39</v>
      </c>
      <c r="C616" s="2" t="s">
        <v>132</v>
      </c>
      <c r="D616" s="2" t="s">
        <v>163</v>
      </c>
      <c r="E616" s="2" t="s">
        <v>134</v>
      </c>
    </row>
    <row r="617" customFormat="false" ht="15" hidden="false" customHeight="false" outlineLevel="0" collapsed="false">
      <c r="A617" s="2" t="s">
        <v>483</v>
      </c>
      <c r="B617" s="2" t="n">
        <v>39</v>
      </c>
      <c r="C617" s="2" t="s">
        <v>128</v>
      </c>
      <c r="D617" s="2" t="s">
        <v>561</v>
      </c>
      <c r="E617" s="2" t="s">
        <v>130</v>
      </c>
    </row>
    <row r="618" customFormat="false" ht="15" hidden="false" customHeight="false" outlineLevel="0" collapsed="false">
      <c r="A618" s="2" t="s">
        <v>483</v>
      </c>
      <c r="B618" s="2" t="n">
        <v>39</v>
      </c>
      <c r="C618" s="2" t="s">
        <v>128</v>
      </c>
      <c r="D618" s="2" t="s">
        <v>562</v>
      </c>
      <c r="E618" s="2" t="s">
        <v>130</v>
      </c>
    </row>
    <row r="619" customFormat="false" ht="15" hidden="false" customHeight="false" outlineLevel="0" collapsed="false">
      <c r="A619" s="2" t="s">
        <v>483</v>
      </c>
      <c r="B619" s="2" t="n">
        <v>40</v>
      </c>
      <c r="C619" s="2" t="s">
        <v>125</v>
      </c>
      <c r="D619" s="2" t="s">
        <v>563</v>
      </c>
      <c r="E619" s="2" t="s">
        <v>127</v>
      </c>
    </row>
    <row r="620" customFormat="false" ht="15" hidden="false" customHeight="false" outlineLevel="0" collapsed="false">
      <c r="A620" s="2" t="s">
        <v>483</v>
      </c>
      <c r="B620" s="2" t="n">
        <v>40</v>
      </c>
      <c r="C620" s="2" t="s">
        <v>132</v>
      </c>
      <c r="D620" s="2" t="s">
        <v>150</v>
      </c>
      <c r="E620" s="2" t="s">
        <v>151</v>
      </c>
    </row>
    <row r="621" customFormat="false" ht="15" hidden="false" customHeight="false" outlineLevel="0" collapsed="false">
      <c r="A621" s="2" t="s">
        <v>483</v>
      </c>
      <c r="B621" s="2" t="n">
        <v>40</v>
      </c>
      <c r="C621" s="2" t="s">
        <v>128</v>
      </c>
      <c r="D621" s="2" t="s">
        <v>564</v>
      </c>
      <c r="E621" s="2" t="s">
        <v>130</v>
      </c>
    </row>
    <row r="622" customFormat="false" ht="15" hidden="false" customHeight="false" outlineLevel="0" collapsed="false">
      <c r="A622" s="2" t="s">
        <v>483</v>
      </c>
      <c r="B622" s="2" t="n">
        <v>40</v>
      </c>
      <c r="C622" s="2" t="s">
        <v>128</v>
      </c>
      <c r="D622" s="2" t="s">
        <v>565</v>
      </c>
      <c r="E622" s="2" t="s">
        <v>130</v>
      </c>
    </row>
    <row r="623" customFormat="false" ht="15" hidden="false" customHeight="false" outlineLevel="0" collapsed="false">
      <c r="A623" s="2" t="s">
        <v>483</v>
      </c>
      <c r="B623" s="2" t="n">
        <v>41</v>
      </c>
      <c r="C623" s="2" t="s">
        <v>132</v>
      </c>
      <c r="D623" s="2" t="s">
        <v>163</v>
      </c>
      <c r="E623" s="2" t="s">
        <v>134</v>
      </c>
    </row>
    <row r="624" customFormat="false" ht="15" hidden="false" customHeight="false" outlineLevel="0" collapsed="false">
      <c r="A624" s="2" t="s">
        <v>483</v>
      </c>
      <c r="B624" s="2" t="n">
        <v>41</v>
      </c>
      <c r="C624" s="2" t="s">
        <v>128</v>
      </c>
      <c r="D624" s="2" t="s">
        <v>566</v>
      </c>
      <c r="E624" s="2" t="s">
        <v>130</v>
      </c>
    </row>
    <row r="625" customFormat="false" ht="15" hidden="false" customHeight="false" outlineLevel="0" collapsed="false">
      <c r="A625" s="2" t="s">
        <v>483</v>
      </c>
      <c r="B625" s="2" t="n">
        <v>41</v>
      </c>
      <c r="C625" s="2" t="s">
        <v>128</v>
      </c>
      <c r="D625" s="2" t="s">
        <v>567</v>
      </c>
      <c r="E625" s="2" t="s">
        <v>130</v>
      </c>
    </row>
    <row r="626" customFormat="false" ht="15" hidden="false" customHeight="false" outlineLevel="0" collapsed="false">
      <c r="A626" s="2" t="s">
        <v>483</v>
      </c>
      <c r="B626" s="2" t="n">
        <v>41</v>
      </c>
      <c r="C626" s="2" t="s">
        <v>128</v>
      </c>
      <c r="D626" s="2" t="s">
        <v>568</v>
      </c>
      <c r="E626" s="2" t="s">
        <v>130</v>
      </c>
    </row>
    <row r="627" customFormat="false" ht="15" hidden="false" customHeight="false" outlineLevel="0" collapsed="false">
      <c r="A627" s="2" t="s">
        <v>483</v>
      </c>
      <c r="B627" s="2" t="n">
        <v>41</v>
      </c>
      <c r="C627" s="2" t="s">
        <v>128</v>
      </c>
      <c r="D627" s="2" t="s">
        <v>569</v>
      </c>
      <c r="E627" s="2" t="s">
        <v>130</v>
      </c>
    </row>
    <row r="628" customFormat="false" ht="15" hidden="false" customHeight="false" outlineLevel="0" collapsed="false">
      <c r="A628" s="2" t="s">
        <v>483</v>
      </c>
      <c r="B628" s="2" t="n">
        <v>41</v>
      </c>
      <c r="C628" s="2" t="s">
        <v>128</v>
      </c>
      <c r="D628" s="2" t="s">
        <v>570</v>
      </c>
      <c r="E628" s="2" t="s">
        <v>130</v>
      </c>
    </row>
    <row r="629" customFormat="false" ht="15" hidden="false" customHeight="false" outlineLevel="0" collapsed="false">
      <c r="A629" s="2" t="s">
        <v>483</v>
      </c>
      <c r="B629" s="2" t="n">
        <v>42</v>
      </c>
      <c r="C629" s="2" t="s">
        <v>125</v>
      </c>
      <c r="D629" s="2" t="s">
        <v>571</v>
      </c>
      <c r="E629" s="2" t="s">
        <v>127</v>
      </c>
    </row>
    <row r="630" customFormat="false" ht="15" hidden="false" customHeight="false" outlineLevel="0" collapsed="false">
      <c r="A630" s="2" t="s">
        <v>483</v>
      </c>
      <c r="B630" s="2" t="n">
        <v>42</v>
      </c>
      <c r="C630" s="2" t="s">
        <v>132</v>
      </c>
      <c r="D630" s="2" t="s">
        <v>150</v>
      </c>
      <c r="E630" s="2" t="s">
        <v>151</v>
      </c>
    </row>
    <row r="631" customFormat="false" ht="15" hidden="false" customHeight="false" outlineLevel="0" collapsed="false">
      <c r="A631" s="2" t="s">
        <v>483</v>
      </c>
      <c r="B631" s="2" t="n">
        <v>42</v>
      </c>
      <c r="C631" s="2" t="s">
        <v>128</v>
      </c>
      <c r="D631" s="2" t="s">
        <v>572</v>
      </c>
      <c r="E631" s="2" t="s">
        <v>130</v>
      </c>
    </row>
    <row r="632" customFormat="false" ht="15" hidden="false" customHeight="false" outlineLevel="0" collapsed="false">
      <c r="A632" s="2" t="s">
        <v>483</v>
      </c>
      <c r="B632" s="2" t="n">
        <v>42</v>
      </c>
      <c r="C632" s="2" t="s">
        <v>128</v>
      </c>
      <c r="D632" s="2" t="s">
        <v>573</v>
      </c>
      <c r="E632" s="2" t="s">
        <v>130</v>
      </c>
    </row>
    <row r="633" customFormat="false" ht="15" hidden="false" customHeight="false" outlineLevel="0" collapsed="false">
      <c r="A633" s="2" t="s">
        <v>483</v>
      </c>
      <c r="B633" s="2" t="n">
        <v>43</v>
      </c>
      <c r="C633" s="2" t="s">
        <v>132</v>
      </c>
      <c r="D633" s="2" t="s">
        <v>133</v>
      </c>
      <c r="E633" s="2" t="s">
        <v>134</v>
      </c>
    </row>
    <row r="634" customFormat="false" ht="15" hidden="false" customHeight="false" outlineLevel="0" collapsed="false">
      <c r="A634" s="2" t="s">
        <v>483</v>
      </c>
      <c r="B634" s="2" t="n">
        <v>43</v>
      </c>
      <c r="C634" s="2" t="s">
        <v>128</v>
      </c>
      <c r="D634" s="2" t="s">
        <v>574</v>
      </c>
      <c r="E634" s="2" t="s">
        <v>130</v>
      </c>
    </row>
    <row r="635" customFormat="false" ht="15" hidden="false" customHeight="false" outlineLevel="0" collapsed="false">
      <c r="A635" s="2" t="s">
        <v>483</v>
      </c>
      <c r="B635" s="2" t="n">
        <v>44</v>
      </c>
      <c r="C635" s="2" t="s">
        <v>132</v>
      </c>
      <c r="D635" s="2" t="s">
        <v>150</v>
      </c>
      <c r="E635" s="2" t="s">
        <v>151</v>
      </c>
    </row>
    <row r="636" customFormat="false" ht="15" hidden="false" customHeight="false" outlineLevel="0" collapsed="false">
      <c r="A636" s="2" t="s">
        <v>483</v>
      </c>
      <c r="B636" s="2" t="n">
        <v>44</v>
      </c>
      <c r="C636" s="2" t="s">
        <v>128</v>
      </c>
      <c r="D636" s="2" t="s">
        <v>575</v>
      </c>
      <c r="E636" s="2" t="s">
        <v>130</v>
      </c>
    </row>
    <row r="637" customFormat="false" ht="15" hidden="false" customHeight="false" outlineLevel="0" collapsed="false">
      <c r="A637" s="2" t="s">
        <v>483</v>
      </c>
      <c r="B637" s="2" t="n">
        <v>45</v>
      </c>
      <c r="C637" s="2" t="s">
        <v>125</v>
      </c>
      <c r="D637" s="2" t="s">
        <v>576</v>
      </c>
      <c r="E637" s="2" t="s">
        <v>127</v>
      </c>
    </row>
    <row r="638" customFormat="false" ht="15" hidden="false" customHeight="false" outlineLevel="0" collapsed="false">
      <c r="A638" s="2" t="s">
        <v>483</v>
      </c>
      <c r="B638" s="2" t="n">
        <v>45</v>
      </c>
      <c r="C638" s="2" t="s">
        <v>132</v>
      </c>
      <c r="D638" s="2" t="s">
        <v>133</v>
      </c>
      <c r="E638" s="2" t="s">
        <v>134</v>
      </c>
    </row>
    <row r="639" customFormat="false" ht="15" hidden="false" customHeight="false" outlineLevel="0" collapsed="false">
      <c r="A639" s="2" t="s">
        <v>483</v>
      </c>
      <c r="B639" s="2" t="n">
        <v>45</v>
      </c>
      <c r="C639" s="2" t="s">
        <v>128</v>
      </c>
      <c r="D639" s="2" t="s">
        <v>577</v>
      </c>
      <c r="E639" s="2" t="s">
        <v>130</v>
      </c>
    </row>
    <row r="640" customFormat="false" ht="15" hidden="false" customHeight="false" outlineLevel="0" collapsed="false">
      <c r="A640" s="2" t="s">
        <v>483</v>
      </c>
      <c r="B640" s="2" t="n">
        <v>46</v>
      </c>
      <c r="C640" s="2" t="s">
        <v>125</v>
      </c>
      <c r="D640" s="2" t="s">
        <v>578</v>
      </c>
      <c r="E640" s="2" t="s">
        <v>127</v>
      </c>
    </row>
    <row r="641" customFormat="false" ht="15" hidden="false" customHeight="false" outlineLevel="0" collapsed="false">
      <c r="A641" s="2" t="s">
        <v>483</v>
      </c>
      <c r="B641" s="2" t="n">
        <v>46</v>
      </c>
      <c r="C641" s="2" t="s">
        <v>128</v>
      </c>
      <c r="D641" s="2" t="s">
        <v>579</v>
      </c>
      <c r="E641" s="2" t="s">
        <v>130</v>
      </c>
    </row>
    <row r="642" customFormat="false" ht="15" hidden="false" customHeight="false" outlineLevel="0" collapsed="false">
      <c r="A642" s="2" t="s">
        <v>483</v>
      </c>
      <c r="B642" s="2" t="n">
        <v>46</v>
      </c>
      <c r="C642" s="2" t="s">
        <v>128</v>
      </c>
      <c r="D642" s="2" t="s">
        <v>580</v>
      </c>
      <c r="E642" s="2" t="s">
        <v>130</v>
      </c>
    </row>
    <row r="643" customFormat="false" ht="15" hidden="false" customHeight="false" outlineLevel="0" collapsed="false">
      <c r="A643" s="2" t="s">
        <v>483</v>
      </c>
      <c r="B643" s="2" t="n">
        <v>47</v>
      </c>
      <c r="C643" s="2" t="s">
        <v>128</v>
      </c>
      <c r="D643" s="2" t="s">
        <v>581</v>
      </c>
      <c r="E643" s="2" t="s">
        <v>130</v>
      </c>
    </row>
    <row r="644" customFormat="false" ht="15" hidden="false" customHeight="false" outlineLevel="0" collapsed="false">
      <c r="A644" s="2" t="s">
        <v>483</v>
      </c>
      <c r="B644" s="2" t="n">
        <v>47</v>
      </c>
      <c r="C644" s="2" t="s">
        <v>128</v>
      </c>
      <c r="D644" s="2" t="s">
        <v>582</v>
      </c>
      <c r="E644" s="2" t="s">
        <v>130</v>
      </c>
    </row>
    <row r="645" customFormat="false" ht="15" hidden="false" customHeight="false" outlineLevel="0" collapsed="false">
      <c r="A645" s="2" t="s">
        <v>483</v>
      </c>
      <c r="B645" s="2" t="n">
        <v>48</v>
      </c>
      <c r="C645" s="2" t="s">
        <v>128</v>
      </c>
      <c r="D645" s="2" t="s">
        <v>583</v>
      </c>
      <c r="E645" s="2" t="s">
        <v>130</v>
      </c>
    </row>
    <row r="646" customFormat="false" ht="15" hidden="false" customHeight="false" outlineLevel="0" collapsed="false">
      <c r="A646" s="2" t="s">
        <v>483</v>
      </c>
      <c r="B646" s="2" t="n">
        <v>49</v>
      </c>
      <c r="C646" s="2" t="s">
        <v>132</v>
      </c>
      <c r="D646" s="2" t="s">
        <v>158</v>
      </c>
      <c r="E646" s="2" t="s">
        <v>134</v>
      </c>
    </row>
    <row r="647" customFormat="false" ht="15" hidden="false" customHeight="false" outlineLevel="0" collapsed="false">
      <c r="A647" s="2" t="s">
        <v>483</v>
      </c>
      <c r="B647" s="2" t="n">
        <v>49</v>
      </c>
      <c r="C647" s="2" t="s">
        <v>128</v>
      </c>
      <c r="D647" s="2" t="s">
        <v>584</v>
      </c>
      <c r="E647" s="2" t="s">
        <v>130</v>
      </c>
    </row>
    <row r="648" customFormat="false" ht="15" hidden="false" customHeight="false" outlineLevel="0" collapsed="false">
      <c r="A648" s="2" t="s">
        <v>483</v>
      </c>
      <c r="B648" s="2" t="n">
        <v>49</v>
      </c>
      <c r="C648" s="2" t="s">
        <v>128</v>
      </c>
      <c r="D648" s="2" t="s">
        <v>585</v>
      </c>
      <c r="E648" s="2" t="s">
        <v>130</v>
      </c>
    </row>
    <row r="649" customFormat="false" ht="15" hidden="false" customHeight="false" outlineLevel="0" collapsed="false">
      <c r="A649" s="2" t="s">
        <v>483</v>
      </c>
      <c r="B649" s="2" t="n">
        <v>50</v>
      </c>
      <c r="C649" s="2" t="s">
        <v>147</v>
      </c>
      <c r="D649" s="2" t="s">
        <v>148</v>
      </c>
      <c r="E649" s="2" t="s">
        <v>149</v>
      </c>
    </row>
    <row r="650" customFormat="false" ht="15" hidden="false" customHeight="false" outlineLevel="0" collapsed="false">
      <c r="A650" s="2" t="s">
        <v>483</v>
      </c>
      <c r="B650" s="2" t="n">
        <v>51</v>
      </c>
      <c r="C650" s="2" t="s">
        <v>132</v>
      </c>
      <c r="D650" s="2" t="s">
        <v>160</v>
      </c>
      <c r="E650" s="2" t="s">
        <v>151</v>
      </c>
    </row>
    <row r="651" customFormat="false" ht="15" hidden="false" customHeight="false" outlineLevel="0" collapsed="false">
      <c r="A651" s="2" t="s">
        <v>483</v>
      </c>
      <c r="B651" s="2" t="n">
        <v>51</v>
      </c>
      <c r="C651" s="2" t="s">
        <v>128</v>
      </c>
      <c r="D651" s="2" t="s">
        <v>586</v>
      </c>
      <c r="E651" s="2" t="s">
        <v>130</v>
      </c>
    </row>
    <row r="652" customFormat="false" ht="15" hidden="false" customHeight="false" outlineLevel="0" collapsed="false">
      <c r="A652" s="2" t="s">
        <v>483</v>
      </c>
      <c r="B652" s="2" t="n">
        <v>51</v>
      </c>
      <c r="C652" s="2" t="s">
        <v>128</v>
      </c>
      <c r="D652" s="2" t="s">
        <v>587</v>
      </c>
      <c r="E652" s="2" t="s">
        <v>130</v>
      </c>
    </row>
    <row r="653" customFormat="false" ht="15" hidden="false" customHeight="false" outlineLevel="0" collapsed="false">
      <c r="A653" s="2" t="s">
        <v>483</v>
      </c>
      <c r="B653" s="2" t="n">
        <v>52</v>
      </c>
      <c r="C653" s="2" t="s">
        <v>125</v>
      </c>
      <c r="D653" s="2" t="s">
        <v>588</v>
      </c>
      <c r="E653" s="2" t="s">
        <v>127</v>
      </c>
    </row>
    <row r="654" customFormat="false" ht="15" hidden="false" customHeight="false" outlineLevel="0" collapsed="false">
      <c r="A654" s="2" t="s">
        <v>483</v>
      </c>
      <c r="B654" s="2" t="n">
        <v>52</v>
      </c>
      <c r="C654" s="2" t="s">
        <v>132</v>
      </c>
      <c r="D654" s="2" t="s">
        <v>163</v>
      </c>
      <c r="E654" s="2" t="s">
        <v>134</v>
      </c>
    </row>
    <row r="655" customFormat="false" ht="15" hidden="false" customHeight="false" outlineLevel="0" collapsed="false">
      <c r="A655" s="2" t="s">
        <v>483</v>
      </c>
      <c r="B655" s="2" t="n">
        <v>52</v>
      </c>
      <c r="C655" s="2" t="s">
        <v>128</v>
      </c>
      <c r="D655" s="2" t="s">
        <v>589</v>
      </c>
      <c r="E655" s="2" t="s">
        <v>130</v>
      </c>
    </row>
    <row r="656" customFormat="false" ht="15" hidden="false" customHeight="false" outlineLevel="0" collapsed="false">
      <c r="A656" s="2" t="s">
        <v>483</v>
      </c>
      <c r="B656" s="2" t="n">
        <v>52</v>
      </c>
      <c r="C656" s="2" t="s">
        <v>128</v>
      </c>
      <c r="D656" s="2" t="s">
        <v>590</v>
      </c>
      <c r="E656" s="2" t="s">
        <v>130</v>
      </c>
    </row>
    <row r="657" customFormat="false" ht="15" hidden="false" customHeight="false" outlineLevel="0" collapsed="false">
      <c r="A657" s="2" t="s">
        <v>483</v>
      </c>
      <c r="B657" s="2" t="n">
        <v>53</v>
      </c>
      <c r="C657" s="2" t="s">
        <v>128</v>
      </c>
      <c r="D657" s="2" t="s">
        <v>591</v>
      </c>
      <c r="E657" s="2" t="s">
        <v>130</v>
      </c>
    </row>
    <row r="658" customFormat="false" ht="15" hidden="false" customHeight="false" outlineLevel="0" collapsed="false">
      <c r="A658" s="2" t="s">
        <v>483</v>
      </c>
      <c r="B658" s="2" t="n">
        <v>54</v>
      </c>
      <c r="C658" s="2" t="s">
        <v>132</v>
      </c>
      <c r="D658" s="2" t="s">
        <v>158</v>
      </c>
      <c r="E658" s="2" t="s">
        <v>134</v>
      </c>
    </row>
    <row r="659" customFormat="false" ht="15" hidden="false" customHeight="false" outlineLevel="0" collapsed="false">
      <c r="A659" s="2" t="s">
        <v>483</v>
      </c>
      <c r="B659" s="2" t="n">
        <v>54</v>
      </c>
      <c r="C659" s="2" t="s">
        <v>128</v>
      </c>
      <c r="D659" s="2" t="s">
        <v>592</v>
      </c>
      <c r="E659" s="2" t="s">
        <v>130</v>
      </c>
    </row>
    <row r="660" customFormat="false" ht="15" hidden="false" customHeight="false" outlineLevel="0" collapsed="false">
      <c r="A660" s="2" t="s">
        <v>483</v>
      </c>
      <c r="B660" s="2" t="n">
        <v>54</v>
      </c>
      <c r="C660" s="2" t="s">
        <v>128</v>
      </c>
      <c r="D660" s="2" t="s">
        <v>593</v>
      </c>
      <c r="E660" s="2" t="s">
        <v>130</v>
      </c>
    </row>
    <row r="661" customFormat="false" ht="15" hidden="false" customHeight="false" outlineLevel="0" collapsed="false">
      <c r="A661" s="2" t="s">
        <v>483</v>
      </c>
      <c r="B661" s="2" t="n">
        <v>55</v>
      </c>
      <c r="C661" s="2" t="s">
        <v>128</v>
      </c>
      <c r="D661" s="2" t="s">
        <v>594</v>
      </c>
      <c r="E661" s="2" t="s">
        <v>130</v>
      </c>
    </row>
    <row r="662" customFormat="false" ht="15" hidden="false" customHeight="false" outlineLevel="0" collapsed="false">
      <c r="A662" s="2" t="s">
        <v>483</v>
      </c>
      <c r="B662" s="2" t="n">
        <v>55</v>
      </c>
      <c r="C662" s="2" t="s">
        <v>128</v>
      </c>
      <c r="D662" s="2" t="s">
        <v>595</v>
      </c>
      <c r="E662" s="2" t="s">
        <v>130</v>
      </c>
    </row>
    <row r="663" customFormat="false" ht="15" hidden="false" customHeight="false" outlineLevel="0" collapsed="false">
      <c r="A663" s="2" t="s">
        <v>483</v>
      </c>
      <c r="B663" s="2" t="n">
        <v>56</v>
      </c>
      <c r="C663" s="2" t="s">
        <v>132</v>
      </c>
      <c r="D663" s="2" t="s">
        <v>133</v>
      </c>
      <c r="E663" s="2" t="s">
        <v>134</v>
      </c>
    </row>
    <row r="664" customFormat="false" ht="15" hidden="false" customHeight="false" outlineLevel="0" collapsed="false">
      <c r="A664" s="2" t="s">
        <v>483</v>
      </c>
      <c r="B664" s="2" t="n">
        <v>56</v>
      </c>
      <c r="C664" s="2" t="s">
        <v>128</v>
      </c>
      <c r="D664" s="2" t="s">
        <v>596</v>
      </c>
      <c r="E664" s="2" t="s">
        <v>130</v>
      </c>
    </row>
    <row r="665" customFormat="false" ht="15" hidden="false" customHeight="false" outlineLevel="0" collapsed="false">
      <c r="A665" s="2" t="s">
        <v>483</v>
      </c>
      <c r="B665" s="2" t="n">
        <v>56</v>
      </c>
      <c r="C665" s="2" t="s">
        <v>128</v>
      </c>
      <c r="D665" s="2" t="s">
        <v>597</v>
      </c>
      <c r="E665" s="2" t="s">
        <v>130</v>
      </c>
    </row>
    <row r="666" customFormat="false" ht="15" hidden="false" customHeight="false" outlineLevel="0" collapsed="false">
      <c r="A666" s="2" t="s">
        <v>483</v>
      </c>
      <c r="B666" s="2" t="n">
        <v>57</v>
      </c>
      <c r="C666" s="2" t="s">
        <v>125</v>
      </c>
      <c r="D666" s="2" t="s">
        <v>598</v>
      </c>
      <c r="E666" s="2" t="s">
        <v>127</v>
      </c>
    </row>
    <row r="667" customFormat="false" ht="15" hidden="false" customHeight="false" outlineLevel="0" collapsed="false">
      <c r="A667" s="2" t="s">
        <v>483</v>
      </c>
      <c r="B667" s="2" t="n">
        <v>58</v>
      </c>
      <c r="C667" s="2" t="s">
        <v>132</v>
      </c>
      <c r="D667" s="2" t="s">
        <v>163</v>
      </c>
      <c r="E667" s="2" t="s">
        <v>134</v>
      </c>
    </row>
    <row r="668" customFormat="false" ht="15" hidden="false" customHeight="false" outlineLevel="0" collapsed="false">
      <c r="A668" s="2" t="s">
        <v>483</v>
      </c>
      <c r="B668" s="2" t="n">
        <v>58</v>
      </c>
      <c r="C668" s="2" t="s">
        <v>128</v>
      </c>
      <c r="D668" s="2" t="s">
        <v>599</v>
      </c>
      <c r="E668" s="2" t="s">
        <v>130</v>
      </c>
    </row>
    <row r="669" customFormat="false" ht="15" hidden="false" customHeight="false" outlineLevel="0" collapsed="false">
      <c r="A669" s="2" t="s">
        <v>483</v>
      </c>
      <c r="B669" s="2" t="n">
        <v>58</v>
      </c>
      <c r="C669" s="2" t="s">
        <v>128</v>
      </c>
      <c r="D669" s="2" t="s">
        <v>600</v>
      </c>
      <c r="E669" s="2" t="s">
        <v>130</v>
      </c>
    </row>
    <row r="670" customFormat="false" ht="15" hidden="false" customHeight="false" outlineLevel="0" collapsed="false">
      <c r="A670" s="2" t="s">
        <v>483</v>
      </c>
      <c r="B670" s="2" t="n">
        <v>58</v>
      </c>
      <c r="C670" s="2" t="s">
        <v>128</v>
      </c>
      <c r="D670" s="2" t="s">
        <v>601</v>
      </c>
      <c r="E670" s="2" t="s">
        <v>130</v>
      </c>
    </row>
    <row r="671" customFormat="false" ht="15" hidden="false" customHeight="false" outlineLevel="0" collapsed="false">
      <c r="A671" s="2" t="s">
        <v>483</v>
      </c>
      <c r="B671" s="2" t="n">
        <v>59</v>
      </c>
      <c r="C671" s="2" t="s">
        <v>125</v>
      </c>
      <c r="D671" s="2" t="s">
        <v>602</v>
      </c>
      <c r="E671" s="2" t="s">
        <v>127</v>
      </c>
    </row>
    <row r="672" customFormat="false" ht="15" hidden="false" customHeight="false" outlineLevel="0" collapsed="false">
      <c r="A672" s="2" t="s">
        <v>483</v>
      </c>
      <c r="B672" s="2" t="n">
        <v>59</v>
      </c>
      <c r="C672" s="2" t="s">
        <v>128</v>
      </c>
      <c r="D672" s="2" t="s">
        <v>603</v>
      </c>
      <c r="E672" s="2" t="s">
        <v>130</v>
      </c>
    </row>
    <row r="673" customFormat="false" ht="15" hidden="false" customHeight="false" outlineLevel="0" collapsed="false">
      <c r="A673" s="2" t="s">
        <v>483</v>
      </c>
      <c r="B673" s="2" t="n">
        <v>59</v>
      </c>
      <c r="C673" s="2" t="s">
        <v>128</v>
      </c>
      <c r="D673" s="2" t="s">
        <v>604</v>
      </c>
      <c r="E673" s="2" t="s">
        <v>130</v>
      </c>
    </row>
    <row r="674" customFormat="false" ht="15" hidden="false" customHeight="false" outlineLevel="0" collapsed="false">
      <c r="A674" s="2" t="s">
        <v>483</v>
      </c>
      <c r="B674" s="2" t="n">
        <v>60</v>
      </c>
      <c r="C674" s="2" t="s">
        <v>132</v>
      </c>
      <c r="D674" s="2" t="s">
        <v>158</v>
      </c>
      <c r="E674" s="2" t="s">
        <v>134</v>
      </c>
    </row>
    <row r="675" customFormat="false" ht="15" hidden="false" customHeight="false" outlineLevel="0" collapsed="false">
      <c r="A675" s="2" t="s">
        <v>483</v>
      </c>
      <c r="B675" s="2" t="n">
        <v>60</v>
      </c>
      <c r="C675" s="2" t="s">
        <v>128</v>
      </c>
      <c r="D675" s="2" t="s">
        <v>605</v>
      </c>
      <c r="E675" s="2" t="s">
        <v>130</v>
      </c>
    </row>
    <row r="676" customFormat="false" ht="15" hidden="false" customHeight="false" outlineLevel="0" collapsed="false">
      <c r="A676" s="2" t="s">
        <v>483</v>
      </c>
      <c r="B676" s="2" t="n">
        <v>62</v>
      </c>
      <c r="C676" s="2" t="s">
        <v>147</v>
      </c>
      <c r="D676" s="2" t="s">
        <v>221</v>
      </c>
      <c r="E676" s="2" t="s">
        <v>149</v>
      </c>
    </row>
    <row r="677" customFormat="false" ht="15" hidden="false" customHeight="false" outlineLevel="0" collapsed="false">
      <c r="A677" s="2" t="s">
        <v>121</v>
      </c>
      <c r="B677" s="2" t="n">
        <v>25</v>
      </c>
      <c r="C677" s="2" t="s">
        <v>606</v>
      </c>
      <c r="D677" s="2" t="s">
        <v>607</v>
      </c>
      <c r="E677" s="2" t="s">
        <v>608</v>
      </c>
    </row>
    <row r="678" customFormat="false" ht="15" hidden="false" customHeight="false" outlineLevel="0" collapsed="false">
      <c r="A678" s="2" t="s">
        <v>222</v>
      </c>
      <c r="B678" s="2" t="n">
        <v>8</v>
      </c>
      <c r="C678" s="2" t="s">
        <v>606</v>
      </c>
      <c r="D678" s="2" t="s">
        <v>609</v>
      </c>
      <c r="E678" s="2" t="s">
        <v>608</v>
      </c>
    </row>
    <row r="679" customFormat="false" ht="15" hidden="false" customHeight="false" outlineLevel="0" collapsed="false">
      <c r="A679" s="2" t="s">
        <v>308</v>
      </c>
      <c r="B679" s="2" t="n">
        <v>29</v>
      </c>
      <c r="C679" s="2" t="s">
        <v>606</v>
      </c>
      <c r="D679" s="2" t="s">
        <v>610</v>
      </c>
      <c r="E679" s="2" t="s">
        <v>608</v>
      </c>
    </row>
    <row r="680" customFormat="false" ht="15" hidden="false" customHeight="false" outlineLevel="0" collapsed="false">
      <c r="A680" s="2" t="s">
        <v>308</v>
      </c>
      <c r="B680" s="2" t="n">
        <v>32</v>
      </c>
      <c r="C680" s="2" t="s">
        <v>606</v>
      </c>
      <c r="D680" s="2" t="s">
        <v>611</v>
      </c>
      <c r="E680" s="2" t="s">
        <v>608</v>
      </c>
    </row>
    <row r="681" customFormat="false" ht="15" hidden="false" customHeight="false" outlineLevel="0" collapsed="false">
      <c r="A681" s="2" t="s">
        <v>308</v>
      </c>
      <c r="B681" s="2" t="n">
        <v>58</v>
      </c>
      <c r="C681" s="2" t="s">
        <v>606</v>
      </c>
      <c r="D681" s="2" t="s">
        <v>612</v>
      </c>
      <c r="E681" s="2" t="s">
        <v>608</v>
      </c>
    </row>
    <row r="682" customFormat="false" ht="15" hidden="false" customHeight="false" outlineLevel="0" collapsed="false">
      <c r="A682" s="2" t="s">
        <v>308</v>
      </c>
      <c r="B682" s="2" t="n">
        <v>60</v>
      </c>
      <c r="C682" s="2" t="s">
        <v>606</v>
      </c>
      <c r="D682" s="2" t="s">
        <v>613</v>
      </c>
      <c r="E682" s="2" t="s">
        <v>608</v>
      </c>
    </row>
    <row r="683" customFormat="false" ht="15" hidden="false" customHeight="false" outlineLevel="0" collapsed="false">
      <c r="A683" s="2" t="s">
        <v>397</v>
      </c>
      <c r="B683" s="2" t="n">
        <v>43</v>
      </c>
      <c r="C683" s="2" t="s">
        <v>606</v>
      </c>
      <c r="D683" s="2" t="s">
        <v>614</v>
      </c>
      <c r="E683" s="2" t="s">
        <v>608</v>
      </c>
    </row>
    <row r="684" customFormat="false" ht="15" hidden="false" customHeight="false" outlineLevel="0" collapsed="false">
      <c r="A684" s="2" t="s">
        <v>483</v>
      </c>
      <c r="B684" s="2" t="n">
        <v>26</v>
      </c>
      <c r="C684" s="2" t="s">
        <v>606</v>
      </c>
      <c r="D684" s="2" t="s">
        <v>615</v>
      </c>
      <c r="E684" s="2" t="s">
        <v>608</v>
      </c>
    </row>
    <row r="685" customFormat="false" ht="15" hidden="false" customHeight="false" outlineLevel="0" collapsed="false">
      <c r="A685" s="2" t="s">
        <v>616</v>
      </c>
      <c r="B685" s="2" t="n">
        <v>2</v>
      </c>
      <c r="C685" s="2" t="s">
        <v>617</v>
      </c>
      <c r="D685" s="2" t="s">
        <v>618</v>
      </c>
      <c r="E685" s="2" t="s">
        <v>619</v>
      </c>
    </row>
    <row r="686" customFormat="false" ht="15" hidden="false" customHeight="false" outlineLevel="0" collapsed="false">
      <c r="A686" s="2" t="s">
        <v>616</v>
      </c>
      <c r="B686" s="2" t="n">
        <v>3</v>
      </c>
      <c r="C686" s="2" t="s">
        <v>617</v>
      </c>
      <c r="D686" s="2" t="s">
        <v>620</v>
      </c>
      <c r="E686" s="2" t="s">
        <v>621</v>
      </c>
    </row>
    <row r="687" customFormat="false" ht="15" hidden="false" customHeight="false" outlineLevel="0" collapsed="false">
      <c r="A687" s="2" t="s">
        <v>616</v>
      </c>
      <c r="B687" s="2" t="n">
        <v>5</v>
      </c>
      <c r="C687" s="2" t="s">
        <v>617</v>
      </c>
      <c r="D687" s="2" t="s">
        <v>622</v>
      </c>
      <c r="E687" s="2" t="s">
        <v>623</v>
      </c>
    </row>
    <row r="688" customFormat="false" ht="15" hidden="false" customHeight="false" outlineLevel="0" collapsed="false">
      <c r="A688" s="2" t="s">
        <v>616</v>
      </c>
      <c r="B688" s="2" t="n">
        <v>6</v>
      </c>
      <c r="C688" s="2" t="s">
        <v>128</v>
      </c>
      <c r="D688" s="2" t="s">
        <v>624</v>
      </c>
      <c r="E688" s="2" t="s">
        <v>130</v>
      </c>
    </row>
    <row r="689" customFormat="false" ht="15" hidden="false" customHeight="false" outlineLevel="0" collapsed="false">
      <c r="A689" s="2" t="s">
        <v>616</v>
      </c>
      <c r="B689" s="2" t="n">
        <v>7</v>
      </c>
      <c r="C689" s="2" t="s">
        <v>125</v>
      </c>
      <c r="D689" s="2" t="s">
        <v>625</v>
      </c>
      <c r="E689" s="2" t="s">
        <v>127</v>
      </c>
    </row>
    <row r="690" customFormat="false" ht="15" hidden="false" customHeight="false" outlineLevel="0" collapsed="false">
      <c r="A690" s="2" t="s">
        <v>616</v>
      </c>
      <c r="B690" s="2" t="n">
        <v>7</v>
      </c>
      <c r="C690" s="2" t="s">
        <v>617</v>
      </c>
      <c r="D690" s="2" t="s">
        <v>626</v>
      </c>
      <c r="E690" s="2" t="s">
        <v>627</v>
      </c>
    </row>
    <row r="691" customFormat="false" ht="15" hidden="false" customHeight="false" outlineLevel="0" collapsed="false">
      <c r="A691" s="2" t="s">
        <v>616</v>
      </c>
      <c r="B691" s="2" t="n">
        <v>7</v>
      </c>
      <c r="C691" s="2" t="s">
        <v>128</v>
      </c>
      <c r="D691" s="2" t="s">
        <v>628</v>
      </c>
      <c r="E691" s="2" t="s">
        <v>130</v>
      </c>
    </row>
    <row r="692" customFormat="false" ht="15" hidden="false" customHeight="false" outlineLevel="0" collapsed="false">
      <c r="A692" s="2" t="s">
        <v>616</v>
      </c>
      <c r="B692" s="2" t="n">
        <v>8</v>
      </c>
      <c r="C692" s="2" t="s">
        <v>617</v>
      </c>
      <c r="D692" s="2" t="s">
        <v>629</v>
      </c>
      <c r="E692" s="2" t="s">
        <v>630</v>
      </c>
    </row>
    <row r="693" customFormat="false" ht="15" hidden="false" customHeight="false" outlineLevel="0" collapsed="false">
      <c r="A693" s="2" t="s">
        <v>616</v>
      </c>
      <c r="B693" s="2" t="n">
        <v>10</v>
      </c>
      <c r="C693" s="2" t="s">
        <v>125</v>
      </c>
      <c r="D693" s="2" t="s">
        <v>631</v>
      </c>
      <c r="E693" s="2" t="s">
        <v>127</v>
      </c>
    </row>
    <row r="694" customFormat="false" ht="15" hidden="false" customHeight="false" outlineLevel="0" collapsed="false">
      <c r="A694" s="2" t="s">
        <v>616</v>
      </c>
      <c r="B694" s="2" t="n">
        <v>10</v>
      </c>
      <c r="C694" s="2" t="s">
        <v>617</v>
      </c>
      <c r="D694" s="2" t="s">
        <v>632</v>
      </c>
      <c r="E694" s="2" t="s">
        <v>633</v>
      </c>
    </row>
    <row r="695" customFormat="false" ht="15" hidden="false" customHeight="false" outlineLevel="0" collapsed="false">
      <c r="A695" s="2" t="s">
        <v>616</v>
      </c>
      <c r="B695" s="2" t="n">
        <v>11</v>
      </c>
      <c r="C695" s="2" t="s">
        <v>125</v>
      </c>
      <c r="D695" s="2" t="s">
        <v>631</v>
      </c>
      <c r="E695" s="2" t="s">
        <v>127</v>
      </c>
    </row>
    <row r="696" customFormat="false" ht="15" hidden="false" customHeight="false" outlineLevel="0" collapsed="false">
      <c r="A696" s="2" t="s">
        <v>616</v>
      </c>
      <c r="B696" s="2" t="n">
        <v>12</v>
      </c>
      <c r="C696" s="2" t="s">
        <v>125</v>
      </c>
      <c r="D696" s="2" t="s">
        <v>631</v>
      </c>
      <c r="E696" s="2" t="s">
        <v>127</v>
      </c>
    </row>
    <row r="697" customFormat="false" ht="15" hidden="false" customHeight="false" outlineLevel="0" collapsed="false">
      <c r="A697" s="2" t="s">
        <v>616</v>
      </c>
      <c r="B697" s="2" t="n">
        <v>12</v>
      </c>
      <c r="C697" s="2" t="s">
        <v>617</v>
      </c>
      <c r="D697" s="2" t="s">
        <v>634</v>
      </c>
      <c r="E697" s="2" t="s">
        <v>635</v>
      </c>
    </row>
    <row r="698" customFormat="false" ht="15" hidden="false" customHeight="false" outlineLevel="0" collapsed="false">
      <c r="A698" s="2" t="s">
        <v>616</v>
      </c>
      <c r="B698" s="2" t="n">
        <v>12</v>
      </c>
      <c r="C698" s="2" t="s">
        <v>128</v>
      </c>
      <c r="D698" s="2" t="s">
        <v>636</v>
      </c>
      <c r="E698" s="2" t="s">
        <v>130</v>
      </c>
    </row>
    <row r="699" customFormat="false" ht="15" hidden="false" customHeight="false" outlineLevel="0" collapsed="false">
      <c r="A699" s="2" t="s">
        <v>616</v>
      </c>
      <c r="B699" s="2" t="n">
        <v>14</v>
      </c>
      <c r="C699" s="2" t="s">
        <v>617</v>
      </c>
      <c r="D699" s="2" t="s">
        <v>637</v>
      </c>
      <c r="E699" s="2" t="s">
        <v>638</v>
      </c>
    </row>
    <row r="700" customFormat="false" ht="15" hidden="false" customHeight="false" outlineLevel="0" collapsed="false">
      <c r="A700" s="2" t="s">
        <v>616</v>
      </c>
      <c r="B700" s="2" t="n">
        <v>14</v>
      </c>
      <c r="C700" s="2" t="s">
        <v>128</v>
      </c>
      <c r="D700" s="2" t="s">
        <v>639</v>
      </c>
      <c r="E700" s="2" t="s">
        <v>130</v>
      </c>
    </row>
    <row r="701" customFormat="false" ht="15" hidden="false" customHeight="false" outlineLevel="0" collapsed="false">
      <c r="A701" s="2" t="s">
        <v>616</v>
      </c>
      <c r="B701" s="2" t="n">
        <v>16</v>
      </c>
      <c r="C701" s="2" t="s">
        <v>617</v>
      </c>
      <c r="D701" s="2" t="s">
        <v>640</v>
      </c>
      <c r="E701" s="2" t="s">
        <v>619</v>
      </c>
    </row>
    <row r="702" customFormat="false" ht="15" hidden="false" customHeight="false" outlineLevel="0" collapsed="false">
      <c r="A702" s="2" t="s">
        <v>616</v>
      </c>
      <c r="B702" s="2" t="n">
        <v>17</v>
      </c>
      <c r="C702" s="2" t="s">
        <v>617</v>
      </c>
      <c r="D702" s="2" t="s">
        <v>637</v>
      </c>
      <c r="E702" s="2" t="s">
        <v>638</v>
      </c>
    </row>
    <row r="703" customFormat="false" ht="15" hidden="false" customHeight="false" outlineLevel="0" collapsed="false">
      <c r="A703" s="2" t="s">
        <v>616</v>
      </c>
      <c r="B703" s="2" t="n">
        <v>18</v>
      </c>
      <c r="C703" s="2" t="s">
        <v>617</v>
      </c>
      <c r="D703" s="2" t="s">
        <v>641</v>
      </c>
      <c r="E703" s="2" t="s">
        <v>630</v>
      </c>
    </row>
    <row r="704" customFormat="false" ht="15" hidden="false" customHeight="false" outlineLevel="0" collapsed="false">
      <c r="A704" s="2" t="s">
        <v>616</v>
      </c>
      <c r="B704" s="2" t="n">
        <v>19</v>
      </c>
      <c r="C704" s="2" t="s">
        <v>125</v>
      </c>
      <c r="D704" s="2" t="s">
        <v>642</v>
      </c>
      <c r="E704" s="2" t="s">
        <v>127</v>
      </c>
    </row>
    <row r="705" customFormat="false" ht="15" hidden="false" customHeight="false" outlineLevel="0" collapsed="false">
      <c r="A705" s="2" t="s">
        <v>616</v>
      </c>
      <c r="B705" s="2" t="n">
        <v>19</v>
      </c>
      <c r="C705" s="2" t="s">
        <v>617</v>
      </c>
      <c r="D705" s="2" t="s">
        <v>643</v>
      </c>
      <c r="E705" s="2" t="s">
        <v>644</v>
      </c>
    </row>
    <row r="706" customFormat="false" ht="15" hidden="false" customHeight="false" outlineLevel="0" collapsed="false">
      <c r="A706" s="2" t="s">
        <v>616</v>
      </c>
      <c r="B706" s="2" t="n">
        <v>19</v>
      </c>
      <c r="C706" s="2" t="s">
        <v>128</v>
      </c>
      <c r="D706" s="2" t="s">
        <v>645</v>
      </c>
      <c r="E706" s="2" t="s">
        <v>130</v>
      </c>
    </row>
    <row r="707" customFormat="false" ht="15" hidden="false" customHeight="false" outlineLevel="0" collapsed="false">
      <c r="A707" s="2" t="s">
        <v>616</v>
      </c>
      <c r="B707" s="2" t="n">
        <v>22</v>
      </c>
      <c r="C707" s="2" t="s">
        <v>125</v>
      </c>
      <c r="D707" s="2" t="s">
        <v>162</v>
      </c>
      <c r="E707" s="2" t="s">
        <v>127</v>
      </c>
    </row>
    <row r="708" customFormat="false" ht="15" hidden="false" customHeight="false" outlineLevel="0" collapsed="false">
      <c r="A708" s="2" t="s">
        <v>616</v>
      </c>
      <c r="B708" s="2" t="n">
        <v>22</v>
      </c>
      <c r="C708" s="2" t="s">
        <v>617</v>
      </c>
      <c r="D708" s="2" t="s">
        <v>634</v>
      </c>
      <c r="E708" s="2" t="s">
        <v>635</v>
      </c>
    </row>
    <row r="709" customFormat="false" ht="15" hidden="false" customHeight="false" outlineLevel="0" collapsed="false">
      <c r="A709" s="2" t="s">
        <v>616</v>
      </c>
      <c r="B709" s="2" t="n">
        <v>23</v>
      </c>
      <c r="C709" s="2" t="s">
        <v>617</v>
      </c>
      <c r="D709" s="2" t="s">
        <v>646</v>
      </c>
      <c r="E709" s="2" t="s">
        <v>647</v>
      </c>
    </row>
    <row r="710" customFormat="false" ht="15" hidden="false" customHeight="false" outlineLevel="0" collapsed="false">
      <c r="A710" s="2" t="s">
        <v>616</v>
      </c>
      <c r="B710" s="2" t="n">
        <v>24</v>
      </c>
      <c r="C710" s="2" t="s">
        <v>125</v>
      </c>
      <c r="D710" s="2" t="s">
        <v>648</v>
      </c>
      <c r="E710" s="2" t="s">
        <v>127</v>
      </c>
    </row>
    <row r="711" customFormat="false" ht="15" hidden="false" customHeight="false" outlineLevel="0" collapsed="false">
      <c r="A711" s="2" t="s">
        <v>616</v>
      </c>
      <c r="B711" s="2" t="n">
        <v>24</v>
      </c>
      <c r="C711" s="2" t="s">
        <v>617</v>
      </c>
      <c r="D711" s="2" t="s">
        <v>649</v>
      </c>
      <c r="E711" s="2" t="s">
        <v>650</v>
      </c>
    </row>
    <row r="712" customFormat="false" ht="15" hidden="false" customHeight="false" outlineLevel="0" collapsed="false">
      <c r="A712" s="2" t="s">
        <v>616</v>
      </c>
      <c r="B712" s="2" t="n">
        <v>25</v>
      </c>
      <c r="C712" s="2" t="s">
        <v>128</v>
      </c>
      <c r="D712" s="2" t="s">
        <v>651</v>
      </c>
      <c r="E712" s="2" t="s">
        <v>130</v>
      </c>
    </row>
    <row r="713" customFormat="false" ht="15" hidden="false" customHeight="false" outlineLevel="0" collapsed="false">
      <c r="A713" s="2" t="s">
        <v>616</v>
      </c>
      <c r="B713" s="2" t="n">
        <v>26</v>
      </c>
      <c r="C713" s="2" t="s">
        <v>128</v>
      </c>
      <c r="D713" s="2" t="s">
        <v>652</v>
      </c>
      <c r="E713" s="2" t="s">
        <v>130</v>
      </c>
    </row>
    <row r="714" customFormat="false" ht="15" hidden="false" customHeight="false" outlineLevel="0" collapsed="false">
      <c r="A714" s="2" t="s">
        <v>616</v>
      </c>
      <c r="B714" s="2" t="n">
        <v>27</v>
      </c>
      <c r="C714" s="2" t="s">
        <v>125</v>
      </c>
      <c r="D714" s="2" t="s">
        <v>653</v>
      </c>
      <c r="E714" s="2" t="s">
        <v>127</v>
      </c>
    </row>
    <row r="715" customFormat="false" ht="15" hidden="false" customHeight="false" outlineLevel="0" collapsed="false">
      <c r="A715" s="2" t="s">
        <v>616</v>
      </c>
      <c r="B715" s="2" t="n">
        <v>27</v>
      </c>
      <c r="C715" s="2" t="s">
        <v>617</v>
      </c>
      <c r="D715" s="2" t="s">
        <v>622</v>
      </c>
      <c r="E715" s="2" t="s">
        <v>623</v>
      </c>
    </row>
    <row r="716" customFormat="false" ht="15" hidden="false" customHeight="false" outlineLevel="0" collapsed="false">
      <c r="A716" s="2" t="s">
        <v>616</v>
      </c>
      <c r="B716" s="2" t="n">
        <v>28</v>
      </c>
      <c r="C716" s="2" t="s">
        <v>617</v>
      </c>
      <c r="D716" s="2" t="s">
        <v>654</v>
      </c>
      <c r="E716" s="2" t="s">
        <v>621</v>
      </c>
    </row>
    <row r="717" customFormat="false" ht="15" hidden="false" customHeight="false" outlineLevel="0" collapsed="false">
      <c r="A717" s="2" t="s">
        <v>616</v>
      </c>
      <c r="B717" s="2" t="n">
        <v>29</v>
      </c>
      <c r="C717" s="2" t="s">
        <v>617</v>
      </c>
      <c r="D717" s="2" t="s">
        <v>637</v>
      </c>
      <c r="E717" s="2" t="s">
        <v>638</v>
      </c>
    </row>
    <row r="718" customFormat="false" ht="15" hidden="false" customHeight="false" outlineLevel="0" collapsed="false">
      <c r="A718" s="2" t="s">
        <v>616</v>
      </c>
      <c r="B718" s="2" t="n">
        <v>29</v>
      </c>
      <c r="C718" s="2" t="s">
        <v>128</v>
      </c>
      <c r="D718" s="2" t="s">
        <v>655</v>
      </c>
      <c r="E718" s="2" t="s">
        <v>130</v>
      </c>
    </row>
    <row r="719" customFormat="false" ht="15" hidden="false" customHeight="false" outlineLevel="0" collapsed="false">
      <c r="A719" s="2" t="s">
        <v>616</v>
      </c>
      <c r="B719" s="2" t="n">
        <v>30</v>
      </c>
      <c r="C719" s="2" t="s">
        <v>617</v>
      </c>
      <c r="D719" s="2" t="s">
        <v>656</v>
      </c>
      <c r="E719" s="2" t="s">
        <v>657</v>
      </c>
    </row>
    <row r="720" customFormat="false" ht="15" hidden="false" customHeight="false" outlineLevel="0" collapsed="false">
      <c r="A720" s="2" t="s">
        <v>616</v>
      </c>
      <c r="B720" s="2" t="n">
        <v>31</v>
      </c>
      <c r="C720" s="2" t="s">
        <v>617</v>
      </c>
      <c r="D720" s="2" t="s">
        <v>658</v>
      </c>
      <c r="E720" s="2" t="s">
        <v>619</v>
      </c>
    </row>
    <row r="721" customFormat="false" ht="15" hidden="false" customHeight="false" outlineLevel="0" collapsed="false">
      <c r="A721" s="2" t="s">
        <v>616</v>
      </c>
      <c r="B721" s="2" t="n">
        <v>31</v>
      </c>
      <c r="C721" s="2" t="s">
        <v>128</v>
      </c>
      <c r="D721" s="2" t="s">
        <v>659</v>
      </c>
      <c r="E721" s="2" t="s">
        <v>130</v>
      </c>
    </row>
    <row r="722" customFormat="false" ht="15" hidden="false" customHeight="false" outlineLevel="0" collapsed="false">
      <c r="A722" s="2" t="s">
        <v>616</v>
      </c>
      <c r="B722" s="2" t="n">
        <v>33</v>
      </c>
      <c r="C722" s="2" t="s">
        <v>125</v>
      </c>
      <c r="D722" s="2" t="s">
        <v>660</v>
      </c>
      <c r="E722" s="2" t="s">
        <v>127</v>
      </c>
    </row>
    <row r="723" customFormat="false" ht="15" hidden="false" customHeight="false" outlineLevel="0" collapsed="false">
      <c r="A723" s="2" t="s">
        <v>616</v>
      </c>
      <c r="B723" s="2" t="n">
        <v>33</v>
      </c>
      <c r="C723" s="2" t="s">
        <v>617</v>
      </c>
      <c r="D723" s="2" t="s">
        <v>629</v>
      </c>
      <c r="E723" s="2" t="s">
        <v>630</v>
      </c>
    </row>
    <row r="724" customFormat="false" ht="15" hidden="false" customHeight="false" outlineLevel="0" collapsed="false">
      <c r="A724" s="2" t="s">
        <v>616</v>
      </c>
      <c r="B724" s="2" t="n">
        <v>34</v>
      </c>
      <c r="C724" s="2" t="s">
        <v>617</v>
      </c>
      <c r="D724" s="2" t="s">
        <v>661</v>
      </c>
      <c r="E724" s="2" t="s">
        <v>638</v>
      </c>
    </row>
    <row r="725" customFormat="false" ht="15" hidden="false" customHeight="false" outlineLevel="0" collapsed="false">
      <c r="A725" s="2" t="s">
        <v>616</v>
      </c>
      <c r="B725" s="2" t="n">
        <v>35</v>
      </c>
      <c r="C725" s="2" t="s">
        <v>617</v>
      </c>
      <c r="D725" s="2" t="s">
        <v>662</v>
      </c>
      <c r="E725" s="2" t="s">
        <v>647</v>
      </c>
    </row>
    <row r="726" customFormat="false" ht="15" hidden="false" customHeight="false" outlineLevel="0" collapsed="false">
      <c r="A726" s="2" t="s">
        <v>616</v>
      </c>
      <c r="B726" s="2" t="n">
        <v>36</v>
      </c>
      <c r="C726" s="2" t="s">
        <v>125</v>
      </c>
      <c r="D726" s="2" t="s">
        <v>663</v>
      </c>
      <c r="E726" s="2" t="s">
        <v>127</v>
      </c>
    </row>
    <row r="727" customFormat="false" ht="15" hidden="false" customHeight="false" outlineLevel="0" collapsed="false">
      <c r="A727" s="2" t="s">
        <v>616</v>
      </c>
      <c r="B727" s="2" t="n">
        <v>36</v>
      </c>
      <c r="C727" s="2" t="s">
        <v>617</v>
      </c>
      <c r="D727" s="2" t="s">
        <v>643</v>
      </c>
      <c r="E727" s="2" t="s">
        <v>644</v>
      </c>
    </row>
    <row r="728" customFormat="false" ht="15" hidden="false" customHeight="false" outlineLevel="0" collapsed="false">
      <c r="A728" s="2" t="s">
        <v>616</v>
      </c>
      <c r="B728" s="2" t="n">
        <v>37</v>
      </c>
      <c r="C728" s="2" t="s">
        <v>617</v>
      </c>
      <c r="D728" s="2" t="s">
        <v>664</v>
      </c>
      <c r="E728" s="2" t="s">
        <v>665</v>
      </c>
    </row>
    <row r="729" customFormat="false" ht="15" hidden="false" customHeight="false" outlineLevel="0" collapsed="false">
      <c r="A729" s="2" t="s">
        <v>616</v>
      </c>
      <c r="B729" s="2" t="n">
        <v>38</v>
      </c>
      <c r="C729" s="2" t="s">
        <v>617</v>
      </c>
      <c r="D729" s="2" t="s">
        <v>666</v>
      </c>
      <c r="E729" s="2" t="s">
        <v>621</v>
      </c>
    </row>
    <row r="730" customFormat="false" ht="15" hidden="false" customHeight="false" outlineLevel="0" collapsed="false">
      <c r="A730" s="2" t="s">
        <v>616</v>
      </c>
      <c r="B730" s="2" t="n">
        <v>39</v>
      </c>
      <c r="C730" s="2" t="s">
        <v>125</v>
      </c>
      <c r="D730" s="2" t="s">
        <v>667</v>
      </c>
      <c r="E730" s="2" t="s">
        <v>127</v>
      </c>
    </row>
    <row r="731" customFormat="false" ht="15" hidden="false" customHeight="false" outlineLevel="0" collapsed="false">
      <c r="A731" s="2" t="s">
        <v>616</v>
      </c>
      <c r="B731" s="2" t="n">
        <v>39</v>
      </c>
      <c r="C731" s="2" t="s">
        <v>617</v>
      </c>
      <c r="D731" s="2" t="s">
        <v>668</v>
      </c>
      <c r="E731" s="2" t="s">
        <v>650</v>
      </c>
    </row>
    <row r="732" customFormat="false" ht="15" hidden="false" customHeight="false" outlineLevel="0" collapsed="false">
      <c r="A732" s="2" t="s">
        <v>616</v>
      </c>
      <c r="B732" s="2" t="n">
        <v>39</v>
      </c>
      <c r="C732" s="2" t="s">
        <v>128</v>
      </c>
      <c r="D732" s="2" t="s">
        <v>669</v>
      </c>
      <c r="E732" s="2" t="s">
        <v>130</v>
      </c>
    </row>
    <row r="733" customFormat="false" ht="15" hidden="false" customHeight="false" outlineLevel="0" collapsed="false">
      <c r="A733" s="2" t="s">
        <v>616</v>
      </c>
      <c r="B733" s="2" t="n">
        <v>40</v>
      </c>
      <c r="C733" s="2" t="s">
        <v>617</v>
      </c>
      <c r="D733" s="2" t="s">
        <v>626</v>
      </c>
      <c r="E733" s="2" t="s">
        <v>627</v>
      </c>
    </row>
    <row r="734" customFormat="false" ht="15" hidden="false" customHeight="false" outlineLevel="0" collapsed="false">
      <c r="A734" s="2" t="s">
        <v>616</v>
      </c>
      <c r="B734" s="2" t="n">
        <v>41</v>
      </c>
      <c r="C734" s="2" t="s">
        <v>617</v>
      </c>
      <c r="D734" s="2" t="s">
        <v>637</v>
      </c>
      <c r="E734" s="2" t="s">
        <v>638</v>
      </c>
    </row>
    <row r="735" customFormat="false" ht="15" hidden="false" customHeight="false" outlineLevel="0" collapsed="false">
      <c r="A735" s="2" t="s">
        <v>616</v>
      </c>
      <c r="B735" s="2" t="n">
        <v>41</v>
      </c>
      <c r="C735" s="2" t="s">
        <v>128</v>
      </c>
      <c r="D735" s="2" t="s">
        <v>670</v>
      </c>
      <c r="E735" s="2" t="s">
        <v>130</v>
      </c>
    </row>
    <row r="736" customFormat="false" ht="15" hidden="false" customHeight="false" outlineLevel="0" collapsed="false">
      <c r="A736" s="2" t="s">
        <v>616</v>
      </c>
      <c r="B736" s="2" t="n">
        <v>42</v>
      </c>
      <c r="C736" s="2" t="s">
        <v>617</v>
      </c>
      <c r="D736" s="2" t="s">
        <v>622</v>
      </c>
      <c r="E736" s="2" t="s">
        <v>623</v>
      </c>
    </row>
    <row r="737" customFormat="false" ht="15" hidden="false" customHeight="false" outlineLevel="0" collapsed="false">
      <c r="A737" s="2" t="s">
        <v>616</v>
      </c>
      <c r="B737" s="2" t="n">
        <v>43</v>
      </c>
      <c r="C737" s="2" t="s">
        <v>125</v>
      </c>
      <c r="D737" s="2" t="s">
        <v>191</v>
      </c>
      <c r="E737" s="2" t="s">
        <v>127</v>
      </c>
    </row>
    <row r="738" customFormat="false" ht="15" hidden="false" customHeight="false" outlineLevel="0" collapsed="false">
      <c r="A738" s="2" t="s">
        <v>616</v>
      </c>
      <c r="B738" s="2" t="n">
        <v>43</v>
      </c>
      <c r="C738" s="2" t="s">
        <v>128</v>
      </c>
      <c r="D738" s="2" t="s">
        <v>671</v>
      </c>
      <c r="E738" s="2" t="s">
        <v>130</v>
      </c>
    </row>
    <row r="739" customFormat="false" ht="15" hidden="false" customHeight="false" outlineLevel="0" collapsed="false">
      <c r="A739" s="2" t="s">
        <v>616</v>
      </c>
      <c r="B739" s="2" t="n">
        <v>44</v>
      </c>
      <c r="C739" s="2" t="s">
        <v>125</v>
      </c>
      <c r="D739" s="2" t="s">
        <v>672</v>
      </c>
      <c r="E739" s="2" t="s">
        <v>127</v>
      </c>
    </row>
    <row r="740" customFormat="false" ht="15" hidden="false" customHeight="false" outlineLevel="0" collapsed="false">
      <c r="A740" s="2" t="s">
        <v>616</v>
      </c>
      <c r="B740" s="2" t="n">
        <v>44</v>
      </c>
      <c r="C740" s="2" t="s">
        <v>617</v>
      </c>
      <c r="D740" s="2" t="s">
        <v>654</v>
      </c>
      <c r="E740" s="2" t="s">
        <v>621</v>
      </c>
    </row>
    <row r="741" customFormat="false" ht="15" hidden="false" customHeight="false" outlineLevel="0" collapsed="false">
      <c r="A741" s="2" t="s">
        <v>616</v>
      </c>
      <c r="B741" s="2" t="n">
        <v>45</v>
      </c>
      <c r="C741" s="2" t="s">
        <v>617</v>
      </c>
      <c r="D741" s="2" t="s">
        <v>641</v>
      </c>
      <c r="E741" s="2" t="s">
        <v>630</v>
      </c>
    </row>
    <row r="742" customFormat="false" ht="15" hidden="false" customHeight="false" outlineLevel="0" collapsed="false">
      <c r="A742" s="2" t="s">
        <v>616</v>
      </c>
      <c r="B742" s="2" t="n">
        <v>45</v>
      </c>
      <c r="C742" s="2" t="s">
        <v>128</v>
      </c>
      <c r="D742" s="2" t="s">
        <v>673</v>
      </c>
      <c r="E742" s="2" t="s">
        <v>130</v>
      </c>
    </row>
    <row r="743" customFormat="false" ht="15" hidden="false" customHeight="false" outlineLevel="0" collapsed="false">
      <c r="A743" s="2" t="s">
        <v>616</v>
      </c>
      <c r="B743" s="2" t="n">
        <v>46</v>
      </c>
      <c r="C743" s="2" t="s">
        <v>125</v>
      </c>
      <c r="D743" s="2" t="s">
        <v>674</v>
      </c>
      <c r="E743" s="2" t="s">
        <v>127</v>
      </c>
    </row>
    <row r="744" customFormat="false" ht="15" hidden="false" customHeight="false" outlineLevel="0" collapsed="false">
      <c r="A744" s="2" t="s">
        <v>616</v>
      </c>
      <c r="B744" s="2" t="n">
        <v>47</v>
      </c>
      <c r="C744" s="2" t="s">
        <v>125</v>
      </c>
      <c r="D744" s="2" t="s">
        <v>675</v>
      </c>
      <c r="E744" s="2" t="s">
        <v>127</v>
      </c>
    </row>
    <row r="745" customFormat="false" ht="15" hidden="false" customHeight="false" outlineLevel="0" collapsed="false">
      <c r="A745" s="2" t="s">
        <v>616</v>
      </c>
      <c r="B745" s="2" t="n">
        <v>47</v>
      </c>
      <c r="C745" s="2" t="s">
        <v>617</v>
      </c>
      <c r="D745" s="2" t="s">
        <v>656</v>
      </c>
      <c r="E745" s="2" t="s">
        <v>657</v>
      </c>
    </row>
    <row r="746" customFormat="false" ht="15" hidden="false" customHeight="false" outlineLevel="0" collapsed="false">
      <c r="A746" s="2" t="s">
        <v>616</v>
      </c>
      <c r="B746" s="2" t="n">
        <v>47</v>
      </c>
      <c r="C746" s="2" t="s">
        <v>128</v>
      </c>
      <c r="D746" s="2" t="s">
        <v>676</v>
      </c>
      <c r="E746" s="2" t="s">
        <v>130</v>
      </c>
    </row>
    <row r="747" customFormat="false" ht="15" hidden="false" customHeight="false" outlineLevel="0" collapsed="false">
      <c r="A747" s="2" t="s">
        <v>616</v>
      </c>
      <c r="B747" s="2" t="n">
        <v>48</v>
      </c>
      <c r="C747" s="2" t="s">
        <v>125</v>
      </c>
      <c r="D747" s="2" t="s">
        <v>677</v>
      </c>
      <c r="E747" s="2" t="s">
        <v>127</v>
      </c>
    </row>
    <row r="748" customFormat="false" ht="15" hidden="false" customHeight="false" outlineLevel="0" collapsed="false">
      <c r="A748" s="2" t="s">
        <v>616</v>
      </c>
      <c r="B748" s="2" t="n">
        <v>49</v>
      </c>
      <c r="C748" s="2" t="s">
        <v>617</v>
      </c>
      <c r="D748" s="2" t="s">
        <v>678</v>
      </c>
      <c r="E748" s="2" t="s">
        <v>619</v>
      </c>
    </row>
    <row r="749" customFormat="false" ht="15" hidden="false" customHeight="false" outlineLevel="0" collapsed="false">
      <c r="A749" s="2" t="s">
        <v>616</v>
      </c>
      <c r="B749" s="2" t="n">
        <v>50</v>
      </c>
      <c r="C749" s="2" t="s">
        <v>617</v>
      </c>
      <c r="D749" s="2" t="s">
        <v>634</v>
      </c>
      <c r="E749" s="2" t="s">
        <v>635</v>
      </c>
    </row>
    <row r="750" customFormat="false" ht="15" hidden="false" customHeight="false" outlineLevel="0" collapsed="false">
      <c r="A750" s="2" t="s">
        <v>616</v>
      </c>
      <c r="B750" s="2" t="n">
        <v>50</v>
      </c>
      <c r="C750" s="2" t="s">
        <v>128</v>
      </c>
      <c r="D750" s="2" t="s">
        <v>679</v>
      </c>
      <c r="E750" s="2" t="s">
        <v>130</v>
      </c>
    </row>
    <row r="751" customFormat="false" ht="15" hidden="false" customHeight="false" outlineLevel="0" collapsed="false">
      <c r="A751" s="2" t="s">
        <v>616</v>
      </c>
      <c r="B751" s="2" t="n">
        <v>51</v>
      </c>
      <c r="C751" s="2" t="s">
        <v>617</v>
      </c>
      <c r="D751" s="2" t="s">
        <v>680</v>
      </c>
      <c r="E751" s="2" t="s">
        <v>644</v>
      </c>
    </row>
    <row r="752" customFormat="false" ht="15" hidden="false" customHeight="false" outlineLevel="0" collapsed="false">
      <c r="A752" s="2" t="s">
        <v>616</v>
      </c>
      <c r="B752" s="2" t="n">
        <v>51</v>
      </c>
      <c r="C752" s="2" t="s">
        <v>128</v>
      </c>
      <c r="D752" s="2" t="s">
        <v>681</v>
      </c>
      <c r="E752" s="2" t="s">
        <v>130</v>
      </c>
    </row>
    <row r="753" customFormat="false" ht="15" hidden="false" customHeight="false" outlineLevel="0" collapsed="false">
      <c r="A753" s="2" t="s">
        <v>616</v>
      </c>
      <c r="B753" s="2" t="n">
        <v>52</v>
      </c>
      <c r="C753" s="2" t="s">
        <v>125</v>
      </c>
      <c r="D753" s="2" t="s">
        <v>682</v>
      </c>
      <c r="E753" s="2" t="s">
        <v>127</v>
      </c>
    </row>
    <row r="754" customFormat="false" ht="15" hidden="false" customHeight="false" outlineLevel="0" collapsed="false">
      <c r="A754" s="2" t="s">
        <v>616</v>
      </c>
      <c r="B754" s="2" t="n">
        <v>52</v>
      </c>
      <c r="C754" s="2" t="s">
        <v>617</v>
      </c>
      <c r="D754" s="2" t="s">
        <v>683</v>
      </c>
      <c r="E754" s="2" t="s">
        <v>665</v>
      </c>
    </row>
    <row r="755" customFormat="false" ht="15" hidden="false" customHeight="false" outlineLevel="0" collapsed="false">
      <c r="A755" s="2" t="s">
        <v>616</v>
      </c>
      <c r="B755" s="2" t="n">
        <v>53</v>
      </c>
      <c r="C755" s="2" t="s">
        <v>617</v>
      </c>
      <c r="D755" s="2" t="s">
        <v>626</v>
      </c>
      <c r="E755" s="2" t="s">
        <v>627</v>
      </c>
    </row>
    <row r="756" customFormat="false" ht="15" hidden="false" customHeight="false" outlineLevel="0" collapsed="false">
      <c r="A756" s="2" t="s">
        <v>616</v>
      </c>
      <c r="B756" s="2" t="n">
        <v>54</v>
      </c>
      <c r="C756" s="2" t="s">
        <v>125</v>
      </c>
      <c r="D756" s="2" t="s">
        <v>684</v>
      </c>
      <c r="E756" s="2" t="s">
        <v>127</v>
      </c>
    </row>
    <row r="757" customFormat="false" ht="15" hidden="false" customHeight="false" outlineLevel="0" collapsed="false">
      <c r="A757" s="2" t="s">
        <v>616</v>
      </c>
      <c r="B757" s="2" t="n">
        <v>54</v>
      </c>
      <c r="C757" s="2" t="s">
        <v>617</v>
      </c>
      <c r="D757" s="2" t="s">
        <v>662</v>
      </c>
      <c r="E757" s="2" t="s">
        <v>647</v>
      </c>
    </row>
    <row r="758" customFormat="false" ht="15" hidden="false" customHeight="false" outlineLevel="0" collapsed="false">
      <c r="A758" s="2" t="s">
        <v>616</v>
      </c>
      <c r="B758" s="2" t="n">
        <v>54</v>
      </c>
      <c r="C758" s="2" t="s">
        <v>128</v>
      </c>
      <c r="D758" s="2" t="s">
        <v>685</v>
      </c>
      <c r="E758" s="2" t="s">
        <v>130</v>
      </c>
    </row>
    <row r="759" customFormat="false" ht="15" hidden="false" customHeight="false" outlineLevel="0" collapsed="false">
      <c r="A759" s="2" t="s">
        <v>616</v>
      </c>
      <c r="B759" s="2" t="n">
        <v>55</v>
      </c>
      <c r="C759" s="2" t="s">
        <v>617</v>
      </c>
      <c r="D759" s="2" t="s">
        <v>686</v>
      </c>
      <c r="E759" s="2" t="s">
        <v>650</v>
      </c>
    </row>
    <row r="760" customFormat="false" ht="15" hidden="false" customHeight="false" outlineLevel="0" collapsed="false">
      <c r="A760" s="2" t="s">
        <v>616</v>
      </c>
      <c r="B760" s="2" t="n">
        <v>55</v>
      </c>
      <c r="C760" s="2" t="s">
        <v>128</v>
      </c>
      <c r="D760" s="2" t="s">
        <v>687</v>
      </c>
      <c r="E760" s="2" t="s">
        <v>130</v>
      </c>
    </row>
    <row r="761" customFormat="false" ht="15" hidden="false" customHeight="false" outlineLevel="0" collapsed="false">
      <c r="A761" s="2" t="s">
        <v>616</v>
      </c>
      <c r="B761" s="2" t="n">
        <v>56</v>
      </c>
      <c r="C761" s="2" t="s">
        <v>617</v>
      </c>
      <c r="D761" s="2" t="s">
        <v>683</v>
      </c>
      <c r="E761" s="2" t="s">
        <v>665</v>
      </c>
    </row>
    <row r="762" customFormat="false" ht="15" hidden="false" customHeight="false" outlineLevel="0" collapsed="false">
      <c r="A762" s="2" t="s">
        <v>616</v>
      </c>
      <c r="B762" s="2" t="n">
        <v>57</v>
      </c>
      <c r="C762" s="2" t="s">
        <v>125</v>
      </c>
      <c r="D762" s="2" t="s">
        <v>682</v>
      </c>
      <c r="E762" s="2" t="s">
        <v>127</v>
      </c>
    </row>
    <row r="763" customFormat="false" ht="15" hidden="false" customHeight="false" outlineLevel="0" collapsed="false">
      <c r="A763" s="2" t="s">
        <v>616</v>
      </c>
      <c r="B763" s="2" t="n">
        <v>57</v>
      </c>
      <c r="C763" s="2" t="s">
        <v>128</v>
      </c>
      <c r="D763" s="2" t="s">
        <v>688</v>
      </c>
      <c r="E763" s="2" t="s">
        <v>130</v>
      </c>
    </row>
    <row r="764" customFormat="false" ht="15" hidden="false" customHeight="false" outlineLevel="0" collapsed="false">
      <c r="A764" s="2" t="s">
        <v>616</v>
      </c>
      <c r="B764" s="2" t="n">
        <v>58</v>
      </c>
      <c r="C764" s="2" t="s">
        <v>617</v>
      </c>
      <c r="D764" s="2" t="s">
        <v>662</v>
      </c>
      <c r="E764" s="2" t="s">
        <v>647</v>
      </c>
    </row>
    <row r="765" customFormat="false" ht="15" hidden="false" customHeight="false" outlineLevel="0" collapsed="false">
      <c r="A765" s="2" t="s">
        <v>616</v>
      </c>
      <c r="B765" s="2" t="n">
        <v>59</v>
      </c>
      <c r="C765" s="2" t="s">
        <v>125</v>
      </c>
      <c r="D765" s="2" t="s">
        <v>689</v>
      </c>
      <c r="E765" s="2" t="s">
        <v>127</v>
      </c>
    </row>
    <row r="766" customFormat="false" ht="15" hidden="false" customHeight="false" outlineLevel="0" collapsed="false">
      <c r="A766" s="2" t="s">
        <v>616</v>
      </c>
      <c r="B766" s="2" t="n">
        <v>59</v>
      </c>
      <c r="C766" s="2" t="s">
        <v>617</v>
      </c>
      <c r="D766" s="2" t="s">
        <v>654</v>
      </c>
      <c r="E766" s="2" t="s">
        <v>621</v>
      </c>
    </row>
    <row r="767" customFormat="false" ht="15" hidden="false" customHeight="false" outlineLevel="0" collapsed="false">
      <c r="A767" s="2" t="s">
        <v>616</v>
      </c>
      <c r="B767" s="2" t="n">
        <v>60</v>
      </c>
      <c r="C767" s="2" t="s">
        <v>617</v>
      </c>
      <c r="D767" s="2" t="s">
        <v>654</v>
      </c>
      <c r="E767" s="2" t="s">
        <v>621</v>
      </c>
    </row>
    <row r="768" customFormat="false" ht="15" hidden="false" customHeight="false" outlineLevel="0" collapsed="false">
      <c r="A768" s="2" t="s">
        <v>616</v>
      </c>
      <c r="B768" s="2" t="n">
        <v>60</v>
      </c>
      <c r="C768" s="2" t="s">
        <v>128</v>
      </c>
      <c r="D768" s="2" t="s">
        <v>690</v>
      </c>
      <c r="E768" s="2" t="s">
        <v>130</v>
      </c>
    </row>
    <row r="769" customFormat="false" ht="15" hidden="false" customHeight="false" outlineLevel="0" collapsed="false">
      <c r="A769" s="2" t="s">
        <v>616</v>
      </c>
      <c r="B769" s="2" t="n">
        <v>61</v>
      </c>
      <c r="C769" s="2" t="s">
        <v>125</v>
      </c>
      <c r="D769" s="2" t="s">
        <v>691</v>
      </c>
      <c r="E769" s="2" t="s">
        <v>127</v>
      </c>
    </row>
    <row r="770" customFormat="false" ht="15" hidden="false" customHeight="false" outlineLevel="0" collapsed="false">
      <c r="A770" s="2" t="s">
        <v>616</v>
      </c>
      <c r="B770" s="2" t="n">
        <v>62</v>
      </c>
      <c r="C770" s="2" t="s">
        <v>617</v>
      </c>
      <c r="D770" s="2" t="s">
        <v>692</v>
      </c>
      <c r="E770" s="2" t="s">
        <v>623</v>
      </c>
    </row>
    <row r="771" customFormat="false" ht="15" hidden="false" customHeight="false" outlineLevel="0" collapsed="false">
      <c r="A771" s="2" t="s">
        <v>616</v>
      </c>
      <c r="B771" s="2" t="n">
        <v>62</v>
      </c>
      <c r="C771" s="2" t="s">
        <v>128</v>
      </c>
      <c r="D771" s="2" t="s">
        <v>693</v>
      </c>
      <c r="E771" s="2" t="s">
        <v>130</v>
      </c>
    </row>
    <row r="772" customFormat="false" ht="15" hidden="false" customHeight="false" outlineLevel="0" collapsed="false">
      <c r="A772" s="2" t="s">
        <v>616</v>
      </c>
      <c r="B772" s="2" t="n">
        <v>63</v>
      </c>
      <c r="C772" s="2" t="s">
        <v>125</v>
      </c>
      <c r="D772" s="2" t="s">
        <v>694</v>
      </c>
      <c r="E772" s="2" t="s">
        <v>127</v>
      </c>
    </row>
    <row r="773" customFormat="false" ht="15" hidden="false" customHeight="false" outlineLevel="0" collapsed="false">
      <c r="A773" s="2" t="s">
        <v>616</v>
      </c>
      <c r="B773" s="2" t="n">
        <v>66</v>
      </c>
      <c r="C773" s="2" t="s">
        <v>617</v>
      </c>
      <c r="D773" s="2" t="s">
        <v>680</v>
      </c>
      <c r="E773" s="2" t="s">
        <v>644</v>
      </c>
    </row>
    <row r="774" customFormat="false" ht="15" hidden="false" customHeight="false" outlineLevel="0" collapsed="false">
      <c r="A774" s="2" t="s">
        <v>616</v>
      </c>
      <c r="B774" s="2" t="n">
        <v>67</v>
      </c>
      <c r="C774" s="2" t="s">
        <v>125</v>
      </c>
      <c r="D774" s="2" t="s">
        <v>695</v>
      </c>
      <c r="E774" s="2" t="s">
        <v>127</v>
      </c>
    </row>
    <row r="775" customFormat="false" ht="15" hidden="false" customHeight="false" outlineLevel="0" collapsed="false">
      <c r="A775" s="2" t="s">
        <v>616</v>
      </c>
      <c r="B775" s="2" t="n">
        <v>69</v>
      </c>
      <c r="C775" s="2" t="s">
        <v>617</v>
      </c>
      <c r="D775" s="2" t="s">
        <v>696</v>
      </c>
      <c r="E775" s="2" t="s">
        <v>635</v>
      </c>
    </row>
    <row r="776" customFormat="false" ht="15" hidden="false" customHeight="false" outlineLevel="0" collapsed="false">
      <c r="A776" s="2" t="s">
        <v>616</v>
      </c>
      <c r="B776" s="2" t="n">
        <v>70</v>
      </c>
      <c r="C776" s="2" t="s">
        <v>617</v>
      </c>
      <c r="D776" s="2" t="s">
        <v>629</v>
      </c>
      <c r="E776" s="2" t="s">
        <v>630</v>
      </c>
    </row>
    <row r="777" customFormat="false" ht="15" hidden="false" customHeight="false" outlineLevel="0" collapsed="false">
      <c r="A777" s="2" t="s">
        <v>616</v>
      </c>
      <c r="B777" s="2" t="n">
        <v>71</v>
      </c>
      <c r="C777" s="2" t="s">
        <v>617</v>
      </c>
      <c r="D777" s="2" t="s">
        <v>654</v>
      </c>
      <c r="E777" s="2" t="s">
        <v>621</v>
      </c>
    </row>
    <row r="778" customFormat="false" ht="15" hidden="false" customHeight="false" outlineLevel="0" collapsed="false">
      <c r="A778" s="2" t="s">
        <v>616</v>
      </c>
      <c r="B778" s="2" t="n">
        <v>73</v>
      </c>
      <c r="C778" s="2" t="s">
        <v>128</v>
      </c>
      <c r="D778" s="2" t="s">
        <v>697</v>
      </c>
      <c r="E778" s="2" t="s">
        <v>130</v>
      </c>
    </row>
    <row r="779" customFormat="false" ht="15" hidden="false" customHeight="false" outlineLevel="0" collapsed="false">
      <c r="A779" s="2" t="s">
        <v>616</v>
      </c>
      <c r="B779" s="2" t="n">
        <v>75</v>
      </c>
      <c r="C779" s="2" t="s">
        <v>125</v>
      </c>
      <c r="D779" s="2" t="s">
        <v>698</v>
      </c>
      <c r="E779" s="2" t="s">
        <v>127</v>
      </c>
    </row>
    <row r="780" customFormat="false" ht="15" hidden="false" customHeight="false" outlineLevel="0" collapsed="false">
      <c r="A780" s="2" t="s">
        <v>616</v>
      </c>
      <c r="B780" s="2" t="n">
        <v>75</v>
      </c>
      <c r="C780" s="2" t="s">
        <v>617</v>
      </c>
      <c r="D780" s="2" t="s">
        <v>683</v>
      </c>
      <c r="E780" s="2" t="s">
        <v>665</v>
      </c>
    </row>
    <row r="781" customFormat="false" ht="15" hidden="false" customHeight="false" outlineLevel="0" collapsed="false">
      <c r="A781" s="2" t="s">
        <v>616</v>
      </c>
      <c r="B781" s="2" t="n">
        <v>76</v>
      </c>
      <c r="C781" s="2" t="s">
        <v>125</v>
      </c>
      <c r="D781" s="2" t="s">
        <v>699</v>
      </c>
      <c r="E781" s="2" t="s">
        <v>127</v>
      </c>
    </row>
    <row r="782" customFormat="false" ht="15" hidden="false" customHeight="false" outlineLevel="0" collapsed="false">
      <c r="A782" s="2" t="s">
        <v>616</v>
      </c>
      <c r="B782" s="2" t="n">
        <v>77</v>
      </c>
      <c r="C782" s="2" t="s">
        <v>617</v>
      </c>
      <c r="D782" s="2" t="s">
        <v>700</v>
      </c>
      <c r="E782" s="2" t="s">
        <v>657</v>
      </c>
    </row>
    <row r="783" customFormat="false" ht="15" hidden="false" customHeight="false" outlineLevel="0" collapsed="false">
      <c r="A783" s="2" t="s">
        <v>616</v>
      </c>
      <c r="B783" s="2" t="n">
        <v>78</v>
      </c>
      <c r="C783" s="2" t="s">
        <v>125</v>
      </c>
      <c r="D783" s="2" t="s">
        <v>699</v>
      </c>
      <c r="E783" s="2" t="s">
        <v>127</v>
      </c>
    </row>
    <row r="784" customFormat="false" ht="15" hidden="false" customHeight="false" outlineLevel="0" collapsed="false">
      <c r="A784" s="2" t="s">
        <v>616</v>
      </c>
      <c r="B784" s="2" t="n">
        <v>78</v>
      </c>
      <c r="C784" s="2" t="s">
        <v>617</v>
      </c>
      <c r="D784" s="2" t="s">
        <v>701</v>
      </c>
      <c r="E784" s="2" t="s">
        <v>647</v>
      </c>
    </row>
    <row r="785" customFormat="false" ht="15" hidden="false" customHeight="false" outlineLevel="0" collapsed="false">
      <c r="A785" s="2" t="s">
        <v>616</v>
      </c>
      <c r="B785" s="2" t="n">
        <v>79</v>
      </c>
      <c r="C785" s="2" t="s">
        <v>617</v>
      </c>
      <c r="D785" s="2" t="s">
        <v>686</v>
      </c>
      <c r="E785" s="2" t="s">
        <v>650</v>
      </c>
    </row>
    <row r="786" customFormat="false" ht="15" hidden="false" customHeight="false" outlineLevel="0" collapsed="false">
      <c r="A786" s="2" t="s">
        <v>616</v>
      </c>
      <c r="B786" s="2" t="n">
        <v>79</v>
      </c>
      <c r="C786" s="2" t="s">
        <v>128</v>
      </c>
      <c r="D786" s="2" t="s">
        <v>702</v>
      </c>
      <c r="E786" s="2" t="s">
        <v>130</v>
      </c>
    </row>
    <row r="787" customFormat="false" ht="15" hidden="false" customHeight="false" outlineLevel="0" collapsed="false">
      <c r="A787" s="2" t="s">
        <v>616</v>
      </c>
      <c r="B787" s="2" t="n">
        <v>80</v>
      </c>
      <c r="C787" s="2" t="s">
        <v>125</v>
      </c>
      <c r="D787" s="2" t="s">
        <v>703</v>
      </c>
      <c r="E787" s="2" t="s">
        <v>127</v>
      </c>
    </row>
    <row r="788" customFormat="false" ht="15" hidden="false" customHeight="false" outlineLevel="0" collapsed="false">
      <c r="A788" s="2" t="s">
        <v>616</v>
      </c>
      <c r="B788" s="2" t="n">
        <v>81</v>
      </c>
      <c r="C788" s="2" t="s">
        <v>125</v>
      </c>
      <c r="D788" s="2" t="s">
        <v>226</v>
      </c>
      <c r="E788" s="2" t="s">
        <v>127</v>
      </c>
    </row>
    <row r="789" customFormat="false" ht="15" hidden="false" customHeight="false" outlineLevel="0" collapsed="false">
      <c r="A789" s="2" t="s">
        <v>616</v>
      </c>
      <c r="B789" s="2" t="n">
        <v>81</v>
      </c>
      <c r="C789" s="2" t="s">
        <v>617</v>
      </c>
      <c r="D789" s="2" t="s">
        <v>640</v>
      </c>
      <c r="E789" s="2" t="s">
        <v>619</v>
      </c>
    </row>
    <row r="790" customFormat="false" ht="15" hidden="false" customHeight="false" outlineLevel="0" collapsed="false">
      <c r="A790" s="2" t="s">
        <v>616</v>
      </c>
      <c r="B790" s="2" t="n">
        <v>81</v>
      </c>
      <c r="C790" s="2" t="s">
        <v>128</v>
      </c>
      <c r="D790" s="2" t="s">
        <v>704</v>
      </c>
      <c r="E790" s="2" t="s">
        <v>130</v>
      </c>
    </row>
    <row r="791" customFormat="false" ht="15" hidden="false" customHeight="false" outlineLevel="0" collapsed="false">
      <c r="A791" s="2" t="s">
        <v>616</v>
      </c>
      <c r="B791" s="2" t="n">
        <v>82</v>
      </c>
      <c r="C791" s="2" t="s">
        <v>125</v>
      </c>
      <c r="D791" s="2" t="s">
        <v>705</v>
      </c>
      <c r="E791" s="2" t="s">
        <v>127</v>
      </c>
    </row>
    <row r="792" customFormat="false" ht="15" hidden="false" customHeight="false" outlineLevel="0" collapsed="false">
      <c r="A792" s="2" t="s">
        <v>616</v>
      </c>
      <c r="B792" s="2" t="n">
        <v>82</v>
      </c>
      <c r="C792" s="2" t="s">
        <v>617</v>
      </c>
      <c r="D792" s="2" t="s">
        <v>626</v>
      </c>
      <c r="E792" s="2" t="s">
        <v>627</v>
      </c>
    </row>
    <row r="793" customFormat="false" ht="15" hidden="false" customHeight="false" outlineLevel="0" collapsed="false">
      <c r="A793" s="2" t="s">
        <v>616</v>
      </c>
      <c r="B793" s="2" t="n">
        <v>83</v>
      </c>
      <c r="C793" s="2" t="s">
        <v>617</v>
      </c>
      <c r="D793" s="2" t="s">
        <v>661</v>
      </c>
      <c r="E793" s="2" t="s">
        <v>638</v>
      </c>
    </row>
    <row r="794" customFormat="false" ht="15" hidden="false" customHeight="false" outlineLevel="0" collapsed="false">
      <c r="A794" s="2" t="s">
        <v>616</v>
      </c>
      <c r="B794" s="2" t="n">
        <v>84</v>
      </c>
      <c r="C794" s="2" t="s">
        <v>617</v>
      </c>
      <c r="D794" s="2" t="s">
        <v>620</v>
      </c>
      <c r="E794" s="2" t="s">
        <v>621</v>
      </c>
    </row>
    <row r="795" customFormat="false" ht="15" hidden="false" customHeight="false" outlineLevel="0" collapsed="false">
      <c r="A795" s="2" t="s">
        <v>616</v>
      </c>
      <c r="B795" s="2" t="n">
        <v>85</v>
      </c>
      <c r="C795" s="2" t="s">
        <v>125</v>
      </c>
      <c r="D795" s="2" t="s">
        <v>235</v>
      </c>
      <c r="E795" s="2" t="s">
        <v>127</v>
      </c>
    </row>
    <row r="796" customFormat="false" ht="15" hidden="false" customHeight="false" outlineLevel="0" collapsed="false">
      <c r="A796" s="2" t="s">
        <v>616</v>
      </c>
      <c r="B796" s="2" t="n">
        <v>85</v>
      </c>
      <c r="C796" s="2" t="s">
        <v>617</v>
      </c>
      <c r="D796" s="2" t="s">
        <v>632</v>
      </c>
      <c r="E796" s="2" t="s">
        <v>633</v>
      </c>
    </row>
    <row r="797" customFormat="false" ht="15" hidden="false" customHeight="false" outlineLevel="0" collapsed="false">
      <c r="A797" s="2" t="s">
        <v>616</v>
      </c>
      <c r="B797" s="2" t="n">
        <v>86</v>
      </c>
      <c r="C797" s="2" t="s">
        <v>125</v>
      </c>
      <c r="D797" s="2" t="s">
        <v>706</v>
      </c>
      <c r="E797" s="2" t="s">
        <v>127</v>
      </c>
    </row>
    <row r="798" customFormat="false" ht="15" hidden="false" customHeight="false" outlineLevel="0" collapsed="false">
      <c r="A798" s="2" t="s">
        <v>616</v>
      </c>
      <c r="B798" s="2" t="n">
        <v>87</v>
      </c>
      <c r="C798" s="2" t="s">
        <v>617</v>
      </c>
      <c r="D798" s="2" t="s">
        <v>678</v>
      </c>
      <c r="E798" s="2" t="s">
        <v>619</v>
      </c>
    </row>
    <row r="799" customFormat="false" ht="15" hidden="false" customHeight="false" outlineLevel="0" collapsed="false">
      <c r="A799" s="2" t="s">
        <v>616</v>
      </c>
      <c r="B799" s="2" t="n">
        <v>87</v>
      </c>
      <c r="C799" s="2" t="s">
        <v>128</v>
      </c>
      <c r="D799" s="2" t="s">
        <v>707</v>
      </c>
      <c r="E799" s="2" t="s">
        <v>130</v>
      </c>
    </row>
    <row r="800" customFormat="false" ht="15" hidden="false" customHeight="false" outlineLevel="0" collapsed="false">
      <c r="A800" s="2" t="s">
        <v>616</v>
      </c>
      <c r="B800" s="2" t="n">
        <v>88</v>
      </c>
      <c r="C800" s="2" t="s">
        <v>617</v>
      </c>
      <c r="D800" s="2" t="s">
        <v>629</v>
      </c>
      <c r="E800" s="2" t="s">
        <v>630</v>
      </c>
    </row>
    <row r="801" customFormat="false" ht="15" hidden="false" customHeight="false" outlineLevel="0" collapsed="false">
      <c r="A801" s="2" t="s">
        <v>616</v>
      </c>
      <c r="B801" s="2" t="n">
        <v>88</v>
      </c>
      <c r="C801" s="2" t="s">
        <v>128</v>
      </c>
      <c r="D801" s="2" t="s">
        <v>708</v>
      </c>
      <c r="E801" s="2" t="s">
        <v>130</v>
      </c>
    </row>
    <row r="802" customFormat="false" ht="15" hidden="false" customHeight="false" outlineLevel="0" collapsed="false">
      <c r="A802" s="2" t="s">
        <v>616</v>
      </c>
      <c r="B802" s="2" t="n">
        <v>89</v>
      </c>
      <c r="C802" s="2" t="s">
        <v>617</v>
      </c>
      <c r="D802" s="2" t="s">
        <v>661</v>
      </c>
      <c r="E802" s="2" t="s">
        <v>638</v>
      </c>
    </row>
    <row r="803" customFormat="false" ht="15" hidden="false" customHeight="false" outlineLevel="0" collapsed="false">
      <c r="A803" s="2" t="s">
        <v>616</v>
      </c>
      <c r="B803" s="2" t="n">
        <v>89</v>
      </c>
      <c r="C803" s="2" t="s">
        <v>128</v>
      </c>
      <c r="D803" s="2" t="s">
        <v>709</v>
      </c>
      <c r="E803" s="2" t="s">
        <v>130</v>
      </c>
    </row>
    <row r="804" customFormat="false" ht="15" hidden="false" customHeight="false" outlineLevel="0" collapsed="false">
      <c r="A804" s="2" t="s">
        <v>616</v>
      </c>
      <c r="B804" s="2" t="n">
        <v>90</v>
      </c>
      <c r="C804" s="2" t="s">
        <v>617</v>
      </c>
      <c r="D804" s="2" t="s">
        <v>700</v>
      </c>
      <c r="E804" s="2" t="s">
        <v>657</v>
      </c>
    </row>
    <row r="805" customFormat="false" ht="15" hidden="false" customHeight="false" outlineLevel="0" collapsed="false">
      <c r="A805" s="2" t="s">
        <v>616</v>
      </c>
      <c r="B805" s="2" t="n">
        <v>90</v>
      </c>
      <c r="C805" s="2" t="s">
        <v>128</v>
      </c>
      <c r="D805" s="2" t="s">
        <v>710</v>
      </c>
      <c r="E805" s="2" t="s">
        <v>130</v>
      </c>
    </row>
    <row r="806" customFormat="false" ht="15" hidden="false" customHeight="false" outlineLevel="0" collapsed="false">
      <c r="A806" s="2" t="s">
        <v>616</v>
      </c>
      <c r="B806" s="2" t="n">
        <v>91</v>
      </c>
      <c r="C806" s="2" t="s">
        <v>617</v>
      </c>
      <c r="D806" s="2" t="s">
        <v>711</v>
      </c>
      <c r="E806" s="2" t="s">
        <v>647</v>
      </c>
    </row>
    <row r="807" customFormat="false" ht="15" hidden="false" customHeight="false" outlineLevel="0" collapsed="false">
      <c r="A807" s="2" t="s">
        <v>616</v>
      </c>
      <c r="B807" s="2" t="n">
        <v>92</v>
      </c>
      <c r="C807" s="2" t="s">
        <v>617</v>
      </c>
      <c r="D807" s="2" t="s">
        <v>712</v>
      </c>
      <c r="E807" s="2" t="s">
        <v>665</v>
      </c>
    </row>
    <row r="808" customFormat="false" ht="15" hidden="false" customHeight="false" outlineLevel="0" collapsed="false">
      <c r="A808" s="2" t="s">
        <v>616</v>
      </c>
      <c r="B808" s="2" t="n">
        <v>93</v>
      </c>
      <c r="C808" s="2" t="s">
        <v>125</v>
      </c>
      <c r="D808" s="2" t="s">
        <v>713</v>
      </c>
      <c r="E808" s="2" t="s">
        <v>127</v>
      </c>
    </row>
    <row r="809" customFormat="false" ht="15" hidden="false" customHeight="false" outlineLevel="0" collapsed="false">
      <c r="A809" s="2" t="s">
        <v>616</v>
      </c>
      <c r="B809" s="2" t="n">
        <v>93</v>
      </c>
      <c r="C809" s="2" t="s">
        <v>617</v>
      </c>
      <c r="D809" s="2" t="s">
        <v>626</v>
      </c>
      <c r="E809" s="2" t="s">
        <v>627</v>
      </c>
    </row>
    <row r="810" customFormat="false" ht="15" hidden="false" customHeight="false" outlineLevel="0" collapsed="false">
      <c r="A810" s="2" t="s">
        <v>616</v>
      </c>
      <c r="B810" s="2" t="n">
        <v>94</v>
      </c>
      <c r="C810" s="2" t="s">
        <v>125</v>
      </c>
      <c r="D810" s="2" t="s">
        <v>714</v>
      </c>
      <c r="E810" s="2" t="s">
        <v>127</v>
      </c>
    </row>
    <row r="811" customFormat="false" ht="15" hidden="false" customHeight="false" outlineLevel="0" collapsed="false">
      <c r="A811" s="2" t="s">
        <v>616</v>
      </c>
      <c r="B811" s="2" t="n">
        <v>94</v>
      </c>
      <c r="C811" s="2" t="s">
        <v>617</v>
      </c>
      <c r="D811" s="2" t="s">
        <v>668</v>
      </c>
      <c r="E811" s="2" t="s">
        <v>650</v>
      </c>
    </row>
    <row r="812" customFormat="false" ht="15" hidden="false" customHeight="false" outlineLevel="0" collapsed="false">
      <c r="A812" s="2" t="s">
        <v>616</v>
      </c>
      <c r="B812" s="2" t="n">
        <v>96</v>
      </c>
      <c r="C812" s="2" t="s">
        <v>125</v>
      </c>
      <c r="D812" s="2" t="s">
        <v>714</v>
      </c>
      <c r="E812" s="2" t="s">
        <v>127</v>
      </c>
    </row>
    <row r="813" customFormat="false" ht="15" hidden="false" customHeight="false" outlineLevel="0" collapsed="false">
      <c r="A813" s="2" t="s">
        <v>616</v>
      </c>
      <c r="B813" s="2" t="n">
        <v>96</v>
      </c>
      <c r="C813" s="2" t="s">
        <v>128</v>
      </c>
      <c r="D813" s="2" t="s">
        <v>715</v>
      </c>
      <c r="E813" s="2" t="s">
        <v>130</v>
      </c>
    </row>
    <row r="814" customFormat="false" ht="15" hidden="false" customHeight="false" outlineLevel="0" collapsed="false">
      <c r="A814" s="2" t="s">
        <v>616</v>
      </c>
      <c r="B814" s="2" t="n">
        <v>97</v>
      </c>
      <c r="C814" s="2" t="s">
        <v>617</v>
      </c>
      <c r="D814" s="2" t="s">
        <v>620</v>
      </c>
      <c r="E814" s="2" t="s">
        <v>621</v>
      </c>
    </row>
    <row r="815" customFormat="false" ht="15" hidden="false" customHeight="false" outlineLevel="0" collapsed="false">
      <c r="A815" s="2" t="s">
        <v>616</v>
      </c>
      <c r="B815" s="2" t="n">
        <v>98</v>
      </c>
      <c r="C815" s="2" t="s">
        <v>617</v>
      </c>
      <c r="D815" s="2" t="s">
        <v>658</v>
      </c>
      <c r="E815" s="2" t="s">
        <v>619</v>
      </c>
    </row>
    <row r="816" customFormat="false" ht="15" hidden="false" customHeight="false" outlineLevel="0" collapsed="false">
      <c r="A816" s="2" t="s">
        <v>616</v>
      </c>
      <c r="B816" s="2" t="n">
        <v>99</v>
      </c>
      <c r="C816" s="2" t="s">
        <v>617</v>
      </c>
      <c r="D816" s="2" t="s">
        <v>658</v>
      </c>
      <c r="E816" s="2" t="s">
        <v>619</v>
      </c>
    </row>
    <row r="817" customFormat="false" ht="15" hidden="false" customHeight="false" outlineLevel="0" collapsed="false">
      <c r="A817" s="2" t="s">
        <v>616</v>
      </c>
      <c r="B817" s="2" t="n">
        <v>100</v>
      </c>
      <c r="C817" s="2" t="s">
        <v>617</v>
      </c>
      <c r="D817" s="2" t="s">
        <v>696</v>
      </c>
      <c r="E817" s="2" t="s">
        <v>635</v>
      </c>
    </row>
    <row r="818" customFormat="false" ht="15" hidden="false" customHeight="false" outlineLevel="0" collapsed="false">
      <c r="A818" s="2" t="s">
        <v>616</v>
      </c>
      <c r="B818" s="2" t="n">
        <v>100</v>
      </c>
      <c r="C818" s="2" t="s">
        <v>128</v>
      </c>
      <c r="D818" s="2" t="s">
        <v>716</v>
      </c>
      <c r="E818" s="2" t="s">
        <v>130</v>
      </c>
    </row>
    <row r="819" customFormat="false" ht="15" hidden="false" customHeight="false" outlineLevel="0" collapsed="false">
      <c r="A819" s="2" t="s">
        <v>616</v>
      </c>
      <c r="B819" s="2" t="n">
        <v>101</v>
      </c>
      <c r="C819" s="2" t="s">
        <v>125</v>
      </c>
      <c r="D819" s="2" t="s">
        <v>717</v>
      </c>
      <c r="E819" s="2" t="s">
        <v>127</v>
      </c>
    </row>
    <row r="820" customFormat="false" ht="15" hidden="false" customHeight="false" outlineLevel="0" collapsed="false">
      <c r="A820" s="2" t="s">
        <v>616</v>
      </c>
      <c r="B820" s="2" t="n">
        <v>101</v>
      </c>
      <c r="C820" s="2" t="s">
        <v>617</v>
      </c>
      <c r="D820" s="2" t="s">
        <v>646</v>
      </c>
      <c r="E820" s="2" t="s">
        <v>647</v>
      </c>
    </row>
    <row r="821" customFormat="false" ht="15" hidden="false" customHeight="false" outlineLevel="0" collapsed="false">
      <c r="A821" s="2" t="s">
        <v>616</v>
      </c>
      <c r="B821" s="2" t="n">
        <v>102</v>
      </c>
      <c r="C821" s="2" t="s">
        <v>125</v>
      </c>
      <c r="D821" s="2" t="s">
        <v>717</v>
      </c>
      <c r="E821" s="2" t="s">
        <v>127</v>
      </c>
    </row>
    <row r="822" customFormat="false" ht="15" hidden="false" customHeight="false" outlineLevel="0" collapsed="false">
      <c r="A822" s="2" t="s">
        <v>616</v>
      </c>
      <c r="B822" s="2" t="n">
        <v>102</v>
      </c>
      <c r="C822" s="2" t="s">
        <v>617</v>
      </c>
      <c r="D822" s="2" t="s">
        <v>632</v>
      </c>
      <c r="E822" s="2" t="s">
        <v>633</v>
      </c>
    </row>
    <row r="823" customFormat="false" ht="15" hidden="false" customHeight="false" outlineLevel="0" collapsed="false">
      <c r="A823" s="2" t="s">
        <v>616</v>
      </c>
      <c r="B823" s="2" t="n">
        <v>103</v>
      </c>
      <c r="C823" s="2" t="s">
        <v>617</v>
      </c>
      <c r="D823" s="2" t="s">
        <v>718</v>
      </c>
      <c r="E823" s="2" t="s">
        <v>638</v>
      </c>
    </row>
    <row r="824" customFormat="false" ht="15" hidden="false" customHeight="false" outlineLevel="0" collapsed="false">
      <c r="A824" s="2" t="s">
        <v>616</v>
      </c>
      <c r="B824" s="2" t="n">
        <v>104</v>
      </c>
      <c r="C824" s="2" t="s">
        <v>617</v>
      </c>
      <c r="D824" s="2" t="s">
        <v>711</v>
      </c>
      <c r="E824" s="2" t="s">
        <v>647</v>
      </c>
    </row>
    <row r="825" customFormat="false" ht="15" hidden="false" customHeight="false" outlineLevel="0" collapsed="false">
      <c r="A825" s="2" t="s">
        <v>616</v>
      </c>
      <c r="B825" s="2" t="n">
        <v>105</v>
      </c>
      <c r="C825" s="2" t="s">
        <v>617</v>
      </c>
      <c r="D825" s="2" t="s">
        <v>643</v>
      </c>
      <c r="E825" s="2" t="s">
        <v>644</v>
      </c>
    </row>
    <row r="826" customFormat="false" ht="15" hidden="false" customHeight="false" outlineLevel="0" collapsed="false">
      <c r="A826" s="2" t="s">
        <v>616</v>
      </c>
      <c r="B826" s="2" t="n">
        <v>106</v>
      </c>
      <c r="C826" s="2" t="s">
        <v>617</v>
      </c>
      <c r="D826" s="2" t="s">
        <v>719</v>
      </c>
      <c r="E826" s="2" t="s">
        <v>630</v>
      </c>
    </row>
    <row r="827" customFormat="false" ht="15" hidden="false" customHeight="false" outlineLevel="0" collapsed="false">
      <c r="A827" s="2" t="s">
        <v>616</v>
      </c>
      <c r="B827" s="2" t="n">
        <v>107</v>
      </c>
      <c r="C827" s="2" t="s">
        <v>125</v>
      </c>
      <c r="D827" s="2" t="s">
        <v>720</v>
      </c>
      <c r="E827" s="2" t="s">
        <v>127</v>
      </c>
    </row>
    <row r="828" customFormat="false" ht="15" hidden="false" customHeight="false" outlineLevel="0" collapsed="false">
      <c r="A828" s="2" t="s">
        <v>616</v>
      </c>
      <c r="B828" s="2" t="n">
        <v>107</v>
      </c>
      <c r="C828" s="2" t="s">
        <v>617</v>
      </c>
      <c r="D828" s="2" t="s">
        <v>712</v>
      </c>
      <c r="E828" s="2" t="s">
        <v>665</v>
      </c>
    </row>
    <row r="829" customFormat="false" ht="15" hidden="false" customHeight="false" outlineLevel="0" collapsed="false">
      <c r="A829" s="2" t="s">
        <v>616</v>
      </c>
      <c r="B829" s="2" t="n">
        <v>108</v>
      </c>
      <c r="C829" s="2" t="s">
        <v>617</v>
      </c>
      <c r="D829" s="2" t="s">
        <v>721</v>
      </c>
      <c r="E829" s="2" t="s">
        <v>627</v>
      </c>
    </row>
    <row r="830" customFormat="false" ht="15" hidden="false" customHeight="false" outlineLevel="0" collapsed="false">
      <c r="A830" s="2" t="s">
        <v>616</v>
      </c>
      <c r="B830" s="2" t="n">
        <v>108</v>
      </c>
      <c r="C830" s="2" t="s">
        <v>128</v>
      </c>
      <c r="D830" s="2" t="s">
        <v>722</v>
      </c>
      <c r="E830" s="2" t="s">
        <v>130</v>
      </c>
    </row>
    <row r="831" customFormat="false" ht="15" hidden="false" customHeight="false" outlineLevel="0" collapsed="false">
      <c r="A831" s="2" t="s">
        <v>616</v>
      </c>
      <c r="B831" s="2" t="n">
        <v>109</v>
      </c>
      <c r="C831" s="2" t="s">
        <v>128</v>
      </c>
      <c r="D831" s="2" t="s">
        <v>723</v>
      </c>
      <c r="E831" s="2" t="s">
        <v>130</v>
      </c>
    </row>
    <row r="832" customFormat="false" ht="15" hidden="false" customHeight="false" outlineLevel="0" collapsed="false">
      <c r="A832" s="2" t="s">
        <v>616</v>
      </c>
      <c r="B832" s="2" t="n">
        <v>110</v>
      </c>
      <c r="C832" s="2" t="s">
        <v>617</v>
      </c>
      <c r="D832" s="2" t="s">
        <v>626</v>
      </c>
      <c r="E832" s="2" t="s">
        <v>627</v>
      </c>
    </row>
    <row r="833" customFormat="false" ht="15" hidden="false" customHeight="false" outlineLevel="0" collapsed="false">
      <c r="A833" s="2" t="s">
        <v>616</v>
      </c>
      <c r="B833" s="2" t="n">
        <v>110</v>
      </c>
      <c r="C833" s="2" t="s">
        <v>128</v>
      </c>
      <c r="D833" s="2" t="s">
        <v>724</v>
      </c>
      <c r="E833" s="2" t="s">
        <v>130</v>
      </c>
    </row>
    <row r="834" customFormat="false" ht="15" hidden="false" customHeight="false" outlineLevel="0" collapsed="false">
      <c r="A834" s="2" t="s">
        <v>616</v>
      </c>
      <c r="B834" s="2" t="n">
        <v>111</v>
      </c>
      <c r="C834" s="2" t="s">
        <v>617</v>
      </c>
      <c r="D834" s="2" t="s">
        <v>725</v>
      </c>
      <c r="E834" s="2" t="s">
        <v>621</v>
      </c>
    </row>
    <row r="835" customFormat="false" ht="15" hidden="false" customHeight="false" outlineLevel="0" collapsed="false">
      <c r="A835" s="2" t="s">
        <v>616</v>
      </c>
      <c r="B835" s="2" t="n">
        <v>111</v>
      </c>
      <c r="C835" s="2" t="s">
        <v>128</v>
      </c>
      <c r="D835" s="2" t="s">
        <v>726</v>
      </c>
      <c r="E835" s="2" t="s">
        <v>130</v>
      </c>
    </row>
    <row r="836" customFormat="false" ht="15" hidden="false" customHeight="false" outlineLevel="0" collapsed="false">
      <c r="A836" s="2" t="s">
        <v>616</v>
      </c>
      <c r="B836" s="2" t="n">
        <v>112</v>
      </c>
      <c r="C836" s="2" t="s">
        <v>617</v>
      </c>
      <c r="D836" s="2" t="s">
        <v>661</v>
      </c>
      <c r="E836" s="2" t="s">
        <v>638</v>
      </c>
    </row>
    <row r="837" customFormat="false" ht="15" hidden="false" customHeight="false" outlineLevel="0" collapsed="false">
      <c r="A837" s="2" t="s">
        <v>616</v>
      </c>
      <c r="B837" s="2" t="n">
        <v>113</v>
      </c>
      <c r="C837" s="2" t="s">
        <v>617</v>
      </c>
      <c r="D837" s="2" t="s">
        <v>727</v>
      </c>
      <c r="E837" s="2" t="s">
        <v>657</v>
      </c>
    </row>
    <row r="838" customFormat="false" ht="15" hidden="false" customHeight="false" outlineLevel="0" collapsed="false">
      <c r="A838" s="2" t="s">
        <v>616</v>
      </c>
      <c r="B838" s="2" t="n">
        <v>113</v>
      </c>
      <c r="C838" s="2" t="s">
        <v>128</v>
      </c>
      <c r="D838" s="2" t="s">
        <v>728</v>
      </c>
      <c r="E838" s="2" t="s">
        <v>130</v>
      </c>
    </row>
    <row r="839" customFormat="false" ht="15" hidden="false" customHeight="false" outlineLevel="0" collapsed="false">
      <c r="A839" s="2" t="s">
        <v>616</v>
      </c>
      <c r="B839" s="2" t="n">
        <v>114</v>
      </c>
      <c r="C839" s="2" t="s">
        <v>125</v>
      </c>
      <c r="D839" s="2" t="s">
        <v>271</v>
      </c>
      <c r="E839" s="2" t="s">
        <v>127</v>
      </c>
    </row>
    <row r="840" customFormat="false" ht="15" hidden="false" customHeight="false" outlineLevel="0" collapsed="false">
      <c r="A840" s="2" t="s">
        <v>616</v>
      </c>
      <c r="B840" s="2" t="n">
        <v>115</v>
      </c>
      <c r="C840" s="2" t="s">
        <v>617</v>
      </c>
      <c r="D840" s="2" t="s">
        <v>678</v>
      </c>
      <c r="E840" s="2" t="s">
        <v>619</v>
      </c>
    </row>
    <row r="841" customFormat="false" ht="15" hidden="false" customHeight="false" outlineLevel="0" collapsed="false">
      <c r="A841" s="2" t="s">
        <v>616</v>
      </c>
      <c r="B841" s="2" t="n">
        <v>116</v>
      </c>
      <c r="C841" s="2" t="s">
        <v>617</v>
      </c>
      <c r="D841" s="2" t="s">
        <v>634</v>
      </c>
      <c r="E841" s="2" t="s">
        <v>635</v>
      </c>
    </row>
    <row r="842" customFormat="false" ht="15" hidden="false" customHeight="false" outlineLevel="0" collapsed="false">
      <c r="A842" s="2" t="s">
        <v>616</v>
      </c>
      <c r="B842" s="2" t="n">
        <v>117</v>
      </c>
      <c r="C842" s="2" t="s">
        <v>617</v>
      </c>
      <c r="D842" s="2" t="s">
        <v>729</v>
      </c>
      <c r="E842" s="2" t="s">
        <v>623</v>
      </c>
    </row>
    <row r="843" customFormat="false" ht="15" hidden="false" customHeight="false" outlineLevel="0" collapsed="false">
      <c r="A843" s="2" t="s">
        <v>616</v>
      </c>
      <c r="B843" s="2" t="n">
        <v>117</v>
      </c>
      <c r="C843" s="2" t="s">
        <v>128</v>
      </c>
      <c r="D843" s="2" t="s">
        <v>730</v>
      </c>
      <c r="E843" s="2" t="s">
        <v>130</v>
      </c>
    </row>
    <row r="844" customFormat="false" ht="15" hidden="false" customHeight="false" outlineLevel="0" collapsed="false">
      <c r="A844" s="2" t="s">
        <v>616</v>
      </c>
      <c r="B844" s="2" t="n">
        <v>118</v>
      </c>
      <c r="C844" s="2" t="s">
        <v>617</v>
      </c>
      <c r="D844" s="2" t="s">
        <v>731</v>
      </c>
      <c r="E844" s="2" t="s">
        <v>732</v>
      </c>
    </row>
    <row r="845" customFormat="false" ht="15" hidden="false" customHeight="false" outlineLevel="0" collapsed="false">
      <c r="A845" s="2" t="s">
        <v>616</v>
      </c>
      <c r="B845" s="2" t="n">
        <v>119</v>
      </c>
      <c r="C845" s="2" t="s">
        <v>617</v>
      </c>
      <c r="D845" s="2" t="s">
        <v>731</v>
      </c>
      <c r="E845" s="2" t="s">
        <v>732</v>
      </c>
    </row>
    <row r="846" customFormat="false" ht="15" hidden="false" customHeight="false" outlineLevel="0" collapsed="false">
      <c r="A846" s="2" t="s">
        <v>616</v>
      </c>
      <c r="B846" s="2" t="n">
        <v>120</v>
      </c>
      <c r="C846" s="2" t="s">
        <v>617</v>
      </c>
      <c r="D846" s="2" t="s">
        <v>637</v>
      </c>
      <c r="E846" s="2" t="s">
        <v>638</v>
      </c>
    </row>
    <row r="847" customFormat="false" ht="15" hidden="false" customHeight="false" outlineLevel="0" collapsed="false">
      <c r="A847" s="2" t="s">
        <v>616</v>
      </c>
      <c r="B847" s="2" t="n">
        <v>120</v>
      </c>
      <c r="C847" s="2" t="s">
        <v>128</v>
      </c>
      <c r="D847" s="2" t="s">
        <v>733</v>
      </c>
      <c r="E847" s="2" t="s">
        <v>130</v>
      </c>
    </row>
    <row r="848" customFormat="false" ht="15" hidden="false" customHeight="false" outlineLevel="0" collapsed="false">
      <c r="A848" s="2" t="s">
        <v>616</v>
      </c>
      <c r="B848" s="2" t="n">
        <v>121</v>
      </c>
      <c r="C848" s="2" t="s">
        <v>617</v>
      </c>
      <c r="D848" s="2" t="s">
        <v>632</v>
      </c>
      <c r="E848" s="2" t="s">
        <v>633</v>
      </c>
    </row>
    <row r="849" customFormat="false" ht="15" hidden="false" customHeight="false" outlineLevel="0" collapsed="false">
      <c r="A849" s="2" t="s">
        <v>616</v>
      </c>
      <c r="B849" s="2" t="n">
        <v>122</v>
      </c>
      <c r="C849" s="2" t="s">
        <v>617</v>
      </c>
      <c r="D849" s="2" t="s">
        <v>661</v>
      </c>
      <c r="E849" s="2" t="s">
        <v>638</v>
      </c>
    </row>
    <row r="850" customFormat="false" ht="15" hidden="false" customHeight="false" outlineLevel="0" collapsed="false">
      <c r="A850" s="2" t="s">
        <v>616</v>
      </c>
      <c r="B850" s="2" t="n">
        <v>122</v>
      </c>
      <c r="C850" s="2" t="s">
        <v>128</v>
      </c>
      <c r="D850" s="2" t="s">
        <v>734</v>
      </c>
      <c r="E850" s="2" t="s">
        <v>130</v>
      </c>
    </row>
    <row r="851" customFormat="false" ht="15" hidden="false" customHeight="false" outlineLevel="0" collapsed="false">
      <c r="A851" s="2" t="s">
        <v>616</v>
      </c>
      <c r="B851" s="2" t="n">
        <v>125</v>
      </c>
      <c r="C851" s="2" t="s">
        <v>617</v>
      </c>
      <c r="D851" s="2" t="s">
        <v>620</v>
      </c>
      <c r="E851" s="2" t="s">
        <v>621</v>
      </c>
    </row>
    <row r="852" customFormat="false" ht="15" hidden="false" customHeight="false" outlineLevel="0" collapsed="false">
      <c r="A852" s="2" t="s">
        <v>616</v>
      </c>
      <c r="B852" s="2" t="n">
        <v>126</v>
      </c>
      <c r="C852" s="2" t="s">
        <v>128</v>
      </c>
      <c r="D852" s="2" t="s">
        <v>735</v>
      </c>
      <c r="E852" s="2" t="s">
        <v>130</v>
      </c>
    </row>
    <row r="853" customFormat="false" ht="15" hidden="false" customHeight="false" outlineLevel="0" collapsed="false">
      <c r="A853" s="2" t="s">
        <v>616</v>
      </c>
      <c r="B853" s="2" t="n">
        <v>127</v>
      </c>
      <c r="C853" s="2" t="s">
        <v>617</v>
      </c>
      <c r="D853" s="2" t="s">
        <v>736</v>
      </c>
      <c r="E853" s="2" t="s">
        <v>644</v>
      </c>
    </row>
    <row r="854" customFormat="false" ht="15" hidden="false" customHeight="false" outlineLevel="0" collapsed="false">
      <c r="A854" s="2" t="s">
        <v>616</v>
      </c>
      <c r="B854" s="2" t="n">
        <v>128</v>
      </c>
      <c r="C854" s="2" t="s">
        <v>128</v>
      </c>
      <c r="D854" s="2" t="s">
        <v>737</v>
      </c>
      <c r="E854" s="2" t="s">
        <v>130</v>
      </c>
    </row>
    <row r="855" customFormat="false" ht="15" hidden="false" customHeight="false" outlineLevel="0" collapsed="false">
      <c r="A855" s="2" t="s">
        <v>616</v>
      </c>
      <c r="B855" s="2" t="n">
        <v>129</v>
      </c>
      <c r="C855" s="2" t="s">
        <v>125</v>
      </c>
      <c r="D855" s="2" t="s">
        <v>280</v>
      </c>
      <c r="E855" s="2" t="s">
        <v>127</v>
      </c>
    </row>
    <row r="856" customFormat="false" ht="15" hidden="false" customHeight="false" outlineLevel="0" collapsed="false">
      <c r="A856" s="2" t="s">
        <v>616</v>
      </c>
      <c r="B856" s="2" t="n">
        <v>129</v>
      </c>
      <c r="C856" s="2" t="s">
        <v>617</v>
      </c>
      <c r="D856" s="2" t="s">
        <v>719</v>
      </c>
      <c r="E856" s="2" t="s">
        <v>630</v>
      </c>
    </row>
    <row r="857" customFormat="false" ht="15" hidden="false" customHeight="false" outlineLevel="0" collapsed="false">
      <c r="A857" s="2" t="s">
        <v>616</v>
      </c>
      <c r="B857" s="2" t="n">
        <v>130</v>
      </c>
      <c r="C857" s="2" t="s">
        <v>125</v>
      </c>
      <c r="D857" s="2" t="s">
        <v>282</v>
      </c>
      <c r="E857" s="2" t="s">
        <v>127</v>
      </c>
    </row>
    <row r="858" customFormat="false" ht="15" hidden="false" customHeight="false" outlineLevel="0" collapsed="false">
      <c r="A858" s="2" t="s">
        <v>616</v>
      </c>
      <c r="B858" s="2" t="n">
        <v>130</v>
      </c>
      <c r="C858" s="2" t="s">
        <v>617</v>
      </c>
      <c r="D858" s="2" t="s">
        <v>683</v>
      </c>
      <c r="E858" s="2" t="s">
        <v>665</v>
      </c>
    </row>
    <row r="859" customFormat="false" ht="15" hidden="false" customHeight="false" outlineLevel="0" collapsed="false">
      <c r="A859" s="2" t="s">
        <v>616</v>
      </c>
      <c r="B859" s="2" t="n">
        <v>130</v>
      </c>
      <c r="C859" s="2" t="s">
        <v>128</v>
      </c>
      <c r="D859" s="2" t="s">
        <v>738</v>
      </c>
      <c r="E859" s="2" t="s">
        <v>130</v>
      </c>
    </row>
    <row r="860" customFormat="false" ht="15" hidden="false" customHeight="false" outlineLevel="0" collapsed="false">
      <c r="A860" s="2" t="s">
        <v>616</v>
      </c>
      <c r="B860" s="2" t="n">
        <v>131</v>
      </c>
      <c r="C860" s="2" t="s">
        <v>125</v>
      </c>
      <c r="D860" s="2" t="s">
        <v>739</v>
      </c>
      <c r="E860" s="2" t="s">
        <v>127</v>
      </c>
    </row>
    <row r="861" customFormat="false" ht="15" hidden="false" customHeight="false" outlineLevel="0" collapsed="false">
      <c r="A861" s="2" t="s">
        <v>616</v>
      </c>
      <c r="B861" s="2" t="n">
        <v>131</v>
      </c>
      <c r="C861" s="2" t="s">
        <v>617</v>
      </c>
      <c r="D861" s="2" t="s">
        <v>740</v>
      </c>
      <c r="E861" s="2" t="s">
        <v>627</v>
      </c>
    </row>
    <row r="862" customFormat="false" ht="15" hidden="false" customHeight="false" outlineLevel="0" collapsed="false">
      <c r="A862" s="2" t="s">
        <v>616</v>
      </c>
      <c r="B862" s="2" t="n">
        <v>131</v>
      </c>
      <c r="C862" s="2" t="s">
        <v>128</v>
      </c>
      <c r="D862" s="2" t="s">
        <v>741</v>
      </c>
      <c r="E862" s="2" t="s">
        <v>130</v>
      </c>
    </row>
    <row r="863" customFormat="false" ht="15" hidden="false" customHeight="false" outlineLevel="0" collapsed="false">
      <c r="A863" s="2" t="s">
        <v>616</v>
      </c>
      <c r="B863" s="2" t="n">
        <v>132</v>
      </c>
      <c r="C863" s="2" t="s">
        <v>617</v>
      </c>
      <c r="D863" s="2" t="s">
        <v>634</v>
      </c>
      <c r="E863" s="2" t="s">
        <v>635</v>
      </c>
    </row>
    <row r="864" customFormat="false" ht="15" hidden="false" customHeight="false" outlineLevel="0" collapsed="false">
      <c r="A864" s="2" t="s">
        <v>616</v>
      </c>
      <c r="B864" s="2" t="n">
        <v>133</v>
      </c>
      <c r="C864" s="2" t="s">
        <v>125</v>
      </c>
      <c r="D864" s="2" t="s">
        <v>287</v>
      </c>
      <c r="E864" s="2" t="s">
        <v>127</v>
      </c>
    </row>
    <row r="865" customFormat="false" ht="15" hidden="false" customHeight="false" outlineLevel="0" collapsed="false">
      <c r="A865" s="2" t="s">
        <v>616</v>
      </c>
      <c r="B865" s="2" t="n">
        <v>134</v>
      </c>
      <c r="C865" s="2" t="s">
        <v>125</v>
      </c>
      <c r="D865" s="2" t="s">
        <v>742</v>
      </c>
      <c r="E865" s="2" t="s">
        <v>127</v>
      </c>
    </row>
    <row r="866" customFormat="false" ht="15" hidden="false" customHeight="false" outlineLevel="0" collapsed="false">
      <c r="A866" s="2" t="s">
        <v>616</v>
      </c>
      <c r="B866" s="2" t="n">
        <v>134</v>
      </c>
      <c r="C866" s="2" t="s">
        <v>617</v>
      </c>
      <c r="D866" s="2" t="s">
        <v>634</v>
      </c>
      <c r="E866" s="2" t="s">
        <v>635</v>
      </c>
    </row>
    <row r="867" customFormat="false" ht="15" hidden="false" customHeight="false" outlineLevel="0" collapsed="false">
      <c r="A867" s="2" t="s">
        <v>616</v>
      </c>
      <c r="B867" s="2" t="n">
        <v>135</v>
      </c>
      <c r="C867" s="2" t="s">
        <v>125</v>
      </c>
      <c r="D867" s="2" t="s">
        <v>743</v>
      </c>
      <c r="E867" s="2" t="s">
        <v>127</v>
      </c>
    </row>
    <row r="868" customFormat="false" ht="15" hidden="false" customHeight="false" outlineLevel="0" collapsed="false">
      <c r="A868" s="2" t="s">
        <v>616</v>
      </c>
      <c r="B868" s="2" t="n">
        <v>135</v>
      </c>
      <c r="C868" s="2" t="s">
        <v>617</v>
      </c>
      <c r="D868" s="2" t="s">
        <v>637</v>
      </c>
      <c r="E868" s="2" t="s">
        <v>638</v>
      </c>
    </row>
    <row r="869" customFormat="false" ht="15" hidden="false" customHeight="false" outlineLevel="0" collapsed="false">
      <c r="A869" s="2" t="s">
        <v>616</v>
      </c>
      <c r="B869" s="2" t="n">
        <v>136</v>
      </c>
      <c r="C869" s="2" t="s">
        <v>125</v>
      </c>
      <c r="D869" s="2" t="s">
        <v>291</v>
      </c>
      <c r="E869" s="2" t="s">
        <v>127</v>
      </c>
    </row>
    <row r="870" customFormat="false" ht="15" hidden="false" customHeight="false" outlineLevel="0" collapsed="false">
      <c r="A870" s="2" t="s">
        <v>616</v>
      </c>
      <c r="B870" s="2" t="n">
        <v>136</v>
      </c>
      <c r="C870" s="2" t="s">
        <v>617</v>
      </c>
      <c r="D870" s="2" t="s">
        <v>727</v>
      </c>
      <c r="E870" s="2" t="s">
        <v>657</v>
      </c>
    </row>
    <row r="871" customFormat="false" ht="15" hidden="false" customHeight="false" outlineLevel="0" collapsed="false">
      <c r="A871" s="2" t="s">
        <v>616</v>
      </c>
      <c r="B871" s="2" t="n">
        <v>136</v>
      </c>
      <c r="C871" s="2" t="s">
        <v>128</v>
      </c>
      <c r="D871" s="2" t="s">
        <v>744</v>
      </c>
      <c r="E871" s="2" t="s">
        <v>130</v>
      </c>
    </row>
    <row r="872" customFormat="false" ht="15" hidden="false" customHeight="false" outlineLevel="0" collapsed="false">
      <c r="A872" s="2" t="s">
        <v>616</v>
      </c>
      <c r="B872" s="2" t="n">
        <v>137</v>
      </c>
      <c r="C872" s="2" t="s">
        <v>125</v>
      </c>
      <c r="D872" s="2" t="s">
        <v>745</v>
      </c>
      <c r="E872" s="2" t="s">
        <v>127</v>
      </c>
    </row>
    <row r="873" customFormat="false" ht="15" hidden="false" customHeight="false" outlineLevel="0" collapsed="false">
      <c r="A873" s="2" t="s">
        <v>616</v>
      </c>
      <c r="B873" s="2" t="n">
        <v>137</v>
      </c>
      <c r="C873" s="2" t="s">
        <v>617</v>
      </c>
      <c r="D873" s="2" t="s">
        <v>668</v>
      </c>
      <c r="E873" s="2" t="s">
        <v>650</v>
      </c>
    </row>
    <row r="874" customFormat="false" ht="15" hidden="false" customHeight="false" outlineLevel="0" collapsed="false">
      <c r="A874" s="2" t="s">
        <v>616</v>
      </c>
      <c r="B874" s="2" t="n">
        <v>139</v>
      </c>
      <c r="C874" s="2" t="s">
        <v>125</v>
      </c>
      <c r="D874" s="2" t="s">
        <v>746</v>
      </c>
      <c r="E874" s="2" t="s">
        <v>127</v>
      </c>
    </row>
    <row r="875" customFormat="false" ht="15" hidden="false" customHeight="false" outlineLevel="0" collapsed="false">
      <c r="A875" s="2" t="s">
        <v>616</v>
      </c>
      <c r="B875" s="2" t="n">
        <v>140</v>
      </c>
      <c r="C875" s="2" t="s">
        <v>128</v>
      </c>
      <c r="D875" s="2" t="s">
        <v>747</v>
      </c>
      <c r="E875" s="2" t="s">
        <v>130</v>
      </c>
    </row>
    <row r="876" customFormat="false" ht="15" hidden="false" customHeight="false" outlineLevel="0" collapsed="false">
      <c r="A876" s="2" t="s">
        <v>616</v>
      </c>
      <c r="B876" s="2" t="n">
        <v>141</v>
      </c>
      <c r="C876" s="2" t="s">
        <v>617</v>
      </c>
      <c r="D876" s="2" t="s">
        <v>748</v>
      </c>
      <c r="E876" s="2" t="s">
        <v>633</v>
      </c>
    </row>
    <row r="877" customFormat="false" ht="15" hidden="false" customHeight="false" outlineLevel="0" collapsed="false">
      <c r="A877" s="2" t="s">
        <v>616</v>
      </c>
      <c r="B877" s="2" t="n">
        <v>142</v>
      </c>
      <c r="C877" s="2" t="s">
        <v>617</v>
      </c>
      <c r="D877" s="2" t="s">
        <v>701</v>
      </c>
      <c r="E877" s="2" t="s">
        <v>647</v>
      </c>
    </row>
    <row r="878" customFormat="false" ht="15" hidden="false" customHeight="false" outlineLevel="0" collapsed="false">
      <c r="A878" s="2" t="s">
        <v>616</v>
      </c>
      <c r="B878" s="2" t="n">
        <v>143</v>
      </c>
      <c r="C878" s="2" t="s">
        <v>617</v>
      </c>
      <c r="D878" s="2" t="s">
        <v>748</v>
      </c>
      <c r="E878" s="2" t="s">
        <v>633</v>
      </c>
    </row>
    <row r="879" customFormat="false" ht="15" hidden="false" customHeight="false" outlineLevel="0" collapsed="false">
      <c r="A879" s="2" t="s">
        <v>616</v>
      </c>
      <c r="B879" s="2" t="n">
        <v>143</v>
      </c>
      <c r="C879" s="2" t="s">
        <v>128</v>
      </c>
      <c r="D879" s="2" t="s">
        <v>749</v>
      </c>
      <c r="E879" s="2" t="s">
        <v>130</v>
      </c>
    </row>
    <row r="880" customFormat="false" ht="15" hidden="false" customHeight="false" outlineLevel="0" collapsed="false">
      <c r="A880" s="2" t="s">
        <v>616</v>
      </c>
      <c r="B880" s="2" t="n">
        <v>144</v>
      </c>
      <c r="C880" s="2" t="s">
        <v>617</v>
      </c>
      <c r="D880" s="2" t="s">
        <v>712</v>
      </c>
      <c r="E880" s="2" t="s">
        <v>665</v>
      </c>
    </row>
    <row r="881" customFormat="false" ht="15" hidden="false" customHeight="false" outlineLevel="0" collapsed="false">
      <c r="A881" s="2" t="s">
        <v>616</v>
      </c>
      <c r="B881" s="2" t="n">
        <v>145</v>
      </c>
      <c r="C881" s="2" t="s">
        <v>125</v>
      </c>
      <c r="D881" s="2" t="s">
        <v>750</v>
      </c>
      <c r="E881" s="2" t="s">
        <v>127</v>
      </c>
    </row>
    <row r="882" customFormat="false" ht="15" hidden="false" customHeight="false" outlineLevel="0" collapsed="false">
      <c r="A882" s="2" t="s">
        <v>616</v>
      </c>
      <c r="B882" s="2" t="n">
        <v>145</v>
      </c>
      <c r="C882" s="2" t="s">
        <v>617</v>
      </c>
      <c r="D882" s="2" t="s">
        <v>634</v>
      </c>
      <c r="E882" s="2" t="s">
        <v>635</v>
      </c>
    </row>
    <row r="883" customFormat="false" ht="15" hidden="false" customHeight="false" outlineLevel="0" collapsed="false">
      <c r="A883" s="2" t="s">
        <v>616</v>
      </c>
      <c r="B883" s="2" t="n">
        <v>146</v>
      </c>
      <c r="C883" s="2" t="s">
        <v>617</v>
      </c>
      <c r="D883" s="2" t="s">
        <v>719</v>
      </c>
      <c r="E883" s="2" t="s">
        <v>630</v>
      </c>
    </row>
    <row r="884" customFormat="false" ht="15" hidden="false" customHeight="false" outlineLevel="0" collapsed="false">
      <c r="A884" s="2" t="s">
        <v>616</v>
      </c>
      <c r="B884" s="2" t="n">
        <v>147</v>
      </c>
      <c r="C884" s="2" t="s">
        <v>125</v>
      </c>
      <c r="D884" s="2" t="s">
        <v>751</v>
      </c>
      <c r="E884" s="2" t="s">
        <v>127</v>
      </c>
    </row>
    <row r="885" customFormat="false" ht="15" hidden="false" customHeight="false" outlineLevel="0" collapsed="false">
      <c r="A885" s="2" t="s">
        <v>616</v>
      </c>
      <c r="B885" s="2" t="n">
        <v>147</v>
      </c>
      <c r="C885" s="2" t="s">
        <v>617</v>
      </c>
      <c r="D885" s="2" t="s">
        <v>637</v>
      </c>
      <c r="E885" s="2" t="s">
        <v>638</v>
      </c>
    </row>
    <row r="886" customFormat="false" ht="15" hidden="false" customHeight="false" outlineLevel="0" collapsed="false">
      <c r="A886" s="2" t="s">
        <v>616</v>
      </c>
      <c r="B886" s="2" t="n">
        <v>148</v>
      </c>
      <c r="C886" s="2" t="s">
        <v>125</v>
      </c>
      <c r="D886" s="2" t="s">
        <v>751</v>
      </c>
      <c r="E886" s="2" t="s">
        <v>127</v>
      </c>
    </row>
    <row r="887" customFormat="false" ht="15" hidden="false" customHeight="false" outlineLevel="0" collapsed="false">
      <c r="A887" s="2" t="s">
        <v>616</v>
      </c>
      <c r="B887" s="2" t="n">
        <v>149</v>
      </c>
      <c r="C887" s="2" t="s">
        <v>125</v>
      </c>
      <c r="D887" s="2" t="s">
        <v>752</v>
      </c>
      <c r="E887" s="2" t="s">
        <v>127</v>
      </c>
    </row>
    <row r="888" customFormat="false" ht="15" hidden="false" customHeight="false" outlineLevel="0" collapsed="false">
      <c r="A888" s="2" t="s">
        <v>616</v>
      </c>
      <c r="B888" s="2" t="n">
        <v>149</v>
      </c>
      <c r="C888" s="2" t="s">
        <v>617</v>
      </c>
      <c r="D888" s="2" t="s">
        <v>721</v>
      </c>
      <c r="E888" s="2" t="s">
        <v>627</v>
      </c>
    </row>
    <row r="889" customFormat="false" ht="15" hidden="false" customHeight="false" outlineLevel="0" collapsed="false">
      <c r="A889" s="2" t="s">
        <v>616</v>
      </c>
      <c r="B889" s="2" t="n">
        <v>151</v>
      </c>
      <c r="C889" s="2" t="s">
        <v>617</v>
      </c>
      <c r="D889" s="2" t="s">
        <v>618</v>
      </c>
      <c r="E889" s="2" t="s">
        <v>619</v>
      </c>
    </row>
    <row r="890" customFormat="false" ht="15" hidden="false" customHeight="false" outlineLevel="0" collapsed="false">
      <c r="A890" s="2" t="s">
        <v>616</v>
      </c>
      <c r="B890" s="2" t="n">
        <v>152</v>
      </c>
      <c r="C890" s="2" t="s">
        <v>125</v>
      </c>
      <c r="D890" s="2" t="s">
        <v>753</v>
      </c>
      <c r="E890" s="2" t="s">
        <v>127</v>
      </c>
    </row>
    <row r="891" customFormat="false" ht="15" hidden="false" customHeight="false" outlineLevel="0" collapsed="false">
      <c r="A891" s="2" t="s">
        <v>616</v>
      </c>
      <c r="B891" s="2" t="n">
        <v>152</v>
      </c>
      <c r="C891" s="2" t="s">
        <v>617</v>
      </c>
      <c r="D891" s="2" t="s">
        <v>700</v>
      </c>
      <c r="E891" s="2" t="s">
        <v>657</v>
      </c>
    </row>
    <row r="892" customFormat="false" ht="15" hidden="false" customHeight="false" outlineLevel="0" collapsed="false">
      <c r="A892" s="2" t="s">
        <v>616</v>
      </c>
      <c r="B892" s="2" t="n">
        <v>153</v>
      </c>
      <c r="C892" s="2" t="s">
        <v>125</v>
      </c>
      <c r="D892" s="2" t="s">
        <v>753</v>
      </c>
      <c r="E892" s="2" t="s">
        <v>127</v>
      </c>
    </row>
    <row r="893" customFormat="false" ht="15" hidden="false" customHeight="false" outlineLevel="0" collapsed="false">
      <c r="A893" s="2" t="s">
        <v>616</v>
      </c>
      <c r="B893" s="2" t="n">
        <v>153</v>
      </c>
      <c r="C893" s="2" t="s">
        <v>617</v>
      </c>
      <c r="D893" s="2" t="s">
        <v>654</v>
      </c>
      <c r="E893" s="2" t="s">
        <v>621</v>
      </c>
    </row>
    <row r="894" customFormat="false" ht="15" hidden="false" customHeight="false" outlineLevel="0" collapsed="false">
      <c r="A894" s="2" t="s">
        <v>616</v>
      </c>
      <c r="B894" s="2" t="n">
        <v>154</v>
      </c>
      <c r="C894" s="2" t="s">
        <v>617</v>
      </c>
      <c r="D894" s="2" t="s">
        <v>700</v>
      </c>
      <c r="E894" s="2" t="s">
        <v>657</v>
      </c>
    </row>
    <row r="895" customFormat="false" ht="15" hidden="false" customHeight="false" outlineLevel="0" collapsed="false">
      <c r="A895" s="2" t="s">
        <v>616</v>
      </c>
      <c r="B895" s="2" t="n">
        <v>154</v>
      </c>
      <c r="C895" s="2" t="s">
        <v>128</v>
      </c>
      <c r="D895" s="2" t="s">
        <v>754</v>
      </c>
      <c r="E895" s="2" t="s">
        <v>130</v>
      </c>
    </row>
    <row r="896" customFormat="false" ht="15" hidden="false" customHeight="false" outlineLevel="0" collapsed="false">
      <c r="A896" s="2" t="s">
        <v>616</v>
      </c>
      <c r="B896" s="2" t="n">
        <v>155</v>
      </c>
      <c r="C896" s="2" t="s">
        <v>617</v>
      </c>
      <c r="D896" s="2" t="s">
        <v>649</v>
      </c>
      <c r="E896" s="2" t="s">
        <v>650</v>
      </c>
    </row>
    <row r="897" customFormat="false" ht="15" hidden="false" customHeight="false" outlineLevel="0" collapsed="false">
      <c r="A897" s="2" t="s">
        <v>616</v>
      </c>
      <c r="B897" s="2" t="n">
        <v>156</v>
      </c>
      <c r="C897" s="2" t="s">
        <v>617</v>
      </c>
      <c r="D897" s="2" t="s">
        <v>643</v>
      </c>
      <c r="E897" s="2" t="s">
        <v>644</v>
      </c>
    </row>
    <row r="898" customFormat="false" ht="15" hidden="false" customHeight="false" outlineLevel="0" collapsed="false">
      <c r="A898" s="2" t="s">
        <v>616</v>
      </c>
      <c r="B898" s="2" t="n">
        <v>158</v>
      </c>
      <c r="C898" s="2" t="s">
        <v>617</v>
      </c>
      <c r="D898" s="2" t="s">
        <v>640</v>
      </c>
      <c r="E898" s="2" t="s">
        <v>619</v>
      </c>
    </row>
    <row r="899" customFormat="false" ht="15" hidden="false" customHeight="false" outlineLevel="0" collapsed="false">
      <c r="A899" s="2" t="s">
        <v>616</v>
      </c>
      <c r="B899" s="2" t="n">
        <v>159</v>
      </c>
      <c r="C899" s="2" t="s">
        <v>617</v>
      </c>
      <c r="D899" s="2" t="s">
        <v>622</v>
      </c>
      <c r="E899" s="2" t="s">
        <v>623</v>
      </c>
    </row>
    <row r="900" customFormat="false" ht="15" hidden="false" customHeight="false" outlineLevel="0" collapsed="false">
      <c r="A900" s="2" t="s">
        <v>616</v>
      </c>
      <c r="B900" s="2" t="n">
        <v>159</v>
      </c>
      <c r="C900" s="2" t="s">
        <v>128</v>
      </c>
      <c r="D900" s="2" t="s">
        <v>755</v>
      </c>
      <c r="E900" s="2" t="s">
        <v>130</v>
      </c>
    </row>
    <row r="901" customFormat="false" ht="15" hidden="false" customHeight="false" outlineLevel="0" collapsed="false">
      <c r="A901" s="2" t="s">
        <v>616</v>
      </c>
      <c r="B901" s="2" t="n">
        <v>160</v>
      </c>
      <c r="C901" s="2" t="s">
        <v>125</v>
      </c>
      <c r="D901" s="2" t="s">
        <v>756</v>
      </c>
      <c r="E901" s="2" t="s">
        <v>127</v>
      </c>
    </row>
    <row r="902" customFormat="false" ht="15" hidden="false" customHeight="false" outlineLevel="0" collapsed="false">
      <c r="A902" s="2" t="s">
        <v>616</v>
      </c>
      <c r="B902" s="2" t="n">
        <v>160</v>
      </c>
      <c r="C902" s="2" t="s">
        <v>617</v>
      </c>
      <c r="D902" s="2" t="s">
        <v>696</v>
      </c>
      <c r="E902" s="2" t="s">
        <v>635</v>
      </c>
    </row>
    <row r="903" customFormat="false" ht="15" hidden="false" customHeight="false" outlineLevel="0" collapsed="false">
      <c r="A903" s="2" t="s">
        <v>616</v>
      </c>
      <c r="B903" s="2" t="n">
        <v>162</v>
      </c>
      <c r="C903" s="2" t="s">
        <v>617</v>
      </c>
      <c r="D903" s="2" t="s">
        <v>712</v>
      </c>
      <c r="E903" s="2" t="s">
        <v>665</v>
      </c>
    </row>
    <row r="904" customFormat="false" ht="15" hidden="false" customHeight="false" outlineLevel="0" collapsed="false">
      <c r="A904" s="2" t="s">
        <v>616</v>
      </c>
      <c r="B904" s="2" t="n">
        <v>163</v>
      </c>
      <c r="C904" s="2" t="s">
        <v>617</v>
      </c>
      <c r="D904" s="2" t="s">
        <v>721</v>
      </c>
      <c r="E904" s="2" t="s">
        <v>627</v>
      </c>
    </row>
    <row r="905" customFormat="false" ht="15" hidden="false" customHeight="false" outlineLevel="0" collapsed="false">
      <c r="A905" s="2" t="s">
        <v>616</v>
      </c>
      <c r="B905" s="2" t="n">
        <v>164</v>
      </c>
      <c r="C905" s="2" t="s">
        <v>128</v>
      </c>
      <c r="D905" s="2" t="s">
        <v>757</v>
      </c>
      <c r="E905" s="2" t="s">
        <v>130</v>
      </c>
    </row>
    <row r="906" customFormat="false" ht="15" hidden="false" customHeight="false" outlineLevel="0" collapsed="false">
      <c r="A906" s="2" t="s">
        <v>616</v>
      </c>
      <c r="B906" s="2" t="n">
        <v>165</v>
      </c>
      <c r="C906" s="2" t="s">
        <v>125</v>
      </c>
      <c r="D906" s="2" t="s">
        <v>323</v>
      </c>
      <c r="E906" s="2" t="s">
        <v>127</v>
      </c>
    </row>
    <row r="907" customFormat="false" ht="15" hidden="false" customHeight="false" outlineLevel="0" collapsed="false">
      <c r="A907" s="2" t="s">
        <v>616</v>
      </c>
      <c r="B907" s="2" t="n">
        <v>165</v>
      </c>
      <c r="C907" s="2" t="s">
        <v>617</v>
      </c>
      <c r="D907" s="2" t="s">
        <v>758</v>
      </c>
      <c r="E907" s="2" t="s">
        <v>633</v>
      </c>
    </row>
    <row r="908" customFormat="false" ht="15" hidden="false" customHeight="false" outlineLevel="0" collapsed="false">
      <c r="A908" s="2" t="s">
        <v>616</v>
      </c>
      <c r="B908" s="2" t="n">
        <v>165</v>
      </c>
      <c r="C908" s="2" t="s">
        <v>128</v>
      </c>
      <c r="D908" s="2" t="s">
        <v>759</v>
      </c>
      <c r="E908" s="2" t="s">
        <v>130</v>
      </c>
    </row>
    <row r="909" customFormat="false" ht="15" hidden="false" customHeight="false" outlineLevel="0" collapsed="false">
      <c r="A909" s="2" t="s">
        <v>616</v>
      </c>
      <c r="B909" s="2" t="n">
        <v>166</v>
      </c>
      <c r="C909" s="2" t="s">
        <v>125</v>
      </c>
      <c r="D909" s="2" t="s">
        <v>760</v>
      </c>
      <c r="E909" s="2" t="s">
        <v>127</v>
      </c>
    </row>
    <row r="910" customFormat="false" ht="15" hidden="false" customHeight="false" outlineLevel="0" collapsed="false">
      <c r="A910" s="2" t="s">
        <v>616</v>
      </c>
      <c r="B910" s="2" t="n">
        <v>166</v>
      </c>
      <c r="C910" s="2" t="s">
        <v>617</v>
      </c>
      <c r="D910" s="2" t="s">
        <v>683</v>
      </c>
      <c r="E910" s="2" t="s">
        <v>665</v>
      </c>
    </row>
    <row r="911" customFormat="false" ht="15" hidden="false" customHeight="false" outlineLevel="0" collapsed="false">
      <c r="A911" s="2" t="s">
        <v>616</v>
      </c>
      <c r="B911" s="2" t="n">
        <v>168</v>
      </c>
      <c r="C911" s="2" t="s">
        <v>125</v>
      </c>
      <c r="D911" s="2" t="s">
        <v>760</v>
      </c>
      <c r="E911" s="2" t="s">
        <v>127</v>
      </c>
    </row>
    <row r="912" customFormat="false" ht="15" hidden="false" customHeight="false" outlineLevel="0" collapsed="false">
      <c r="A912" s="2" t="s">
        <v>616</v>
      </c>
      <c r="B912" s="2" t="n">
        <v>168</v>
      </c>
      <c r="C912" s="2" t="s">
        <v>617</v>
      </c>
      <c r="D912" s="2" t="s">
        <v>661</v>
      </c>
      <c r="E912" s="2" t="s">
        <v>638</v>
      </c>
    </row>
    <row r="913" customFormat="false" ht="15" hidden="false" customHeight="false" outlineLevel="0" collapsed="false">
      <c r="A913" s="2" t="s">
        <v>616</v>
      </c>
      <c r="B913" s="2" t="n">
        <v>169</v>
      </c>
      <c r="C913" s="2" t="s">
        <v>617</v>
      </c>
      <c r="D913" s="2" t="s">
        <v>711</v>
      </c>
      <c r="E913" s="2" t="s">
        <v>647</v>
      </c>
    </row>
    <row r="914" customFormat="false" ht="15" hidden="false" customHeight="false" outlineLevel="0" collapsed="false">
      <c r="A914" s="2" t="s">
        <v>616</v>
      </c>
      <c r="B914" s="2" t="n">
        <v>169</v>
      </c>
      <c r="C914" s="2" t="s">
        <v>128</v>
      </c>
      <c r="D914" s="2" t="s">
        <v>761</v>
      </c>
      <c r="E914" s="2" t="s">
        <v>130</v>
      </c>
    </row>
    <row r="915" customFormat="false" ht="15" hidden="false" customHeight="false" outlineLevel="0" collapsed="false">
      <c r="A915" s="2" t="s">
        <v>616</v>
      </c>
      <c r="B915" s="2" t="n">
        <v>170</v>
      </c>
      <c r="C915" s="2" t="s">
        <v>617</v>
      </c>
      <c r="D915" s="2" t="s">
        <v>666</v>
      </c>
      <c r="E915" s="2" t="s">
        <v>621</v>
      </c>
    </row>
    <row r="916" customFormat="false" ht="15" hidden="false" customHeight="false" outlineLevel="0" collapsed="false">
      <c r="A916" s="2" t="s">
        <v>616</v>
      </c>
      <c r="B916" s="2" t="n">
        <v>171</v>
      </c>
      <c r="C916" s="2" t="s">
        <v>125</v>
      </c>
      <c r="D916" s="2" t="s">
        <v>762</v>
      </c>
      <c r="E916" s="2" t="s">
        <v>127</v>
      </c>
    </row>
    <row r="917" customFormat="false" ht="15" hidden="false" customHeight="false" outlineLevel="0" collapsed="false">
      <c r="A917" s="2" t="s">
        <v>616</v>
      </c>
      <c r="B917" s="2" t="n">
        <v>171</v>
      </c>
      <c r="C917" s="2" t="s">
        <v>617</v>
      </c>
      <c r="D917" s="2" t="s">
        <v>727</v>
      </c>
      <c r="E917" s="2" t="s">
        <v>657</v>
      </c>
    </row>
    <row r="918" customFormat="false" ht="15" hidden="false" customHeight="false" outlineLevel="0" collapsed="false">
      <c r="A918" s="2" t="s">
        <v>616</v>
      </c>
      <c r="B918" s="2" t="n">
        <v>172</v>
      </c>
      <c r="C918" s="2" t="s">
        <v>617</v>
      </c>
      <c r="D918" s="2" t="s">
        <v>763</v>
      </c>
      <c r="E918" s="2" t="s">
        <v>650</v>
      </c>
    </row>
    <row r="919" customFormat="false" ht="15" hidden="false" customHeight="false" outlineLevel="0" collapsed="false">
      <c r="A919" s="2" t="s">
        <v>616</v>
      </c>
      <c r="B919" s="2" t="n">
        <v>174</v>
      </c>
      <c r="C919" s="2" t="s">
        <v>128</v>
      </c>
      <c r="D919" s="2" t="s">
        <v>764</v>
      </c>
      <c r="E919" s="2" t="s">
        <v>130</v>
      </c>
    </row>
    <row r="920" customFormat="false" ht="15" hidden="false" customHeight="false" outlineLevel="0" collapsed="false">
      <c r="A920" s="2" t="s">
        <v>616</v>
      </c>
      <c r="B920" s="2" t="n">
        <v>175</v>
      </c>
      <c r="C920" s="2" t="s">
        <v>617</v>
      </c>
      <c r="D920" s="2" t="s">
        <v>765</v>
      </c>
      <c r="E920" s="2" t="s">
        <v>732</v>
      </c>
    </row>
    <row r="921" customFormat="false" ht="15" hidden="false" customHeight="false" outlineLevel="0" collapsed="false">
      <c r="A921" s="2" t="s">
        <v>616</v>
      </c>
      <c r="B921" s="2" t="n">
        <v>176</v>
      </c>
      <c r="C921" s="2" t="s">
        <v>617</v>
      </c>
      <c r="D921" s="2" t="s">
        <v>731</v>
      </c>
      <c r="E921" s="2" t="s">
        <v>732</v>
      </c>
    </row>
    <row r="922" customFormat="false" ht="15" hidden="false" customHeight="false" outlineLevel="0" collapsed="false">
      <c r="A922" s="2" t="s">
        <v>616</v>
      </c>
      <c r="B922" s="2" t="n">
        <v>177</v>
      </c>
      <c r="C922" s="2" t="s">
        <v>617</v>
      </c>
      <c r="D922" s="2" t="s">
        <v>620</v>
      </c>
      <c r="E922" s="2" t="s">
        <v>621</v>
      </c>
    </row>
    <row r="923" customFormat="false" ht="15" hidden="false" customHeight="false" outlineLevel="0" collapsed="false">
      <c r="A923" s="2" t="s">
        <v>616</v>
      </c>
      <c r="B923" s="2" t="n">
        <v>177</v>
      </c>
      <c r="C923" s="2" t="s">
        <v>128</v>
      </c>
      <c r="D923" s="2" t="s">
        <v>766</v>
      </c>
      <c r="E923" s="2" t="s">
        <v>130</v>
      </c>
    </row>
    <row r="924" customFormat="false" ht="15" hidden="false" customHeight="false" outlineLevel="0" collapsed="false">
      <c r="A924" s="2" t="s">
        <v>616</v>
      </c>
      <c r="B924" s="2" t="n">
        <v>178</v>
      </c>
      <c r="C924" s="2" t="s">
        <v>125</v>
      </c>
      <c r="D924" s="2" t="s">
        <v>767</v>
      </c>
      <c r="E924" s="2" t="s">
        <v>127</v>
      </c>
    </row>
    <row r="925" customFormat="false" ht="15" hidden="false" customHeight="false" outlineLevel="0" collapsed="false">
      <c r="A925" s="2" t="s">
        <v>616</v>
      </c>
      <c r="B925" s="2" t="n">
        <v>178</v>
      </c>
      <c r="C925" s="2" t="s">
        <v>617</v>
      </c>
      <c r="D925" s="2" t="s">
        <v>719</v>
      </c>
      <c r="E925" s="2" t="s">
        <v>630</v>
      </c>
    </row>
    <row r="926" customFormat="false" ht="15" hidden="false" customHeight="false" outlineLevel="0" collapsed="false">
      <c r="A926" s="2" t="s">
        <v>616</v>
      </c>
      <c r="B926" s="2" t="n">
        <v>181</v>
      </c>
      <c r="C926" s="2" t="s">
        <v>125</v>
      </c>
      <c r="D926" s="2" t="s">
        <v>768</v>
      </c>
      <c r="E926" s="2" t="s">
        <v>127</v>
      </c>
    </row>
    <row r="927" customFormat="false" ht="15" hidden="false" customHeight="false" outlineLevel="0" collapsed="false">
      <c r="A927" s="2" t="s">
        <v>616</v>
      </c>
      <c r="B927" s="2" t="n">
        <v>181</v>
      </c>
      <c r="C927" s="2" t="s">
        <v>128</v>
      </c>
      <c r="D927" s="2" t="s">
        <v>769</v>
      </c>
      <c r="E927" s="2" t="s">
        <v>130</v>
      </c>
    </row>
    <row r="928" customFormat="false" ht="15" hidden="false" customHeight="false" outlineLevel="0" collapsed="false">
      <c r="A928" s="2" t="s">
        <v>616</v>
      </c>
      <c r="B928" s="2" t="n">
        <v>182</v>
      </c>
      <c r="C928" s="2" t="s">
        <v>128</v>
      </c>
      <c r="D928" s="2" t="s">
        <v>770</v>
      </c>
      <c r="E928" s="2" t="s">
        <v>130</v>
      </c>
    </row>
    <row r="929" customFormat="false" ht="15" hidden="false" customHeight="false" outlineLevel="0" collapsed="false">
      <c r="A929" s="2" t="s">
        <v>616</v>
      </c>
      <c r="B929" s="2" t="n">
        <v>183</v>
      </c>
      <c r="C929" s="2" t="s">
        <v>617</v>
      </c>
      <c r="D929" s="2" t="s">
        <v>721</v>
      </c>
      <c r="E929" s="2" t="s">
        <v>627</v>
      </c>
    </row>
    <row r="930" customFormat="false" ht="15" hidden="false" customHeight="false" outlineLevel="0" collapsed="false">
      <c r="A930" s="2" t="s">
        <v>616</v>
      </c>
      <c r="B930" s="2" t="n">
        <v>184</v>
      </c>
      <c r="C930" s="2" t="s">
        <v>125</v>
      </c>
      <c r="D930" s="2" t="s">
        <v>344</v>
      </c>
      <c r="E930" s="2" t="s">
        <v>127</v>
      </c>
    </row>
    <row r="931" customFormat="false" ht="15" hidden="false" customHeight="false" outlineLevel="0" collapsed="false">
      <c r="A931" s="2" t="s">
        <v>616</v>
      </c>
      <c r="B931" s="2" t="n">
        <v>184</v>
      </c>
      <c r="C931" s="2" t="s">
        <v>617</v>
      </c>
      <c r="D931" s="2" t="s">
        <v>718</v>
      </c>
      <c r="E931" s="2" t="s">
        <v>638</v>
      </c>
    </row>
    <row r="932" customFormat="false" ht="15" hidden="false" customHeight="false" outlineLevel="0" collapsed="false">
      <c r="A932" s="2" t="s">
        <v>616</v>
      </c>
      <c r="B932" s="2" t="n">
        <v>185</v>
      </c>
      <c r="C932" s="2" t="s">
        <v>617</v>
      </c>
      <c r="D932" s="2" t="s">
        <v>729</v>
      </c>
      <c r="E932" s="2" t="s">
        <v>623</v>
      </c>
    </row>
    <row r="933" customFormat="false" ht="15" hidden="false" customHeight="false" outlineLevel="0" collapsed="false">
      <c r="A933" s="2" t="s">
        <v>616</v>
      </c>
      <c r="B933" s="2" t="n">
        <v>185</v>
      </c>
      <c r="C933" s="2" t="s">
        <v>128</v>
      </c>
      <c r="D933" s="2" t="s">
        <v>771</v>
      </c>
      <c r="E933" s="2" t="s">
        <v>130</v>
      </c>
    </row>
    <row r="934" customFormat="false" ht="15" hidden="false" customHeight="false" outlineLevel="0" collapsed="false">
      <c r="A934" s="2" t="s">
        <v>616</v>
      </c>
      <c r="B934" s="2" t="n">
        <v>187</v>
      </c>
      <c r="C934" s="2" t="s">
        <v>128</v>
      </c>
      <c r="D934" s="2" t="s">
        <v>772</v>
      </c>
      <c r="E934" s="2" t="s">
        <v>130</v>
      </c>
    </row>
    <row r="935" customFormat="false" ht="15" hidden="false" customHeight="false" outlineLevel="0" collapsed="false">
      <c r="A935" s="2" t="s">
        <v>616</v>
      </c>
      <c r="B935" s="2" t="n">
        <v>188</v>
      </c>
      <c r="C935" s="2" t="s">
        <v>125</v>
      </c>
      <c r="D935" s="2" t="s">
        <v>773</v>
      </c>
      <c r="E935" s="2" t="s">
        <v>127</v>
      </c>
    </row>
    <row r="936" customFormat="false" ht="15" hidden="false" customHeight="false" outlineLevel="0" collapsed="false">
      <c r="A936" s="2" t="s">
        <v>616</v>
      </c>
      <c r="B936" s="2" t="n">
        <v>188</v>
      </c>
      <c r="C936" s="2" t="s">
        <v>617</v>
      </c>
      <c r="D936" s="2" t="s">
        <v>680</v>
      </c>
      <c r="E936" s="2" t="s">
        <v>644</v>
      </c>
    </row>
    <row r="937" customFormat="false" ht="15" hidden="false" customHeight="false" outlineLevel="0" collapsed="false">
      <c r="A937" s="2" t="s">
        <v>616</v>
      </c>
      <c r="B937" s="2" t="n">
        <v>188</v>
      </c>
      <c r="C937" s="2" t="s">
        <v>128</v>
      </c>
      <c r="D937" s="2" t="s">
        <v>774</v>
      </c>
      <c r="E937" s="2" t="s">
        <v>130</v>
      </c>
    </row>
    <row r="938" customFormat="false" ht="15" hidden="false" customHeight="false" outlineLevel="0" collapsed="false">
      <c r="A938" s="2" t="s">
        <v>616</v>
      </c>
      <c r="B938" s="2" t="n">
        <v>189</v>
      </c>
      <c r="C938" s="2" t="s">
        <v>125</v>
      </c>
      <c r="D938" s="2" t="s">
        <v>350</v>
      </c>
      <c r="E938" s="2" t="s">
        <v>127</v>
      </c>
    </row>
    <row r="939" customFormat="false" ht="15" hidden="false" customHeight="false" outlineLevel="0" collapsed="false">
      <c r="A939" s="2" t="s">
        <v>616</v>
      </c>
      <c r="B939" s="2" t="n">
        <v>189</v>
      </c>
      <c r="C939" s="2" t="s">
        <v>128</v>
      </c>
      <c r="D939" s="2" t="s">
        <v>775</v>
      </c>
      <c r="E939" s="2" t="s">
        <v>130</v>
      </c>
    </row>
    <row r="940" customFormat="false" ht="15" hidden="false" customHeight="false" outlineLevel="0" collapsed="false">
      <c r="A940" s="2" t="s">
        <v>616</v>
      </c>
      <c r="B940" s="2" t="n">
        <v>190</v>
      </c>
      <c r="C940" s="2" t="s">
        <v>617</v>
      </c>
      <c r="D940" s="2" t="s">
        <v>736</v>
      </c>
      <c r="E940" s="2" t="s">
        <v>644</v>
      </c>
    </row>
    <row r="941" customFormat="false" ht="15" hidden="false" customHeight="false" outlineLevel="0" collapsed="false">
      <c r="A941" s="2" t="s">
        <v>616</v>
      </c>
      <c r="B941" s="2" t="n">
        <v>191</v>
      </c>
      <c r="C941" s="2" t="s">
        <v>125</v>
      </c>
      <c r="D941" s="2" t="s">
        <v>776</v>
      </c>
      <c r="E941" s="2" t="s">
        <v>127</v>
      </c>
    </row>
    <row r="942" customFormat="false" ht="15" hidden="false" customHeight="false" outlineLevel="0" collapsed="false">
      <c r="A942" s="2" t="s">
        <v>616</v>
      </c>
      <c r="B942" s="2" t="n">
        <v>191</v>
      </c>
      <c r="C942" s="2" t="s">
        <v>128</v>
      </c>
      <c r="D942" s="2" t="s">
        <v>777</v>
      </c>
      <c r="E942" s="2" t="s">
        <v>130</v>
      </c>
    </row>
    <row r="943" customFormat="false" ht="15" hidden="false" customHeight="false" outlineLevel="0" collapsed="false">
      <c r="A943" s="2" t="s">
        <v>616</v>
      </c>
      <c r="B943" s="2" t="n">
        <v>192</v>
      </c>
      <c r="C943" s="2" t="s">
        <v>617</v>
      </c>
      <c r="D943" s="2" t="s">
        <v>718</v>
      </c>
      <c r="E943" s="2" t="s">
        <v>638</v>
      </c>
    </row>
    <row r="944" customFormat="false" ht="15" hidden="false" customHeight="false" outlineLevel="0" collapsed="false">
      <c r="A944" s="2" t="s">
        <v>616</v>
      </c>
      <c r="B944" s="2" t="n">
        <v>193</v>
      </c>
      <c r="C944" s="2" t="s">
        <v>617</v>
      </c>
      <c r="D944" s="2" t="s">
        <v>678</v>
      </c>
      <c r="E944" s="2" t="s">
        <v>619</v>
      </c>
    </row>
    <row r="945" customFormat="false" ht="15" hidden="false" customHeight="false" outlineLevel="0" collapsed="false">
      <c r="A945" s="2" t="s">
        <v>616</v>
      </c>
      <c r="B945" s="2" t="n">
        <v>194</v>
      </c>
      <c r="C945" s="2" t="s">
        <v>617</v>
      </c>
      <c r="D945" s="2" t="s">
        <v>640</v>
      </c>
      <c r="E945" s="2" t="s">
        <v>619</v>
      </c>
    </row>
    <row r="946" customFormat="false" ht="15" hidden="false" customHeight="false" outlineLevel="0" collapsed="false">
      <c r="A946" s="2" t="s">
        <v>616</v>
      </c>
      <c r="B946" s="2" t="n">
        <v>195</v>
      </c>
      <c r="C946" s="2" t="s">
        <v>128</v>
      </c>
      <c r="D946" s="2" t="s">
        <v>778</v>
      </c>
      <c r="E946" s="2" t="s">
        <v>130</v>
      </c>
    </row>
    <row r="947" customFormat="false" ht="15" hidden="false" customHeight="false" outlineLevel="0" collapsed="false">
      <c r="A947" s="2" t="s">
        <v>616</v>
      </c>
      <c r="B947" s="2" t="n">
        <v>196</v>
      </c>
      <c r="C947" s="2" t="s">
        <v>617</v>
      </c>
      <c r="D947" s="2" t="s">
        <v>700</v>
      </c>
      <c r="E947" s="2" t="s">
        <v>657</v>
      </c>
    </row>
    <row r="948" customFormat="false" ht="15" hidden="false" customHeight="false" outlineLevel="0" collapsed="false">
      <c r="A948" s="2" t="s">
        <v>616</v>
      </c>
      <c r="B948" s="2" t="n">
        <v>197</v>
      </c>
      <c r="C948" s="2" t="s">
        <v>617</v>
      </c>
      <c r="D948" s="2" t="s">
        <v>711</v>
      </c>
      <c r="E948" s="2" t="s">
        <v>647</v>
      </c>
    </row>
    <row r="949" customFormat="false" ht="15" hidden="false" customHeight="false" outlineLevel="0" collapsed="false">
      <c r="A949" s="2" t="s">
        <v>616</v>
      </c>
      <c r="B949" s="2" t="n">
        <v>198</v>
      </c>
      <c r="C949" s="2" t="s">
        <v>128</v>
      </c>
      <c r="D949" s="2" t="s">
        <v>779</v>
      </c>
      <c r="E949" s="2" t="s">
        <v>130</v>
      </c>
    </row>
    <row r="950" customFormat="false" ht="15" hidden="false" customHeight="false" outlineLevel="0" collapsed="false">
      <c r="A950" s="2" t="s">
        <v>616</v>
      </c>
      <c r="B950" s="2" t="n">
        <v>199</v>
      </c>
      <c r="C950" s="2" t="s">
        <v>125</v>
      </c>
      <c r="D950" s="2" t="s">
        <v>780</v>
      </c>
      <c r="E950" s="2" t="s">
        <v>127</v>
      </c>
    </row>
    <row r="951" customFormat="false" ht="15" hidden="false" customHeight="false" outlineLevel="0" collapsed="false">
      <c r="A951" s="2" t="s">
        <v>616</v>
      </c>
      <c r="B951" s="2" t="n">
        <v>199</v>
      </c>
      <c r="C951" s="2" t="s">
        <v>617</v>
      </c>
      <c r="D951" s="2" t="s">
        <v>765</v>
      </c>
      <c r="E951" s="2" t="s">
        <v>732</v>
      </c>
    </row>
    <row r="952" customFormat="false" ht="15" hidden="false" customHeight="false" outlineLevel="0" collapsed="false">
      <c r="A952" s="2" t="s">
        <v>616</v>
      </c>
      <c r="B952" s="2" t="n">
        <v>199</v>
      </c>
      <c r="C952" s="2" t="s">
        <v>128</v>
      </c>
      <c r="D952" s="2" t="s">
        <v>781</v>
      </c>
      <c r="E952" s="2" t="s">
        <v>130</v>
      </c>
    </row>
    <row r="953" customFormat="false" ht="15" hidden="false" customHeight="false" outlineLevel="0" collapsed="false">
      <c r="A953" s="2" t="s">
        <v>616</v>
      </c>
      <c r="B953" s="2" t="n">
        <v>200</v>
      </c>
      <c r="C953" s="2" t="s">
        <v>617</v>
      </c>
      <c r="D953" s="2" t="s">
        <v>662</v>
      </c>
      <c r="E953" s="2" t="s">
        <v>647</v>
      </c>
    </row>
    <row r="954" customFormat="false" ht="15" hidden="false" customHeight="false" outlineLevel="0" collapsed="false">
      <c r="A954" s="2" t="s">
        <v>616</v>
      </c>
      <c r="B954" s="2" t="n">
        <v>202</v>
      </c>
      <c r="C954" s="2" t="s">
        <v>125</v>
      </c>
      <c r="D954" s="2" t="s">
        <v>782</v>
      </c>
      <c r="E954" s="2" t="s">
        <v>127</v>
      </c>
    </row>
    <row r="955" customFormat="false" ht="15" hidden="false" customHeight="false" outlineLevel="0" collapsed="false">
      <c r="A955" s="2" t="s">
        <v>616</v>
      </c>
      <c r="B955" s="2" t="n">
        <v>202</v>
      </c>
      <c r="C955" s="2" t="s">
        <v>617</v>
      </c>
      <c r="D955" s="2" t="s">
        <v>634</v>
      </c>
      <c r="E955" s="2" t="s">
        <v>635</v>
      </c>
    </row>
    <row r="956" customFormat="false" ht="15" hidden="false" customHeight="false" outlineLevel="0" collapsed="false">
      <c r="A956" s="2" t="s">
        <v>616</v>
      </c>
      <c r="B956" s="2" t="n">
        <v>202</v>
      </c>
      <c r="C956" s="2" t="s">
        <v>128</v>
      </c>
      <c r="D956" s="2" t="s">
        <v>783</v>
      </c>
      <c r="E956" s="2" t="s">
        <v>130</v>
      </c>
    </row>
    <row r="957" customFormat="false" ht="15" hidden="false" customHeight="false" outlineLevel="0" collapsed="false">
      <c r="A957" s="2" t="s">
        <v>616</v>
      </c>
      <c r="B957" s="2" t="n">
        <v>203</v>
      </c>
      <c r="C957" s="2" t="s">
        <v>125</v>
      </c>
      <c r="D957" s="2" t="s">
        <v>784</v>
      </c>
      <c r="E957" s="2" t="s">
        <v>127</v>
      </c>
    </row>
    <row r="958" customFormat="false" ht="15" hidden="false" customHeight="false" outlineLevel="0" collapsed="false">
      <c r="A958" s="2" t="s">
        <v>616</v>
      </c>
      <c r="B958" s="2" t="n">
        <v>203</v>
      </c>
      <c r="C958" s="2" t="s">
        <v>617</v>
      </c>
      <c r="D958" s="2" t="s">
        <v>683</v>
      </c>
      <c r="E958" s="2" t="s">
        <v>665</v>
      </c>
    </row>
    <row r="959" customFormat="false" ht="15" hidden="false" customHeight="false" outlineLevel="0" collapsed="false">
      <c r="A959" s="2" t="s">
        <v>616</v>
      </c>
      <c r="B959" s="2" t="n">
        <v>204</v>
      </c>
      <c r="C959" s="2" t="s">
        <v>617</v>
      </c>
      <c r="D959" s="2" t="s">
        <v>725</v>
      </c>
      <c r="E959" s="2" t="s">
        <v>621</v>
      </c>
    </row>
    <row r="960" customFormat="false" ht="15" hidden="false" customHeight="false" outlineLevel="0" collapsed="false">
      <c r="A960" s="2" t="s">
        <v>616</v>
      </c>
      <c r="B960" s="2" t="n">
        <v>204</v>
      </c>
      <c r="C960" s="2" t="s">
        <v>128</v>
      </c>
      <c r="D960" s="2" t="s">
        <v>785</v>
      </c>
      <c r="E960" s="2" t="s">
        <v>130</v>
      </c>
    </row>
    <row r="961" customFormat="false" ht="15" hidden="false" customHeight="false" outlineLevel="0" collapsed="false">
      <c r="A961" s="2" t="s">
        <v>616</v>
      </c>
      <c r="B961" s="2" t="n">
        <v>205</v>
      </c>
      <c r="C961" s="2" t="s">
        <v>617</v>
      </c>
      <c r="D961" s="2" t="s">
        <v>641</v>
      </c>
      <c r="E961" s="2" t="s">
        <v>630</v>
      </c>
    </row>
    <row r="962" customFormat="false" ht="15" hidden="false" customHeight="false" outlineLevel="0" collapsed="false">
      <c r="A962" s="2" t="s">
        <v>616</v>
      </c>
      <c r="B962" s="2" t="n">
        <v>206</v>
      </c>
      <c r="C962" s="2" t="s">
        <v>617</v>
      </c>
      <c r="D962" s="2" t="s">
        <v>637</v>
      </c>
      <c r="E962" s="2" t="s">
        <v>638</v>
      </c>
    </row>
    <row r="963" customFormat="false" ht="15" hidden="false" customHeight="false" outlineLevel="0" collapsed="false">
      <c r="A963" s="2" t="s">
        <v>616</v>
      </c>
      <c r="B963" s="2" t="n">
        <v>207</v>
      </c>
      <c r="C963" s="2" t="s">
        <v>125</v>
      </c>
      <c r="D963" s="2" t="s">
        <v>786</v>
      </c>
      <c r="E963" s="2" t="s">
        <v>127</v>
      </c>
    </row>
    <row r="964" customFormat="false" ht="15" hidden="false" customHeight="false" outlineLevel="0" collapsed="false">
      <c r="A964" s="2" t="s">
        <v>616</v>
      </c>
      <c r="B964" s="2" t="n">
        <v>207</v>
      </c>
      <c r="C964" s="2" t="s">
        <v>617</v>
      </c>
      <c r="D964" s="2" t="s">
        <v>740</v>
      </c>
      <c r="E964" s="2" t="s">
        <v>627</v>
      </c>
    </row>
    <row r="965" customFormat="false" ht="15" hidden="false" customHeight="false" outlineLevel="0" collapsed="false">
      <c r="A965" s="2" t="s">
        <v>616</v>
      </c>
      <c r="B965" s="2" t="n">
        <v>208</v>
      </c>
      <c r="C965" s="2" t="s">
        <v>125</v>
      </c>
      <c r="D965" s="2" t="s">
        <v>787</v>
      </c>
      <c r="E965" s="2" t="s">
        <v>127</v>
      </c>
    </row>
    <row r="966" customFormat="false" ht="15" hidden="false" customHeight="false" outlineLevel="0" collapsed="false">
      <c r="A966" s="2" t="s">
        <v>616</v>
      </c>
      <c r="B966" s="2" t="n">
        <v>209</v>
      </c>
      <c r="C966" s="2" t="s">
        <v>125</v>
      </c>
      <c r="D966" s="2" t="s">
        <v>788</v>
      </c>
      <c r="E966" s="2" t="s">
        <v>127</v>
      </c>
    </row>
    <row r="967" customFormat="false" ht="15" hidden="false" customHeight="false" outlineLevel="0" collapsed="false">
      <c r="A967" s="2" t="s">
        <v>616</v>
      </c>
      <c r="B967" s="2" t="n">
        <v>209</v>
      </c>
      <c r="C967" s="2" t="s">
        <v>617</v>
      </c>
      <c r="D967" s="2" t="s">
        <v>678</v>
      </c>
      <c r="E967" s="2" t="s">
        <v>619</v>
      </c>
    </row>
    <row r="968" customFormat="false" ht="15" hidden="false" customHeight="false" outlineLevel="0" collapsed="false">
      <c r="A968" s="2" t="s">
        <v>616</v>
      </c>
      <c r="B968" s="2" t="n">
        <v>210</v>
      </c>
      <c r="C968" s="2" t="s">
        <v>125</v>
      </c>
      <c r="D968" s="2" t="s">
        <v>789</v>
      </c>
      <c r="E968" s="2" t="s">
        <v>127</v>
      </c>
    </row>
    <row r="969" customFormat="false" ht="15" hidden="false" customHeight="false" outlineLevel="0" collapsed="false">
      <c r="A969" s="2" t="s">
        <v>616</v>
      </c>
      <c r="B969" s="2" t="n">
        <v>210</v>
      </c>
      <c r="C969" s="2" t="s">
        <v>617</v>
      </c>
      <c r="D969" s="2" t="s">
        <v>680</v>
      </c>
      <c r="E969" s="2" t="s">
        <v>644</v>
      </c>
    </row>
    <row r="970" customFormat="false" ht="15" hidden="false" customHeight="false" outlineLevel="0" collapsed="false">
      <c r="A970" s="2" t="s">
        <v>616</v>
      </c>
      <c r="B970" s="2" t="n">
        <v>211</v>
      </c>
      <c r="C970" s="2" t="s">
        <v>617</v>
      </c>
      <c r="D970" s="2" t="s">
        <v>729</v>
      </c>
      <c r="E970" s="2" t="s">
        <v>623</v>
      </c>
    </row>
    <row r="971" customFormat="false" ht="15" hidden="false" customHeight="false" outlineLevel="0" collapsed="false">
      <c r="A971" s="2" t="s">
        <v>616</v>
      </c>
      <c r="B971" s="2" t="n">
        <v>212</v>
      </c>
      <c r="C971" s="2" t="s">
        <v>617</v>
      </c>
      <c r="D971" s="2" t="s">
        <v>763</v>
      </c>
      <c r="E971" s="2" t="s">
        <v>650</v>
      </c>
    </row>
    <row r="972" customFormat="false" ht="15" hidden="false" customHeight="false" outlineLevel="0" collapsed="false">
      <c r="A972" s="2" t="s">
        <v>616</v>
      </c>
      <c r="B972" s="2" t="n">
        <v>213</v>
      </c>
      <c r="C972" s="2" t="s">
        <v>617</v>
      </c>
      <c r="D972" s="2" t="s">
        <v>649</v>
      </c>
      <c r="E972" s="2" t="s">
        <v>650</v>
      </c>
    </row>
    <row r="973" customFormat="false" ht="15" hidden="false" customHeight="false" outlineLevel="0" collapsed="false">
      <c r="A973" s="2" t="s">
        <v>616</v>
      </c>
      <c r="B973" s="2" t="n">
        <v>214</v>
      </c>
      <c r="C973" s="2" t="s">
        <v>125</v>
      </c>
      <c r="D973" s="2" t="s">
        <v>375</v>
      </c>
      <c r="E973" s="2" t="s">
        <v>127</v>
      </c>
    </row>
    <row r="974" customFormat="false" ht="15" hidden="false" customHeight="false" outlineLevel="0" collapsed="false">
      <c r="A974" s="2" t="s">
        <v>616</v>
      </c>
      <c r="B974" s="2" t="n">
        <v>214</v>
      </c>
      <c r="C974" s="2" t="s">
        <v>617</v>
      </c>
      <c r="D974" s="2" t="s">
        <v>727</v>
      </c>
      <c r="E974" s="2" t="s">
        <v>657</v>
      </c>
    </row>
    <row r="975" customFormat="false" ht="15" hidden="false" customHeight="false" outlineLevel="0" collapsed="false">
      <c r="A975" s="2" t="s">
        <v>616</v>
      </c>
      <c r="B975" s="2" t="n">
        <v>214</v>
      </c>
      <c r="C975" s="2" t="s">
        <v>128</v>
      </c>
      <c r="D975" s="2" t="s">
        <v>790</v>
      </c>
      <c r="E975" s="2" t="s">
        <v>130</v>
      </c>
    </row>
    <row r="976" customFormat="false" ht="15" hidden="false" customHeight="false" outlineLevel="0" collapsed="false">
      <c r="A976" s="2" t="s">
        <v>616</v>
      </c>
      <c r="B976" s="2" t="n">
        <v>215</v>
      </c>
      <c r="C976" s="2" t="s">
        <v>617</v>
      </c>
      <c r="D976" s="2" t="s">
        <v>711</v>
      </c>
      <c r="E976" s="2" t="s">
        <v>647</v>
      </c>
    </row>
    <row r="977" customFormat="false" ht="15" hidden="false" customHeight="false" outlineLevel="0" collapsed="false">
      <c r="A977" s="2" t="s">
        <v>616</v>
      </c>
      <c r="B977" s="2" t="n">
        <v>216</v>
      </c>
      <c r="C977" s="2" t="s">
        <v>617</v>
      </c>
      <c r="D977" s="2" t="s">
        <v>632</v>
      </c>
      <c r="E977" s="2" t="s">
        <v>633</v>
      </c>
    </row>
    <row r="978" customFormat="false" ht="15" hidden="false" customHeight="false" outlineLevel="0" collapsed="false">
      <c r="A978" s="2" t="s">
        <v>616</v>
      </c>
      <c r="B978" s="2" t="n">
        <v>216</v>
      </c>
      <c r="C978" s="2" t="s">
        <v>128</v>
      </c>
      <c r="D978" s="2" t="s">
        <v>791</v>
      </c>
      <c r="E978" s="2" t="s">
        <v>130</v>
      </c>
    </row>
    <row r="979" customFormat="false" ht="15" hidden="false" customHeight="false" outlineLevel="0" collapsed="false">
      <c r="A979" s="2" t="s">
        <v>616</v>
      </c>
      <c r="B979" s="2" t="n">
        <v>217</v>
      </c>
      <c r="C979" s="2" t="s">
        <v>617</v>
      </c>
      <c r="D979" s="2" t="s">
        <v>712</v>
      </c>
      <c r="E979" s="2" t="s">
        <v>665</v>
      </c>
    </row>
    <row r="980" customFormat="false" ht="15" hidden="false" customHeight="false" outlineLevel="0" collapsed="false">
      <c r="A980" s="2" t="s">
        <v>616</v>
      </c>
      <c r="B980" s="2" t="n">
        <v>220</v>
      </c>
      <c r="C980" s="2" t="s">
        <v>125</v>
      </c>
      <c r="D980" s="2" t="s">
        <v>792</v>
      </c>
      <c r="E980" s="2" t="s">
        <v>127</v>
      </c>
    </row>
    <row r="981" customFormat="false" ht="15" hidden="false" customHeight="false" outlineLevel="0" collapsed="false">
      <c r="A981" s="2" t="s">
        <v>616</v>
      </c>
      <c r="B981" s="2" t="n">
        <v>220</v>
      </c>
      <c r="C981" s="2" t="s">
        <v>617</v>
      </c>
      <c r="D981" s="2" t="s">
        <v>793</v>
      </c>
      <c r="E981" s="2" t="s">
        <v>732</v>
      </c>
    </row>
    <row r="982" customFormat="false" ht="15" hidden="false" customHeight="false" outlineLevel="0" collapsed="false">
      <c r="A982" s="2" t="s">
        <v>616</v>
      </c>
      <c r="B982" s="2" t="n">
        <v>220</v>
      </c>
      <c r="C982" s="2" t="s">
        <v>128</v>
      </c>
      <c r="D982" s="2" t="s">
        <v>794</v>
      </c>
      <c r="E982" s="2" t="s">
        <v>130</v>
      </c>
    </row>
    <row r="983" customFormat="false" ht="15" hidden="false" customHeight="false" outlineLevel="0" collapsed="false">
      <c r="A983" s="2" t="s">
        <v>616</v>
      </c>
      <c r="B983" s="2" t="n">
        <v>221</v>
      </c>
      <c r="C983" s="2" t="s">
        <v>617</v>
      </c>
      <c r="D983" s="2" t="s">
        <v>666</v>
      </c>
      <c r="E983" s="2" t="s">
        <v>621</v>
      </c>
    </row>
    <row r="984" customFormat="false" ht="15" hidden="false" customHeight="false" outlineLevel="0" collapsed="false">
      <c r="A984" s="2" t="s">
        <v>616</v>
      </c>
      <c r="B984" s="2" t="n">
        <v>222</v>
      </c>
      <c r="C984" s="2" t="s">
        <v>125</v>
      </c>
      <c r="D984" s="2" t="s">
        <v>795</v>
      </c>
      <c r="E984" s="2" t="s">
        <v>127</v>
      </c>
    </row>
    <row r="985" customFormat="false" ht="15" hidden="false" customHeight="false" outlineLevel="0" collapsed="false">
      <c r="A985" s="2" t="s">
        <v>616</v>
      </c>
      <c r="B985" s="2" t="n">
        <v>224</v>
      </c>
      <c r="C985" s="2" t="s">
        <v>617</v>
      </c>
      <c r="D985" s="2" t="s">
        <v>626</v>
      </c>
      <c r="E985" s="2" t="s">
        <v>627</v>
      </c>
    </row>
    <row r="986" customFormat="false" ht="15" hidden="false" customHeight="false" outlineLevel="0" collapsed="false">
      <c r="A986" s="2" t="s">
        <v>616</v>
      </c>
      <c r="B986" s="2" t="n">
        <v>225</v>
      </c>
      <c r="C986" s="2" t="s">
        <v>617</v>
      </c>
      <c r="D986" s="2" t="s">
        <v>721</v>
      </c>
      <c r="E986" s="2" t="s">
        <v>627</v>
      </c>
    </row>
    <row r="987" customFormat="false" ht="15" hidden="false" customHeight="false" outlineLevel="0" collapsed="false">
      <c r="A987" s="2" t="s">
        <v>616</v>
      </c>
      <c r="B987" s="2" t="n">
        <v>226</v>
      </c>
      <c r="C987" s="2" t="s">
        <v>125</v>
      </c>
      <c r="D987" s="2" t="s">
        <v>796</v>
      </c>
      <c r="E987" s="2" t="s">
        <v>127</v>
      </c>
    </row>
    <row r="988" customFormat="false" ht="15" hidden="false" customHeight="false" outlineLevel="0" collapsed="false">
      <c r="A988" s="2" t="s">
        <v>616</v>
      </c>
      <c r="B988" s="2" t="n">
        <v>227</v>
      </c>
      <c r="C988" s="2" t="s">
        <v>617</v>
      </c>
      <c r="D988" s="2" t="s">
        <v>678</v>
      </c>
      <c r="E988" s="2" t="s">
        <v>619</v>
      </c>
    </row>
    <row r="989" customFormat="false" ht="15" hidden="false" customHeight="false" outlineLevel="0" collapsed="false">
      <c r="A989" s="2" t="s">
        <v>616</v>
      </c>
      <c r="B989" s="2" t="n">
        <v>228</v>
      </c>
      <c r="C989" s="2" t="s">
        <v>617</v>
      </c>
      <c r="D989" s="2" t="s">
        <v>680</v>
      </c>
      <c r="E989" s="2" t="s">
        <v>644</v>
      </c>
    </row>
    <row r="990" customFormat="false" ht="15" hidden="false" customHeight="false" outlineLevel="0" collapsed="false">
      <c r="A990" s="2" t="s">
        <v>616</v>
      </c>
      <c r="B990" s="2" t="n">
        <v>228</v>
      </c>
      <c r="C990" s="2" t="s">
        <v>128</v>
      </c>
      <c r="D990" s="2" t="s">
        <v>797</v>
      </c>
      <c r="E990" s="2" t="s">
        <v>130</v>
      </c>
    </row>
    <row r="991" customFormat="false" ht="15" hidden="false" customHeight="false" outlineLevel="0" collapsed="false">
      <c r="A991" s="2" t="s">
        <v>616</v>
      </c>
      <c r="B991" s="2" t="n">
        <v>229</v>
      </c>
      <c r="C991" s="2" t="s">
        <v>617</v>
      </c>
      <c r="D991" s="2" t="s">
        <v>668</v>
      </c>
      <c r="E991" s="2" t="s">
        <v>650</v>
      </c>
    </row>
    <row r="992" customFormat="false" ht="15" hidden="false" customHeight="false" outlineLevel="0" collapsed="false">
      <c r="A992" s="2" t="s">
        <v>616</v>
      </c>
      <c r="B992" s="2" t="n">
        <v>229</v>
      </c>
      <c r="C992" s="2" t="s">
        <v>128</v>
      </c>
      <c r="D992" s="2" t="s">
        <v>798</v>
      </c>
      <c r="E992" s="2" t="s">
        <v>130</v>
      </c>
    </row>
    <row r="993" customFormat="false" ht="15" hidden="false" customHeight="false" outlineLevel="0" collapsed="false">
      <c r="A993" s="2" t="s">
        <v>616</v>
      </c>
      <c r="B993" s="2" t="n">
        <v>230</v>
      </c>
      <c r="C993" s="2" t="s">
        <v>617</v>
      </c>
      <c r="D993" s="2" t="s">
        <v>622</v>
      </c>
      <c r="E993" s="2" t="s">
        <v>623</v>
      </c>
    </row>
    <row r="994" customFormat="false" ht="15" hidden="false" customHeight="false" outlineLevel="0" collapsed="false">
      <c r="A994" s="2" t="s">
        <v>616</v>
      </c>
      <c r="B994" s="2" t="n">
        <v>231</v>
      </c>
      <c r="C994" s="2" t="s">
        <v>617</v>
      </c>
      <c r="D994" s="2" t="s">
        <v>718</v>
      </c>
      <c r="E994" s="2" t="s">
        <v>638</v>
      </c>
    </row>
    <row r="995" customFormat="false" ht="15" hidden="false" customHeight="false" outlineLevel="0" collapsed="false">
      <c r="A995" s="2" t="s">
        <v>616</v>
      </c>
      <c r="B995" s="2" t="n">
        <v>233</v>
      </c>
      <c r="C995" s="2" t="s">
        <v>617</v>
      </c>
      <c r="D995" s="2" t="s">
        <v>683</v>
      </c>
      <c r="E995" s="2" t="s">
        <v>665</v>
      </c>
    </row>
    <row r="996" customFormat="false" ht="15" hidden="false" customHeight="false" outlineLevel="0" collapsed="false">
      <c r="A996" s="2" t="s">
        <v>616</v>
      </c>
      <c r="B996" s="2" t="n">
        <v>234</v>
      </c>
      <c r="C996" s="2" t="s">
        <v>617</v>
      </c>
      <c r="D996" s="2" t="s">
        <v>654</v>
      </c>
      <c r="E996" s="2" t="s">
        <v>621</v>
      </c>
    </row>
    <row r="997" customFormat="false" ht="15" hidden="false" customHeight="false" outlineLevel="0" collapsed="false">
      <c r="A997" s="2" t="s">
        <v>616</v>
      </c>
      <c r="B997" s="2" t="n">
        <v>235</v>
      </c>
      <c r="C997" s="2" t="s">
        <v>617</v>
      </c>
      <c r="D997" s="2" t="s">
        <v>656</v>
      </c>
      <c r="E997" s="2" t="s">
        <v>657</v>
      </c>
    </row>
    <row r="998" customFormat="false" ht="15" hidden="false" customHeight="false" outlineLevel="0" collapsed="false">
      <c r="A998" s="2" t="s">
        <v>616</v>
      </c>
      <c r="B998" s="2" t="n">
        <v>236</v>
      </c>
      <c r="C998" s="2" t="s">
        <v>617</v>
      </c>
      <c r="D998" s="2" t="s">
        <v>711</v>
      </c>
      <c r="E998" s="2" t="s">
        <v>647</v>
      </c>
    </row>
    <row r="999" customFormat="false" ht="15" hidden="false" customHeight="false" outlineLevel="0" collapsed="false">
      <c r="A999" s="2" t="s">
        <v>616</v>
      </c>
      <c r="B999" s="2" t="n">
        <v>237</v>
      </c>
      <c r="C999" s="2" t="s">
        <v>128</v>
      </c>
      <c r="D999" s="2" t="s">
        <v>799</v>
      </c>
      <c r="E999" s="2" t="s">
        <v>130</v>
      </c>
    </row>
    <row r="1000" customFormat="false" ht="15" hidden="false" customHeight="false" outlineLevel="0" collapsed="false">
      <c r="A1000" s="2" t="s">
        <v>616</v>
      </c>
      <c r="B1000" s="2" t="n">
        <v>238</v>
      </c>
      <c r="C1000" s="2" t="s">
        <v>617</v>
      </c>
      <c r="D1000" s="2" t="s">
        <v>640</v>
      </c>
      <c r="E1000" s="2" t="s">
        <v>619</v>
      </c>
    </row>
    <row r="1001" customFormat="false" ht="15" hidden="false" customHeight="false" outlineLevel="0" collapsed="false">
      <c r="A1001" s="2" t="s">
        <v>616</v>
      </c>
      <c r="B1001" s="2" t="n">
        <v>239</v>
      </c>
      <c r="C1001" s="2" t="s">
        <v>125</v>
      </c>
      <c r="D1001" s="2" t="s">
        <v>800</v>
      </c>
      <c r="E1001" s="2" t="s">
        <v>127</v>
      </c>
    </row>
    <row r="1002" customFormat="false" ht="15" hidden="false" customHeight="false" outlineLevel="0" collapsed="false">
      <c r="A1002" s="2" t="s">
        <v>616</v>
      </c>
      <c r="B1002" s="2" t="n">
        <v>239</v>
      </c>
      <c r="C1002" s="2" t="s">
        <v>617</v>
      </c>
      <c r="D1002" s="2" t="s">
        <v>658</v>
      </c>
      <c r="E1002" s="2" t="s">
        <v>619</v>
      </c>
    </row>
    <row r="1003" customFormat="false" ht="15" hidden="false" customHeight="false" outlineLevel="0" collapsed="false">
      <c r="A1003" s="2" t="s">
        <v>616</v>
      </c>
      <c r="B1003" s="2" t="n">
        <v>241</v>
      </c>
      <c r="C1003" s="2" t="s">
        <v>128</v>
      </c>
      <c r="D1003" s="2" t="s">
        <v>801</v>
      </c>
      <c r="E1003" s="2" t="s">
        <v>130</v>
      </c>
    </row>
    <row r="1004" customFormat="false" ht="15" hidden="false" customHeight="false" outlineLevel="0" collapsed="false">
      <c r="A1004" s="2" t="s">
        <v>616</v>
      </c>
      <c r="B1004" s="2" t="n">
        <v>242</v>
      </c>
      <c r="C1004" s="2" t="s">
        <v>125</v>
      </c>
      <c r="D1004" s="2" t="s">
        <v>802</v>
      </c>
      <c r="E1004" s="2" t="s">
        <v>127</v>
      </c>
    </row>
    <row r="1005" customFormat="false" ht="15" hidden="false" customHeight="false" outlineLevel="0" collapsed="false">
      <c r="A1005" s="2" t="s">
        <v>616</v>
      </c>
      <c r="B1005" s="2" t="n">
        <v>242</v>
      </c>
      <c r="C1005" s="2" t="s">
        <v>617</v>
      </c>
      <c r="D1005" s="2" t="s">
        <v>637</v>
      </c>
      <c r="E1005" s="2" t="s">
        <v>638</v>
      </c>
    </row>
    <row r="1006" customFormat="false" ht="15" hidden="false" customHeight="false" outlineLevel="0" collapsed="false">
      <c r="A1006" s="2" t="s">
        <v>616</v>
      </c>
      <c r="B1006" s="2" t="n">
        <v>243</v>
      </c>
      <c r="C1006" s="2" t="s">
        <v>617</v>
      </c>
      <c r="D1006" s="2" t="s">
        <v>736</v>
      </c>
      <c r="E1006" s="2" t="s">
        <v>644</v>
      </c>
    </row>
    <row r="1007" customFormat="false" ht="15" hidden="false" customHeight="false" outlineLevel="0" collapsed="false">
      <c r="A1007" s="2" t="s">
        <v>616</v>
      </c>
      <c r="B1007" s="2" t="n">
        <v>244</v>
      </c>
      <c r="C1007" s="2" t="s">
        <v>128</v>
      </c>
      <c r="D1007" s="2" t="s">
        <v>803</v>
      </c>
      <c r="E1007" s="2" t="s">
        <v>130</v>
      </c>
    </row>
    <row r="1008" customFormat="false" ht="15" hidden="false" customHeight="false" outlineLevel="0" collapsed="false">
      <c r="A1008" s="2" t="s">
        <v>616</v>
      </c>
      <c r="B1008" s="2" t="n">
        <v>245</v>
      </c>
      <c r="C1008" s="2" t="s">
        <v>617</v>
      </c>
      <c r="D1008" s="2" t="s">
        <v>718</v>
      </c>
      <c r="E1008" s="2" t="s">
        <v>638</v>
      </c>
    </row>
    <row r="1009" customFormat="false" ht="15" hidden="false" customHeight="false" outlineLevel="0" collapsed="false">
      <c r="A1009" s="2" t="s">
        <v>616</v>
      </c>
      <c r="B1009" s="2" t="n">
        <v>245</v>
      </c>
      <c r="C1009" s="2" t="s">
        <v>128</v>
      </c>
      <c r="D1009" s="2" t="s">
        <v>804</v>
      </c>
      <c r="E1009" s="2" t="s">
        <v>130</v>
      </c>
    </row>
    <row r="1010" customFormat="false" ht="15" hidden="false" customHeight="false" outlineLevel="0" collapsed="false">
      <c r="A1010" s="2" t="s">
        <v>616</v>
      </c>
      <c r="B1010" s="2" t="n">
        <v>246</v>
      </c>
      <c r="C1010" s="2" t="s">
        <v>125</v>
      </c>
      <c r="D1010" s="2" t="s">
        <v>805</v>
      </c>
      <c r="E1010" s="2" t="s">
        <v>127</v>
      </c>
    </row>
    <row r="1011" customFormat="false" ht="15" hidden="false" customHeight="false" outlineLevel="0" collapsed="false">
      <c r="A1011" s="2" t="s">
        <v>616</v>
      </c>
      <c r="B1011" s="2" t="n">
        <v>246</v>
      </c>
      <c r="C1011" s="2" t="s">
        <v>617</v>
      </c>
      <c r="D1011" s="2" t="s">
        <v>641</v>
      </c>
      <c r="E1011" s="2" t="s">
        <v>630</v>
      </c>
    </row>
    <row r="1012" customFormat="false" ht="15" hidden="false" customHeight="false" outlineLevel="0" collapsed="false">
      <c r="A1012" s="2" t="s">
        <v>616</v>
      </c>
      <c r="B1012" s="2" t="n">
        <v>247</v>
      </c>
      <c r="C1012" s="2" t="s">
        <v>125</v>
      </c>
      <c r="D1012" s="2" t="s">
        <v>806</v>
      </c>
      <c r="E1012" s="2" t="s">
        <v>127</v>
      </c>
    </row>
    <row r="1013" customFormat="false" ht="15" hidden="false" customHeight="false" outlineLevel="0" collapsed="false">
      <c r="A1013" s="2" t="s">
        <v>616</v>
      </c>
      <c r="B1013" s="2" t="n">
        <v>247</v>
      </c>
      <c r="C1013" s="2" t="s">
        <v>617</v>
      </c>
      <c r="D1013" s="2" t="s">
        <v>740</v>
      </c>
      <c r="E1013" s="2" t="s">
        <v>627</v>
      </c>
    </row>
    <row r="1014" customFormat="false" ht="15" hidden="false" customHeight="false" outlineLevel="0" collapsed="false">
      <c r="A1014" s="2" t="s">
        <v>616</v>
      </c>
      <c r="B1014" s="2" t="n">
        <v>247</v>
      </c>
      <c r="C1014" s="2" t="s">
        <v>128</v>
      </c>
      <c r="D1014" s="2" t="s">
        <v>673</v>
      </c>
      <c r="E1014" s="2" t="s">
        <v>130</v>
      </c>
    </row>
    <row r="1015" customFormat="false" ht="15" hidden="false" customHeight="false" outlineLevel="0" collapsed="false">
      <c r="A1015" s="2" t="s">
        <v>616</v>
      </c>
      <c r="B1015" s="2" t="n">
        <v>248</v>
      </c>
      <c r="C1015" s="2" t="s">
        <v>125</v>
      </c>
      <c r="D1015" s="2" t="s">
        <v>805</v>
      </c>
      <c r="E1015" s="2" t="s">
        <v>127</v>
      </c>
    </row>
    <row r="1016" customFormat="false" ht="15" hidden="false" customHeight="false" outlineLevel="0" collapsed="false">
      <c r="A1016" s="2" t="s">
        <v>616</v>
      </c>
      <c r="B1016" s="2" t="n">
        <v>248</v>
      </c>
      <c r="C1016" s="2" t="s">
        <v>617</v>
      </c>
      <c r="D1016" s="2" t="s">
        <v>620</v>
      </c>
      <c r="E1016" s="2" t="s">
        <v>621</v>
      </c>
    </row>
    <row r="1017" customFormat="false" ht="15" hidden="false" customHeight="false" outlineLevel="0" collapsed="false">
      <c r="A1017" s="2" t="s">
        <v>616</v>
      </c>
      <c r="B1017" s="2" t="n">
        <v>249</v>
      </c>
      <c r="C1017" s="2" t="s">
        <v>617</v>
      </c>
      <c r="D1017" s="2" t="s">
        <v>719</v>
      </c>
      <c r="E1017" s="2" t="s">
        <v>630</v>
      </c>
    </row>
    <row r="1018" customFormat="false" ht="15" hidden="false" customHeight="false" outlineLevel="0" collapsed="false">
      <c r="A1018" s="2" t="s">
        <v>616</v>
      </c>
      <c r="B1018" s="2" t="n">
        <v>249</v>
      </c>
      <c r="C1018" s="2" t="s">
        <v>128</v>
      </c>
      <c r="D1018" s="2" t="s">
        <v>807</v>
      </c>
      <c r="E1018" s="2" t="s">
        <v>130</v>
      </c>
    </row>
    <row r="1019" customFormat="false" ht="15" hidden="false" customHeight="false" outlineLevel="0" collapsed="false">
      <c r="A1019" s="2" t="s">
        <v>616</v>
      </c>
      <c r="B1019" s="2" t="n">
        <v>250</v>
      </c>
      <c r="C1019" s="2" t="s">
        <v>617</v>
      </c>
      <c r="D1019" s="2" t="s">
        <v>729</v>
      </c>
      <c r="E1019" s="2" t="s">
        <v>623</v>
      </c>
    </row>
    <row r="1020" customFormat="false" ht="15" hidden="false" customHeight="false" outlineLevel="0" collapsed="false">
      <c r="A1020" s="2" t="s">
        <v>616</v>
      </c>
      <c r="B1020" s="2" t="n">
        <v>251</v>
      </c>
      <c r="C1020" s="2" t="s">
        <v>125</v>
      </c>
      <c r="D1020" s="2" t="s">
        <v>808</v>
      </c>
      <c r="E1020" s="2" t="s">
        <v>127</v>
      </c>
    </row>
    <row r="1021" customFormat="false" ht="15" hidden="false" customHeight="false" outlineLevel="0" collapsed="false">
      <c r="A1021" s="2" t="s">
        <v>616</v>
      </c>
      <c r="B1021" s="2" t="n">
        <v>251</v>
      </c>
      <c r="C1021" s="2" t="s">
        <v>617</v>
      </c>
      <c r="D1021" s="2" t="s">
        <v>668</v>
      </c>
      <c r="E1021" s="2" t="s">
        <v>650</v>
      </c>
    </row>
    <row r="1022" customFormat="false" ht="15" hidden="false" customHeight="false" outlineLevel="0" collapsed="false">
      <c r="A1022" s="2" t="s">
        <v>616</v>
      </c>
      <c r="B1022" s="2" t="n">
        <v>252</v>
      </c>
      <c r="C1022" s="2" t="s">
        <v>617</v>
      </c>
      <c r="D1022" s="2" t="s">
        <v>729</v>
      </c>
      <c r="E1022" s="2" t="s">
        <v>623</v>
      </c>
    </row>
    <row r="1023" customFormat="false" ht="15" hidden="false" customHeight="false" outlineLevel="0" collapsed="false">
      <c r="A1023" s="2" t="s">
        <v>616</v>
      </c>
      <c r="B1023" s="2" t="n">
        <v>252</v>
      </c>
      <c r="C1023" s="2" t="s">
        <v>128</v>
      </c>
      <c r="D1023" s="2" t="s">
        <v>809</v>
      </c>
      <c r="E1023" s="2" t="s">
        <v>130</v>
      </c>
    </row>
    <row r="1024" customFormat="false" ht="15" hidden="false" customHeight="false" outlineLevel="0" collapsed="false">
      <c r="A1024" s="2" t="s">
        <v>616</v>
      </c>
      <c r="B1024" s="2" t="n">
        <v>253</v>
      </c>
      <c r="C1024" s="2" t="s">
        <v>617</v>
      </c>
      <c r="D1024" s="2" t="s">
        <v>718</v>
      </c>
      <c r="E1024" s="2" t="s">
        <v>638</v>
      </c>
    </row>
    <row r="1025" customFormat="false" ht="15" hidden="false" customHeight="false" outlineLevel="0" collapsed="false">
      <c r="A1025" s="2" t="s">
        <v>616</v>
      </c>
      <c r="B1025" s="2" t="n">
        <v>254</v>
      </c>
      <c r="C1025" s="2" t="s">
        <v>617</v>
      </c>
      <c r="D1025" s="2" t="s">
        <v>646</v>
      </c>
      <c r="E1025" s="2" t="s">
        <v>647</v>
      </c>
    </row>
    <row r="1026" customFormat="false" ht="15" hidden="false" customHeight="false" outlineLevel="0" collapsed="false">
      <c r="A1026" s="2" t="s">
        <v>616</v>
      </c>
      <c r="B1026" s="2" t="n">
        <v>255</v>
      </c>
      <c r="C1026" s="2" t="s">
        <v>617</v>
      </c>
      <c r="D1026" s="2" t="s">
        <v>701</v>
      </c>
      <c r="E1026" s="2" t="s">
        <v>647</v>
      </c>
    </row>
    <row r="1027" customFormat="false" ht="15" hidden="false" customHeight="false" outlineLevel="0" collapsed="false">
      <c r="A1027" s="2" t="s">
        <v>616</v>
      </c>
      <c r="B1027" s="2" t="n">
        <v>256</v>
      </c>
      <c r="C1027" s="2" t="s">
        <v>617</v>
      </c>
      <c r="D1027" s="2" t="s">
        <v>712</v>
      </c>
      <c r="E1027" s="2" t="s">
        <v>665</v>
      </c>
    </row>
    <row r="1028" customFormat="false" ht="15" hidden="false" customHeight="false" outlineLevel="0" collapsed="false">
      <c r="A1028" s="2" t="s">
        <v>616</v>
      </c>
      <c r="B1028" s="2" t="n">
        <v>258</v>
      </c>
      <c r="C1028" s="2" t="s">
        <v>617</v>
      </c>
      <c r="D1028" s="2" t="s">
        <v>666</v>
      </c>
      <c r="E1028" s="2" t="s">
        <v>621</v>
      </c>
    </row>
    <row r="1029" customFormat="false" ht="15" hidden="false" customHeight="false" outlineLevel="0" collapsed="false">
      <c r="A1029" s="2" t="s">
        <v>616</v>
      </c>
      <c r="B1029" s="2" t="n">
        <v>259</v>
      </c>
      <c r="C1029" s="2" t="s">
        <v>617</v>
      </c>
      <c r="D1029" s="2" t="s">
        <v>678</v>
      </c>
      <c r="E1029" s="2" t="s">
        <v>619</v>
      </c>
    </row>
    <row r="1030" customFormat="false" ht="15" hidden="false" customHeight="false" outlineLevel="0" collapsed="false">
      <c r="A1030" s="2" t="s">
        <v>616</v>
      </c>
      <c r="B1030" s="2" t="n">
        <v>262</v>
      </c>
      <c r="C1030" s="2" t="s">
        <v>125</v>
      </c>
      <c r="D1030" s="2" t="s">
        <v>810</v>
      </c>
      <c r="E1030" s="2" t="s">
        <v>127</v>
      </c>
    </row>
    <row r="1031" customFormat="false" ht="15" hidden="false" customHeight="false" outlineLevel="0" collapsed="false">
      <c r="A1031" s="2" t="s">
        <v>616</v>
      </c>
      <c r="B1031" s="2" t="n">
        <v>262</v>
      </c>
      <c r="C1031" s="2" t="s">
        <v>617</v>
      </c>
      <c r="D1031" s="2" t="s">
        <v>656</v>
      </c>
      <c r="E1031" s="2" t="s">
        <v>657</v>
      </c>
    </row>
    <row r="1032" customFormat="false" ht="15" hidden="false" customHeight="false" outlineLevel="0" collapsed="false">
      <c r="A1032" s="2" t="s">
        <v>616</v>
      </c>
      <c r="B1032" s="2" t="n">
        <v>264</v>
      </c>
      <c r="C1032" s="2" t="s">
        <v>617</v>
      </c>
      <c r="D1032" s="2" t="s">
        <v>680</v>
      </c>
      <c r="E1032" s="2" t="s">
        <v>644</v>
      </c>
    </row>
    <row r="1033" customFormat="false" ht="15" hidden="false" customHeight="false" outlineLevel="0" collapsed="false">
      <c r="A1033" s="2" t="s">
        <v>616</v>
      </c>
      <c r="B1033" s="2" t="n">
        <v>266</v>
      </c>
      <c r="C1033" s="2" t="s">
        <v>125</v>
      </c>
      <c r="D1033" s="2" t="s">
        <v>811</v>
      </c>
      <c r="E1033" s="2" t="s">
        <v>127</v>
      </c>
    </row>
    <row r="1034" customFormat="false" ht="15" hidden="false" customHeight="false" outlineLevel="0" collapsed="false">
      <c r="A1034" s="2" t="s">
        <v>616</v>
      </c>
      <c r="B1034" s="2" t="n">
        <v>267</v>
      </c>
      <c r="C1034" s="2" t="s">
        <v>125</v>
      </c>
      <c r="D1034" s="2" t="s">
        <v>812</v>
      </c>
      <c r="E1034" s="2" t="s">
        <v>127</v>
      </c>
    </row>
    <row r="1035" customFormat="false" ht="15" hidden="false" customHeight="false" outlineLevel="0" collapsed="false">
      <c r="A1035" s="2" t="s">
        <v>616</v>
      </c>
      <c r="B1035" s="2" t="n">
        <v>268</v>
      </c>
      <c r="C1035" s="2" t="s">
        <v>617</v>
      </c>
      <c r="D1035" s="2" t="s">
        <v>718</v>
      </c>
      <c r="E1035" s="2" t="s">
        <v>638</v>
      </c>
    </row>
    <row r="1036" customFormat="false" ht="15" hidden="false" customHeight="false" outlineLevel="0" collapsed="false">
      <c r="A1036" s="2" t="s">
        <v>616</v>
      </c>
      <c r="B1036" s="2" t="n">
        <v>270</v>
      </c>
      <c r="C1036" s="2" t="s">
        <v>125</v>
      </c>
      <c r="D1036" s="2" t="s">
        <v>813</v>
      </c>
      <c r="E1036" s="2" t="s">
        <v>127</v>
      </c>
    </row>
    <row r="1037" customFormat="false" ht="15" hidden="false" customHeight="false" outlineLevel="0" collapsed="false">
      <c r="A1037" s="2" t="s">
        <v>616</v>
      </c>
      <c r="B1037" s="2" t="n">
        <v>270</v>
      </c>
      <c r="C1037" s="2" t="s">
        <v>128</v>
      </c>
      <c r="D1037" s="2" t="s">
        <v>814</v>
      </c>
      <c r="E1037" s="2" t="s">
        <v>130</v>
      </c>
    </row>
    <row r="1038" customFormat="false" ht="15" hidden="false" customHeight="false" outlineLevel="0" collapsed="false">
      <c r="A1038" s="2" t="s">
        <v>616</v>
      </c>
      <c r="B1038" s="2" t="n">
        <v>271</v>
      </c>
      <c r="C1038" s="2" t="s">
        <v>125</v>
      </c>
      <c r="D1038" s="2" t="s">
        <v>815</v>
      </c>
      <c r="E1038" s="2" t="s">
        <v>127</v>
      </c>
    </row>
    <row r="1039" customFormat="false" ht="15" hidden="false" customHeight="false" outlineLevel="0" collapsed="false">
      <c r="A1039" s="2" t="s">
        <v>616</v>
      </c>
      <c r="B1039" s="2" t="n">
        <v>271</v>
      </c>
      <c r="C1039" s="2" t="s">
        <v>617</v>
      </c>
      <c r="D1039" s="2" t="s">
        <v>664</v>
      </c>
      <c r="E1039" s="2" t="s">
        <v>665</v>
      </c>
    </row>
    <row r="1040" customFormat="false" ht="15" hidden="false" customHeight="false" outlineLevel="0" collapsed="false">
      <c r="A1040" s="2" t="s">
        <v>616</v>
      </c>
      <c r="B1040" s="2" t="n">
        <v>271</v>
      </c>
      <c r="C1040" s="2" t="s">
        <v>128</v>
      </c>
      <c r="D1040" s="2" t="s">
        <v>816</v>
      </c>
      <c r="E1040" s="2" t="s">
        <v>130</v>
      </c>
    </row>
    <row r="1041" customFormat="false" ht="15" hidden="false" customHeight="false" outlineLevel="0" collapsed="false">
      <c r="A1041" s="2" t="s">
        <v>616</v>
      </c>
      <c r="B1041" s="2" t="n">
        <v>272</v>
      </c>
      <c r="C1041" s="2" t="s">
        <v>617</v>
      </c>
      <c r="D1041" s="2" t="s">
        <v>696</v>
      </c>
      <c r="E1041" s="2" t="s">
        <v>635</v>
      </c>
    </row>
    <row r="1042" customFormat="false" ht="15" hidden="false" customHeight="false" outlineLevel="0" collapsed="false">
      <c r="A1042" s="2" t="s">
        <v>616</v>
      </c>
      <c r="B1042" s="2" t="n">
        <v>272</v>
      </c>
      <c r="C1042" s="2" t="s">
        <v>128</v>
      </c>
      <c r="D1042" s="2" t="s">
        <v>817</v>
      </c>
      <c r="E1042" s="2" t="s">
        <v>130</v>
      </c>
    </row>
    <row r="1043" customFormat="false" ht="15" hidden="false" customHeight="false" outlineLevel="0" collapsed="false">
      <c r="A1043" s="2" t="s">
        <v>616</v>
      </c>
      <c r="B1043" s="2" t="n">
        <v>273</v>
      </c>
      <c r="C1043" s="2" t="s">
        <v>125</v>
      </c>
      <c r="D1043" s="2" t="s">
        <v>815</v>
      </c>
      <c r="E1043" s="2" t="s">
        <v>127</v>
      </c>
    </row>
    <row r="1044" customFormat="false" ht="15" hidden="false" customHeight="false" outlineLevel="0" collapsed="false">
      <c r="A1044" s="2" t="s">
        <v>616</v>
      </c>
      <c r="B1044" s="2" t="n">
        <v>273</v>
      </c>
      <c r="C1044" s="2" t="s">
        <v>617</v>
      </c>
      <c r="D1044" s="2" t="s">
        <v>818</v>
      </c>
      <c r="E1044" s="2" t="s">
        <v>665</v>
      </c>
    </row>
    <row r="1045" customFormat="false" ht="15" hidden="false" customHeight="false" outlineLevel="0" collapsed="false">
      <c r="A1045" s="2" t="s">
        <v>616</v>
      </c>
      <c r="B1045" s="2" t="n">
        <v>274</v>
      </c>
      <c r="C1045" s="2" t="s">
        <v>125</v>
      </c>
      <c r="D1045" s="2" t="s">
        <v>437</v>
      </c>
      <c r="E1045" s="2" t="s">
        <v>127</v>
      </c>
    </row>
    <row r="1046" customFormat="false" ht="15" hidden="false" customHeight="false" outlineLevel="0" collapsed="false">
      <c r="A1046" s="2" t="s">
        <v>616</v>
      </c>
      <c r="B1046" s="2" t="n">
        <v>274</v>
      </c>
      <c r="C1046" s="2" t="s">
        <v>617</v>
      </c>
      <c r="D1046" s="2" t="s">
        <v>696</v>
      </c>
      <c r="E1046" s="2" t="s">
        <v>635</v>
      </c>
    </row>
    <row r="1047" customFormat="false" ht="15" hidden="false" customHeight="false" outlineLevel="0" collapsed="false">
      <c r="A1047" s="2" t="s">
        <v>616</v>
      </c>
      <c r="B1047" s="2" t="n">
        <v>275</v>
      </c>
      <c r="C1047" s="2" t="s">
        <v>617</v>
      </c>
      <c r="D1047" s="2" t="s">
        <v>678</v>
      </c>
      <c r="E1047" s="2" t="s">
        <v>619</v>
      </c>
    </row>
    <row r="1048" customFormat="false" ht="15" hidden="false" customHeight="false" outlineLevel="0" collapsed="false">
      <c r="A1048" s="2" t="s">
        <v>616</v>
      </c>
      <c r="B1048" s="2" t="n">
        <v>276</v>
      </c>
      <c r="C1048" s="2" t="s">
        <v>128</v>
      </c>
      <c r="D1048" s="2" t="s">
        <v>819</v>
      </c>
      <c r="E1048" s="2" t="s">
        <v>130</v>
      </c>
    </row>
    <row r="1049" customFormat="false" ht="15" hidden="false" customHeight="false" outlineLevel="0" collapsed="false">
      <c r="A1049" s="2" t="s">
        <v>616</v>
      </c>
      <c r="B1049" s="2" t="n">
        <v>277</v>
      </c>
      <c r="C1049" s="2" t="s">
        <v>617</v>
      </c>
      <c r="D1049" s="2" t="s">
        <v>646</v>
      </c>
      <c r="E1049" s="2" t="s">
        <v>647</v>
      </c>
    </row>
    <row r="1050" customFormat="false" ht="15" hidden="false" customHeight="false" outlineLevel="0" collapsed="false">
      <c r="A1050" s="2" t="s">
        <v>616</v>
      </c>
      <c r="B1050" s="2" t="n">
        <v>279</v>
      </c>
      <c r="C1050" s="2" t="s">
        <v>617</v>
      </c>
      <c r="D1050" s="2" t="s">
        <v>632</v>
      </c>
      <c r="E1050" s="2" t="s">
        <v>633</v>
      </c>
    </row>
    <row r="1051" customFormat="false" ht="15" hidden="false" customHeight="false" outlineLevel="0" collapsed="false">
      <c r="A1051" s="2" t="s">
        <v>616</v>
      </c>
      <c r="B1051" s="2" t="n">
        <v>279</v>
      </c>
      <c r="C1051" s="2" t="s">
        <v>128</v>
      </c>
      <c r="D1051" s="2" t="s">
        <v>820</v>
      </c>
      <c r="E1051" s="2" t="s">
        <v>130</v>
      </c>
    </row>
    <row r="1052" customFormat="false" ht="15" hidden="false" customHeight="false" outlineLevel="0" collapsed="false">
      <c r="A1052" s="2" t="s">
        <v>616</v>
      </c>
      <c r="B1052" s="2" t="n">
        <v>280</v>
      </c>
      <c r="C1052" s="2" t="s">
        <v>617</v>
      </c>
      <c r="D1052" s="2" t="s">
        <v>637</v>
      </c>
      <c r="E1052" s="2" t="s">
        <v>638</v>
      </c>
    </row>
    <row r="1053" customFormat="false" ht="15" hidden="false" customHeight="false" outlineLevel="0" collapsed="false">
      <c r="A1053" s="2" t="s">
        <v>616</v>
      </c>
      <c r="B1053" s="2" t="n">
        <v>282</v>
      </c>
      <c r="C1053" s="2" t="s">
        <v>617</v>
      </c>
      <c r="D1053" s="2" t="s">
        <v>626</v>
      </c>
      <c r="E1053" s="2" t="s">
        <v>627</v>
      </c>
    </row>
    <row r="1054" customFormat="false" ht="15" hidden="false" customHeight="false" outlineLevel="0" collapsed="false">
      <c r="A1054" s="2" t="s">
        <v>616</v>
      </c>
      <c r="B1054" s="2" t="n">
        <v>283</v>
      </c>
      <c r="C1054" s="2" t="s">
        <v>125</v>
      </c>
      <c r="D1054" s="2" t="s">
        <v>821</v>
      </c>
      <c r="E1054" s="2" t="s">
        <v>127</v>
      </c>
    </row>
    <row r="1055" customFormat="false" ht="15" hidden="false" customHeight="false" outlineLevel="0" collapsed="false">
      <c r="A1055" s="2" t="s">
        <v>616</v>
      </c>
      <c r="B1055" s="2" t="n">
        <v>283</v>
      </c>
      <c r="C1055" s="2" t="s">
        <v>128</v>
      </c>
      <c r="D1055" s="2" t="s">
        <v>822</v>
      </c>
      <c r="E1055" s="2" t="s">
        <v>130</v>
      </c>
    </row>
    <row r="1056" customFormat="false" ht="15" hidden="false" customHeight="false" outlineLevel="0" collapsed="false">
      <c r="A1056" s="2" t="s">
        <v>616</v>
      </c>
      <c r="B1056" s="2" t="n">
        <v>284</v>
      </c>
      <c r="C1056" s="2" t="s">
        <v>617</v>
      </c>
      <c r="D1056" s="2" t="s">
        <v>727</v>
      </c>
      <c r="E1056" s="2" t="s">
        <v>657</v>
      </c>
    </row>
    <row r="1057" customFormat="false" ht="15" hidden="false" customHeight="false" outlineLevel="0" collapsed="false">
      <c r="A1057" s="2" t="s">
        <v>616</v>
      </c>
      <c r="B1057" s="2" t="n">
        <v>285</v>
      </c>
      <c r="C1057" s="2" t="s">
        <v>617</v>
      </c>
      <c r="D1057" s="2" t="s">
        <v>641</v>
      </c>
      <c r="E1057" s="2" t="s">
        <v>630</v>
      </c>
    </row>
    <row r="1058" customFormat="false" ht="15" hidden="false" customHeight="false" outlineLevel="0" collapsed="false">
      <c r="A1058" s="2" t="s">
        <v>616</v>
      </c>
      <c r="B1058" s="2" t="n">
        <v>286</v>
      </c>
      <c r="C1058" s="2" t="s">
        <v>128</v>
      </c>
      <c r="D1058" s="2" t="s">
        <v>823</v>
      </c>
      <c r="E1058" s="2" t="s">
        <v>130</v>
      </c>
    </row>
    <row r="1059" customFormat="false" ht="15" hidden="false" customHeight="false" outlineLevel="0" collapsed="false">
      <c r="A1059" s="2" t="s">
        <v>616</v>
      </c>
      <c r="B1059" s="2" t="n">
        <v>287</v>
      </c>
      <c r="C1059" s="2" t="s">
        <v>617</v>
      </c>
      <c r="D1059" s="2" t="s">
        <v>718</v>
      </c>
      <c r="E1059" s="2" t="s">
        <v>638</v>
      </c>
    </row>
    <row r="1060" customFormat="false" ht="15" hidden="false" customHeight="false" outlineLevel="0" collapsed="false">
      <c r="A1060" s="2" t="s">
        <v>616</v>
      </c>
      <c r="B1060" s="2" t="n">
        <v>288</v>
      </c>
      <c r="C1060" s="2" t="s">
        <v>125</v>
      </c>
      <c r="D1060" s="2" t="s">
        <v>824</v>
      </c>
      <c r="E1060" s="2" t="s">
        <v>127</v>
      </c>
    </row>
    <row r="1061" customFormat="false" ht="15" hidden="false" customHeight="false" outlineLevel="0" collapsed="false">
      <c r="A1061" s="2" t="s">
        <v>616</v>
      </c>
      <c r="B1061" s="2" t="n">
        <v>288</v>
      </c>
      <c r="C1061" s="2" t="s">
        <v>617</v>
      </c>
      <c r="D1061" s="2" t="s">
        <v>683</v>
      </c>
      <c r="E1061" s="2" t="s">
        <v>665</v>
      </c>
    </row>
    <row r="1062" customFormat="false" ht="15" hidden="false" customHeight="false" outlineLevel="0" collapsed="false">
      <c r="A1062" s="2" t="s">
        <v>616</v>
      </c>
      <c r="B1062" s="2" t="n">
        <v>289</v>
      </c>
      <c r="C1062" s="2" t="s">
        <v>617</v>
      </c>
      <c r="D1062" s="2" t="s">
        <v>634</v>
      </c>
      <c r="E1062" s="2" t="s">
        <v>635</v>
      </c>
    </row>
    <row r="1063" customFormat="false" ht="15" hidden="false" customHeight="false" outlineLevel="0" collapsed="false">
      <c r="A1063" s="2" t="s">
        <v>616</v>
      </c>
      <c r="B1063" s="2" t="n">
        <v>289</v>
      </c>
      <c r="C1063" s="2" t="s">
        <v>128</v>
      </c>
      <c r="D1063" s="2" t="s">
        <v>825</v>
      </c>
      <c r="E1063" s="2" t="s">
        <v>130</v>
      </c>
    </row>
    <row r="1064" customFormat="false" ht="15" hidden="false" customHeight="false" outlineLevel="0" collapsed="false">
      <c r="A1064" s="2" t="s">
        <v>616</v>
      </c>
      <c r="B1064" s="2" t="n">
        <v>291</v>
      </c>
      <c r="C1064" s="2" t="s">
        <v>125</v>
      </c>
      <c r="D1064" s="2" t="s">
        <v>826</v>
      </c>
      <c r="E1064" s="2" t="s">
        <v>127</v>
      </c>
    </row>
    <row r="1065" customFormat="false" ht="15" hidden="false" customHeight="false" outlineLevel="0" collapsed="false">
      <c r="A1065" s="2" t="s">
        <v>616</v>
      </c>
      <c r="B1065" s="2" t="n">
        <v>291</v>
      </c>
      <c r="C1065" s="2" t="s">
        <v>617</v>
      </c>
      <c r="D1065" s="2" t="s">
        <v>618</v>
      </c>
      <c r="E1065" s="2" t="s">
        <v>619</v>
      </c>
    </row>
    <row r="1066" customFormat="false" ht="15" hidden="false" customHeight="false" outlineLevel="0" collapsed="false">
      <c r="A1066" s="2" t="s">
        <v>616</v>
      </c>
      <c r="B1066" s="2" t="n">
        <v>292</v>
      </c>
      <c r="C1066" s="2" t="s">
        <v>125</v>
      </c>
      <c r="D1066" s="2" t="s">
        <v>462</v>
      </c>
      <c r="E1066" s="2" t="s">
        <v>127</v>
      </c>
    </row>
    <row r="1067" customFormat="false" ht="15" hidden="false" customHeight="false" outlineLevel="0" collapsed="false">
      <c r="A1067" s="2" t="s">
        <v>616</v>
      </c>
      <c r="B1067" s="2" t="n">
        <v>292</v>
      </c>
      <c r="C1067" s="2" t="s">
        <v>617</v>
      </c>
      <c r="D1067" s="2" t="s">
        <v>680</v>
      </c>
      <c r="E1067" s="2" t="s">
        <v>644</v>
      </c>
    </row>
    <row r="1068" customFormat="false" ht="15" hidden="false" customHeight="false" outlineLevel="0" collapsed="false">
      <c r="A1068" s="2" t="s">
        <v>616</v>
      </c>
      <c r="B1068" s="2" t="n">
        <v>293</v>
      </c>
      <c r="C1068" s="2" t="s">
        <v>128</v>
      </c>
      <c r="D1068" s="2" t="s">
        <v>827</v>
      </c>
      <c r="E1068" s="2" t="s">
        <v>130</v>
      </c>
    </row>
    <row r="1069" customFormat="false" ht="15" hidden="false" customHeight="false" outlineLevel="0" collapsed="false">
      <c r="A1069" s="2" t="s">
        <v>616</v>
      </c>
      <c r="B1069" s="2" t="n">
        <v>294</v>
      </c>
      <c r="C1069" s="2" t="s">
        <v>617</v>
      </c>
      <c r="D1069" s="2" t="s">
        <v>758</v>
      </c>
      <c r="E1069" s="2" t="s">
        <v>633</v>
      </c>
    </row>
    <row r="1070" customFormat="false" ht="15" hidden="false" customHeight="false" outlineLevel="0" collapsed="false">
      <c r="A1070" s="2" t="s">
        <v>616</v>
      </c>
      <c r="B1070" s="2" t="n">
        <v>295</v>
      </c>
      <c r="C1070" s="2" t="s">
        <v>617</v>
      </c>
      <c r="D1070" s="2" t="s">
        <v>662</v>
      </c>
      <c r="E1070" s="2" t="s">
        <v>647</v>
      </c>
    </row>
    <row r="1071" customFormat="false" ht="15" hidden="false" customHeight="false" outlineLevel="0" collapsed="false">
      <c r="A1071" s="2" t="s">
        <v>616</v>
      </c>
      <c r="B1071" s="2" t="n">
        <v>295</v>
      </c>
      <c r="C1071" s="2" t="s">
        <v>128</v>
      </c>
      <c r="D1071" s="2" t="s">
        <v>828</v>
      </c>
      <c r="E1071" s="2" t="s">
        <v>130</v>
      </c>
    </row>
    <row r="1072" customFormat="false" ht="15" hidden="false" customHeight="false" outlineLevel="0" collapsed="false">
      <c r="A1072" s="2" t="s">
        <v>616</v>
      </c>
      <c r="B1072" s="2" t="n">
        <v>296</v>
      </c>
      <c r="C1072" s="2" t="s">
        <v>617</v>
      </c>
      <c r="D1072" s="2" t="s">
        <v>758</v>
      </c>
      <c r="E1072" s="2" t="s">
        <v>633</v>
      </c>
    </row>
    <row r="1073" customFormat="false" ht="15" hidden="false" customHeight="false" outlineLevel="0" collapsed="false">
      <c r="A1073" s="2" t="s">
        <v>616</v>
      </c>
      <c r="B1073" s="2" t="n">
        <v>297</v>
      </c>
      <c r="C1073" s="2" t="s">
        <v>125</v>
      </c>
      <c r="D1073" s="2" t="s">
        <v>829</v>
      </c>
      <c r="E1073" s="2" t="s">
        <v>127</v>
      </c>
    </row>
    <row r="1074" customFormat="false" ht="15" hidden="false" customHeight="false" outlineLevel="0" collapsed="false">
      <c r="A1074" s="2" t="s">
        <v>616</v>
      </c>
      <c r="B1074" s="2" t="n">
        <v>298</v>
      </c>
      <c r="C1074" s="2" t="s">
        <v>125</v>
      </c>
      <c r="D1074" s="2" t="s">
        <v>830</v>
      </c>
      <c r="E1074" s="2" t="s">
        <v>127</v>
      </c>
    </row>
    <row r="1075" customFormat="false" ht="15" hidden="false" customHeight="false" outlineLevel="0" collapsed="false">
      <c r="A1075" s="2" t="s">
        <v>616</v>
      </c>
      <c r="B1075" s="2" t="n">
        <v>298</v>
      </c>
      <c r="C1075" s="2" t="s">
        <v>617</v>
      </c>
      <c r="D1075" s="2" t="s">
        <v>692</v>
      </c>
      <c r="E1075" s="2" t="s">
        <v>623</v>
      </c>
    </row>
    <row r="1076" customFormat="false" ht="15" hidden="false" customHeight="false" outlineLevel="0" collapsed="false">
      <c r="A1076" s="2" t="s">
        <v>616</v>
      </c>
      <c r="B1076" s="2" t="n">
        <v>299</v>
      </c>
      <c r="C1076" s="2" t="s">
        <v>617</v>
      </c>
      <c r="D1076" s="2" t="s">
        <v>831</v>
      </c>
      <c r="E1076" s="2" t="s">
        <v>623</v>
      </c>
    </row>
    <row r="1077" customFormat="false" ht="15" hidden="false" customHeight="false" outlineLevel="0" collapsed="false">
      <c r="A1077" s="2" t="s">
        <v>616</v>
      </c>
      <c r="B1077" s="2" t="n">
        <v>299</v>
      </c>
      <c r="C1077" s="2" t="s">
        <v>128</v>
      </c>
      <c r="D1077" s="2" t="s">
        <v>832</v>
      </c>
      <c r="E1077" s="2" t="s">
        <v>130</v>
      </c>
    </row>
    <row r="1078" customFormat="false" ht="15" hidden="false" customHeight="false" outlineLevel="0" collapsed="false">
      <c r="A1078" s="2" t="s">
        <v>616</v>
      </c>
      <c r="B1078" s="2" t="n">
        <v>300</v>
      </c>
      <c r="C1078" s="2" t="s">
        <v>617</v>
      </c>
      <c r="D1078" s="2" t="s">
        <v>725</v>
      </c>
      <c r="E1078" s="2" t="s">
        <v>621</v>
      </c>
    </row>
    <row r="1079" customFormat="false" ht="15" hidden="false" customHeight="false" outlineLevel="0" collapsed="false">
      <c r="A1079" s="2" t="s">
        <v>616</v>
      </c>
      <c r="B1079" s="2" t="n">
        <v>301</v>
      </c>
      <c r="C1079" s="2" t="s">
        <v>617</v>
      </c>
      <c r="D1079" s="2" t="s">
        <v>629</v>
      </c>
      <c r="E1079" s="2" t="s">
        <v>630</v>
      </c>
    </row>
    <row r="1080" customFormat="false" ht="15" hidden="false" customHeight="false" outlineLevel="0" collapsed="false">
      <c r="A1080" s="2" t="s">
        <v>616</v>
      </c>
      <c r="B1080" s="2" t="n">
        <v>303</v>
      </c>
      <c r="C1080" s="2" t="s">
        <v>125</v>
      </c>
      <c r="D1080" s="2" t="s">
        <v>472</v>
      </c>
      <c r="E1080" s="2" t="s">
        <v>127</v>
      </c>
    </row>
    <row r="1081" customFormat="false" ht="15" hidden="false" customHeight="false" outlineLevel="0" collapsed="false">
      <c r="A1081" s="2" t="s">
        <v>616</v>
      </c>
      <c r="B1081" s="2" t="n">
        <v>304</v>
      </c>
      <c r="C1081" s="2" t="s">
        <v>125</v>
      </c>
      <c r="D1081" s="2" t="s">
        <v>472</v>
      </c>
      <c r="E1081" s="2" t="s">
        <v>127</v>
      </c>
    </row>
    <row r="1082" customFormat="false" ht="15" hidden="false" customHeight="false" outlineLevel="0" collapsed="false">
      <c r="A1082" s="2" t="s">
        <v>616</v>
      </c>
      <c r="B1082" s="2" t="n">
        <v>304</v>
      </c>
      <c r="C1082" s="2" t="s">
        <v>617</v>
      </c>
      <c r="D1082" s="2" t="s">
        <v>634</v>
      </c>
      <c r="E1082" s="2" t="s">
        <v>635</v>
      </c>
    </row>
    <row r="1083" customFormat="false" ht="15" hidden="false" customHeight="false" outlineLevel="0" collapsed="false">
      <c r="A1083" s="2" t="s">
        <v>616</v>
      </c>
      <c r="B1083" s="2" t="n">
        <v>305</v>
      </c>
      <c r="C1083" s="2" t="s">
        <v>617</v>
      </c>
      <c r="D1083" s="2" t="s">
        <v>656</v>
      </c>
      <c r="E1083" s="2" t="s">
        <v>657</v>
      </c>
    </row>
    <row r="1084" customFormat="false" ht="15" hidden="false" customHeight="false" outlineLevel="0" collapsed="false">
      <c r="A1084" s="2" t="s">
        <v>616</v>
      </c>
      <c r="B1084" s="2" t="n">
        <v>307</v>
      </c>
      <c r="C1084" s="2" t="s">
        <v>617</v>
      </c>
      <c r="D1084" s="2" t="s">
        <v>658</v>
      </c>
      <c r="E1084" s="2" t="s">
        <v>619</v>
      </c>
    </row>
    <row r="1085" customFormat="false" ht="15" hidden="false" customHeight="false" outlineLevel="0" collapsed="false">
      <c r="A1085" s="2" t="s">
        <v>616</v>
      </c>
      <c r="B1085" s="2" t="n">
        <v>308</v>
      </c>
      <c r="C1085" s="2" t="s">
        <v>128</v>
      </c>
      <c r="D1085" s="2" t="s">
        <v>833</v>
      </c>
      <c r="E1085" s="2" t="s">
        <v>130</v>
      </c>
    </row>
    <row r="1086" customFormat="false" ht="15" hidden="false" customHeight="false" outlineLevel="0" collapsed="false">
      <c r="A1086" s="2" t="s">
        <v>616</v>
      </c>
      <c r="B1086" s="2" t="n">
        <v>309</v>
      </c>
      <c r="C1086" s="2" t="s">
        <v>617</v>
      </c>
      <c r="D1086" s="2" t="s">
        <v>643</v>
      </c>
      <c r="E1086" s="2" t="s">
        <v>644</v>
      </c>
    </row>
    <row r="1087" customFormat="false" ht="15" hidden="false" customHeight="false" outlineLevel="0" collapsed="false">
      <c r="A1087" s="2" t="s">
        <v>616</v>
      </c>
      <c r="B1087" s="2" t="n">
        <v>310</v>
      </c>
      <c r="C1087" s="2" t="s">
        <v>617</v>
      </c>
      <c r="D1087" s="2" t="s">
        <v>632</v>
      </c>
      <c r="E1087" s="2" t="s">
        <v>633</v>
      </c>
    </row>
    <row r="1088" customFormat="false" ht="15" hidden="false" customHeight="false" outlineLevel="0" collapsed="false">
      <c r="A1088" s="2" t="s">
        <v>616</v>
      </c>
      <c r="B1088" s="2" t="n">
        <v>311</v>
      </c>
      <c r="C1088" s="2" t="s">
        <v>125</v>
      </c>
      <c r="D1088" s="2" t="s">
        <v>486</v>
      </c>
      <c r="E1088" s="2" t="s">
        <v>127</v>
      </c>
    </row>
    <row r="1089" customFormat="false" ht="15" hidden="false" customHeight="false" outlineLevel="0" collapsed="false">
      <c r="A1089" s="2" t="s">
        <v>616</v>
      </c>
      <c r="B1089" s="2" t="n">
        <v>311</v>
      </c>
      <c r="C1089" s="2" t="s">
        <v>128</v>
      </c>
      <c r="D1089" s="2" t="s">
        <v>834</v>
      </c>
      <c r="E1089" s="2" t="s">
        <v>130</v>
      </c>
    </row>
    <row r="1090" customFormat="false" ht="15" hidden="false" customHeight="false" outlineLevel="0" collapsed="false">
      <c r="A1090" s="2" t="s">
        <v>616</v>
      </c>
      <c r="B1090" s="2" t="n">
        <v>312</v>
      </c>
      <c r="C1090" s="2" t="s">
        <v>617</v>
      </c>
      <c r="D1090" s="2" t="s">
        <v>701</v>
      </c>
      <c r="E1090" s="2" t="s">
        <v>647</v>
      </c>
    </row>
    <row r="1091" customFormat="false" ht="15" hidden="false" customHeight="false" outlineLevel="0" collapsed="false">
      <c r="A1091" s="2" t="s">
        <v>616</v>
      </c>
      <c r="B1091" s="2" t="n">
        <v>312</v>
      </c>
      <c r="C1091" s="2" t="s">
        <v>128</v>
      </c>
      <c r="D1091" s="2" t="s">
        <v>835</v>
      </c>
      <c r="E1091" s="2" t="s">
        <v>130</v>
      </c>
    </row>
    <row r="1092" customFormat="false" ht="15" hidden="false" customHeight="false" outlineLevel="0" collapsed="false">
      <c r="A1092" s="2" t="s">
        <v>616</v>
      </c>
      <c r="B1092" s="2" t="n">
        <v>313</v>
      </c>
      <c r="C1092" s="2" t="s">
        <v>125</v>
      </c>
      <c r="D1092" s="2" t="s">
        <v>836</v>
      </c>
      <c r="E1092" s="2" t="s">
        <v>127</v>
      </c>
    </row>
    <row r="1093" customFormat="false" ht="15" hidden="false" customHeight="false" outlineLevel="0" collapsed="false">
      <c r="A1093" s="2" t="s">
        <v>616</v>
      </c>
      <c r="B1093" s="2" t="n">
        <v>313</v>
      </c>
      <c r="C1093" s="2" t="s">
        <v>617</v>
      </c>
      <c r="D1093" s="2" t="s">
        <v>629</v>
      </c>
      <c r="E1093" s="2" t="s">
        <v>630</v>
      </c>
    </row>
    <row r="1094" customFormat="false" ht="15" hidden="false" customHeight="false" outlineLevel="0" collapsed="false">
      <c r="A1094" s="2" t="s">
        <v>616</v>
      </c>
      <c r="B1094" s="2" t="n">
        <v>314</v>
      </c>
      <c r="C1094" s="2" t="s">
        <v>125</v>
      </c>
      <c r="D1094" s="2" t="s">
        <v>836</v>
      </c>
      <c r="E1094" s="2" t="s">
        <v>127</v>
      </c>
    </row>
    <row r="1095" customFormat="false" ht="15" hidden="false" customHeight="false" outlineLevel="0" collapsed="false">
      <c r="A1095" s="2" t="s">
        <v>616</v>
      </c>
      <c r="B1095" s="2" t="n">
        <v>314</v>
      </c>
      <c r="C1095" s="2" t="s">
        <v>617</v>
      </c>
      <c r="D1095" s="2" t="s">
        <v>692</v>
      </c>
      <c r="E1095" s="2" t="s">
        <v>623</v>
      </c>
    </row>
    <row r="1096" customFormat="false" ht="15" hidden="false" customHeight="false" outlineLevel="0" collapsed="false">
      <c r="A1096" s="2" t="s">
        <v>616</v>
      </c>
      <c r="B1096" s="2" t="n">
        <v>314</v>
      </c>
      <c r="C1096" s="2" t="s">
        <v>128</v>
      </c>
      <c r="D1096" s="2" t="s">
        <v>837</v>
      </c>
      <c r="E1096" s="2" t="s">
        <v>130</v>
      </c>
    </row>
    <row r="1097" customFormat="false" ht="15" hidden="false" customHeight="false" outlineLevel="0" collapsed="false">
      <c r="A1097" s="2" t="s">
        <v>616</v>
      </c>
      <c r="B1097" s="2" t="n">
        <v>315</v>
      </c>
      <c r="C1097" s="2" t="s">
        <v>125</v>
      </c>
      <c r="D1097" s="2" t="s">
        <v>836</v>
      </c>
      <c r="E1097" s="2" t="s">
        <v>127</v>
      </c>
    </row>
    <row r="1098" customFormat="false" ht="15" hidden="false" customHeight="false" outlineLevel="0" collapsed="false">
      <c r="A1098" s="2" t="s">
        <v>616</v>
      </c>
      <c r="B1098" s="2" t="n">
        <v>315</v>
      </c>
      <c r="C1098" s="2" t="s">
        <v>617</v>
      </c>
      <c r="D1098" s="2" t="s">
        <v>641</v>
      </c>
      <c r="E1098" s="2" t="s">
        <v>630</v>
      </c>
    </row>
    <row r="1099" customFormat="false" ht="15" hidden="false" customHeight="false" outlineLevel="0" collapsed="false">
      <c r="A1099" s="2" t="s">
        <v>616</v>
      </c>
      <c r="B1099" s="2" t="n">
        <v>317</v>
      </c>
      <c r="C1099" s="2" t="s">
        <v>125</v>
      </c>
      <c r="D1099" s="2" t="s">
        <v>838</v>
      </c>
      <c r="E1099" s="2" t="s">
        <v>127</v>
      </c>
    </row>
    <row r="1100" customFormat="false" ht="15" hidden="false" customHeight="false" outlineLevel="0" collapsed="false">
      <c r="A1100" s="2" t="s">
        <v>616</v>
      </c>
      <c r="B1100" s="2" t="n">
        <v>318</v>
      </c>
      <c r="C1100" s="2" t="s">
        <v>125</v>
      </c>
      <c r="D1100" s="2" t="s">
        <v>839</v>
      </c>
      <c r="E1100" s="2" t="s">
        <v>127</v>
      </c>
    </row>
    <row r="1101" customFormat="false" ht="15" hidden="false" customHeight="false" outlineLevel="0" collapsed="false">
      <c r="A1101" s="2" t="s">
        <v>616</v>
      </c>
      <c r="B1101" s="2" t="n">
        <v>318</v>
      </c>
      <c r="C1101" s="2" t="s">
        <v>617</v>
      </c>
      <c r="D1101" s="2" t="s">
        <v>643</v>
      </c>
      <c r="E1101" s="2" t="s">
        <v>644</v>
      </c>
    </row>
    <row r="1102" customFormat="false" ht="15" hidden="false" customHeight="false" outlineLevel="0" collapsed="false">
      <c r="A1102" s="2" t="s">
        <v>616</v>
      </c>
      <c r="B1102" s="2" t="n">
        <v>319</v>
      </c>
      <c r="C1102" s="2" t="s">
        <v>617</v>
      </c>
      <c r="D1102" s="2" t="s">
        <v>683</v>
      </c>
      <c r="E1102" s="2" t="s">
        <v>665</v>
      </c>
    </row>
    <row r="1103" customFormat="false" ht="15" hidden="false" customHeight="false" outlineLevel="0" collapsed="false">
      <c r="A1103" s="2" t="s">
        <v>616</v>
      </c>
      <c r="B1103" s="2" t="n">
        <v>319</v>
      </c>
      <c r="C1103" s="2" t="s">
        <v>128</v>
      </c>
      <c r="D1103" s="2" t="s">
        <v>840</v>
      </c>
      <c r="E1103" s="2" t="s">
        <v>130</v>
      </c>
    </row>
    <row r="1104" customFormat="false" ht="15" hidden="false" customHeight="false" outlineLevel="0" collapsed="false">
      <c r="A1104" s="2" t="s">
        <v>616</v>
      </c>
      <c r="B1104" s="2" t="n">
        <v>320</v>
      </c>
      <c r="C1104" s="2" t="s">
        <v>125</v>
      </c>
      <c r="D1104" s="2" t="s">
        <v>841</v>
      </c>
      <c r="E1104" s="2" t="s">
        <v>127</v>
      </c>
    </row>
    <row r="1105" customFormat="false" ht="15" hidden="false" customHeight="false" outlineLevel="0" collapsed="false">
      <c r="A1105" s="2" t="s">
        <v>616</v>
      </c>
      <c r="B1105" s="2" t="n">
        <v>320</v>
      </c>
      <c r="C1105" s="2" t="s">
        <v>617</v>
      </c>
      <c r="D1105" s="2" t="s">
        <v>668</v>
      </c>
      <c r="E1105" s="2" t="s">
        <v>650</v>
      </c>
    </row>
    <row r="1106" customFormat="false" ht="15" hidden="false" customHeight="false" outlineLevel="0" collapsed="false">
      <c r="A1106" s="2" t="s">
        <v>616</v>
      </c>
      <c r="B1106" s="2" t="n">
        <v>321</v>
      </c>
      <c r="C1106" s="2" t="s">
        <v>125</v>
      </c>
      <c r="D1106" s="2" t="s">
        <v>839</v>
      </c>
      <c r="E1106" s="2" t="s">
        <v>127</v>
      </c>
    </row>
    <row r="1107" customFormat="false" ht="15" hidden="false" customHeight="false" outlineLevel="0" collapsed="false">
      <c r="A1107" s="2" t="s">
        <v>616</v>
      </c>
      <c r="B1107" s="2" t="n">
        <v>321</v>
      </c>
      <c r="C1107" s="2" t="s">
        <v>617</v>
      </c>
      <c r="D1107" s="2" t="s">
        <v>643</v>
      </c>
      <c r="E1107" s="2" t="s">
        <v>644</v>
      </c>
    </row>
    <row r="1108" customFormat="false" ht="15" hidden="false" customHeight="false" outlineLevel="0" collapsed="false">
      <c r="A1108" s="2" t="s">
        <v>616</v>
      </c>
      <c r="B1108" s="2" t="n">
        <v>322</v>
      </c>
      <c r="C1108" s="2" t="s">
        <v>125</v>
      </c>
      <c r="D1108" s="2" t="s">
        <v>839</v>
      </c>
      <c r="E1108" s="2" t="s">
        <v>127</v>
      </c>
    </row>
    <row r="1109" customFormat="false" ht="15" hidden="false" customHeight="false" outlineLevel="0" collapsed="false">
      <c r="A1109" s="2" t="s">
        <v>616</v>
      </c>
      <c r="B1109" s="2" t="n">
        <v>322</v>
      </c>
      <c r="C1109" s="2" t="s">
        <v>617</v>
      </c>
      <c r="D1109" s="2" t="s">
        <v>683</v>
      </c>
      <c r="E1109" s="2" t="s">
        <v>665</v>
      </c>
    </row>
    <row r="1110" customFormat="false" ht="15" hidden="false" customHeight="false" outlineLevel="0" collapsed="false">
      <c r="A1110" s="2" t="s">
        <v>616</v>
      </c>
      <c r="B1110" s="2" t="n">
        <v>323</v>
      </c>
      <c r="C1110" s="2" t="s">
        <v>128</v>
      </c>
      <c r="D1110" s="2" t="s">
        <v>842</v>
      </c>
      <c r="E1110" s="2" t="s">
        <v>130</v>
      </c>
    </row>
    <row r="1111" customFormat="false" ht="15" hidden="false" customHeight="false" outlineLevel="0" collapsed="false">
      <c r="A1111" s="2" t="s">
        <v>616</v>
      </c>
      <c r="B1111" s="2" t="n">
        <v>324</v>
      </c>
      <c r="C1111" s="2" t="s">
        <v>617</v>
      </c>
      <c r="D1111" s="2" t="s">
        <v>637</v>
      </c>
      <c r="E1111" s="2" t="s">
        <v>638</v>
      </c>
    </row>
    <row r="1112" customFormat="false" ht="15" hidden="false" customHeight="false" outlineLevel="0" collapsed="false">
      <c r="A1112" s="2" t="s">
        <v>616</v>
      </c>
      <c r="B1112" s="2" t="n">
        <v>324</v>
      </c>
      <c r="C1112" s="2" t="s">
        <v>128</v>
      </c>
      <c r="D1112" s="2" t="s">
        <v>843</v>
      </c>
      <c r="E1112" s="2" t="s">
        <v>130</v>
      </c>
    </row>
    <row r="1113" customFormat="false" ht="15" hidden="false" customHeight="false" outlineLevel="0" collapsed="false">
      <c r="A1113" s="2" t="s">
        <v>616</v>
      </c>
      <c r="B1113" s="2" t="n">
        <v>325</v>
      </c>
      <c r="C1113" s="2" t="s">
        <v>617</v>
      </c>
      <c r="D1113" s="2" t="s">
        <v>718</v>
      </c>
      <c r="E1113" s="2" t="s">
        <v>638</v>
      </c>
    </row>
    <row r="1114" customFormat="false" ht="15" hidden="false" customHeight="false" outlineLevel="0" collapsed="false">
      <c r="A1114" s="2" t="s">
        <v>616</v>
      </c>
      <c r="B1114" s="2" t="n">
        <v>325</v>
      </c>
      <c r="C1114" s="2" t="s">
        <v>128</v>
      </c>
      <c r="D1114" s="2" t="s">
        <v>844</v>
      </c>
      <c r="E1114" s="2" t="s">
        <v>130</v>
      </c>
    </row>
    <row r="1115" customFormat="false" ht="15" hidden="false" customHeight="false" outlineLevel="0" collapsed="false">
      <c r="A1115" s="2" t="s">
        <v>616</v>
      </c>
      <c r="B1115" s="2" t="n">
        <v>326</v>
      </c>
      <c r="C1115" s="2" t="s">
        <v>617</v>
      </c>
      <c r="D1115" s="2" t="s">
        <v>654</v>
      </c>
      <c r="E1115" s="2" t="s">
        <v>621</v>
      </c>
    </row>
    <row r="1116" customFormat="false" ht="15" hidden="false" customHeight="false" outlineLevel="0" collapsed="false">
      <c r="A1116" s="2" t="s">
        <v>616</v>
      </c>
      <c r="B1116" s="2" t="n">
        <v>327</v>
      </c>
      <c r="C1116" s="2" t="s">
        <v>617</v>
      </c>
      <c r="D1116" s="2" t="s">
        <v>654</v>
      </c>
      <c r="E1116" s="2" t="s">
        <v>621</v>
      </c>
    </row>
    <row r="1117" customFormat="false" ht="15" hidden="false" customHeight="false" outlineLevel="0" collapsed="false">
      <c r="A1117" s="2" t="s">
        <v>616</v>
      </c>
      <c r="B1117" s="2" t="n">
        <v>328</v>
      </c>
      <c r="C1117" s="2" t="s">
        <v>128</v>
      </c>
      <c r="D1117" s="2" t="s">
        <v>845</v>
      </c>
      <c r="E1117" s="2" t="s">
        <v>130</v>
      </c>
    </row>
    <row r="1118" customFormat="false" ht="15" hidden="false" customHeight="false" outlineLevel="0" collapsed="false">
      <c r="A1118" s="2" t="s">
        <v>616</v>
      </c>
      <c r="B1118" s="2" t="n">
        <v>330</v>
      </c>
      <c r="C1118" s="2" t="s">
        <v>617</v>
      </c>
      <c r="D1118" s="2" t="s">
        <v>696</v>
      </c>
      <c r="E1118" s="2" t="s">
        <v>635</v>
      </c>
    </row>
    <row r="1119" customFormat="false" ht="15" hidden="false" customHeight="false" outlineLevel="0" collapsed="false">
      <c r="A1119" s="2" t="s">
        <v>616</v>
      </c>
      <c r="B1119" s="2" t="n">
        <v>330</v>
      </c>
      <c r="C1119" s="2" t="s">
        <v>128</v>
      </c>
      <c r="D1119" s="2" t="s">
        <v>846</v>
      </c>
      <c r="E1119" s="2" t="s">
        <v>130</v>
      </c>
    </row>
    <row r="1120" customFormat="false" ht="15" hidden="false" customHeight="false" outlineLevel="0" collapsed="false">
      <c r="A1120" s="2" t="s">
        <v>616</v>
      </c>
      <c r="B1120" s="2" t="n">
        <v>331</v>
      </c>
      <c r="C1120" s="2" t="s">
        <v>125</v>
      </c>
      <c r="D1120" s="2" t="s">
        <v>847</v>
      </c>
      <c r="E1120" s="2" t="s">
        <v>127</v>
      </c>
    </row>
    <row r="1121" customFormat="false" ht="15" hidden="false" customHeight="false" outlineLevel="0" collapsed="false">
      <c r="A1121" s="2" t="s">
        <v>616</v>
      </c>
      <c r="B1121" s="2" t="n">
        <v>331</v>
      </c>
      <c r="C1121" s="2" t="s">
        <v>617</v>
      </c>
      <c r="D1121" s="2" t="s">
        <v>662</v>
      </c>
      <c r="E1121" s="2" t="s">
        <v>647</v>
      </c>
    </row>
    <row r="1122" customFormat="false" ht="15" hidden="false" customHeight="false" outlineLevel="0" collapsed="false">
      <c r="A1122" s="2" t="s">
        <v>616</v>
      </c>
      <c r="B1122" s="2" t="n">
        <v>332</v>
      </c>
      <c r="C1122" s="2" t="s">
        <v>617</v>
      </c>
      <c r="D1122" s="2" t="s">
        <v>831</v>
      </c>
      <c r="E1122" s="2" t="s">
        <v>623</v>
      </c>
    </row>
    <row r="1123" customFormat="false" ht="15" hidden="false" customHeight="false" outlineLevel="0" collapsed="false">
      <c r="A1123" s="2" t="s">
        <v>616</v>
      </c>
      <c r="B1123" s="2" t="n">
        <v>333</v>
      </c>
      <c r="C1123" s="2" t="s">
        <v>617</v>
      </c>
      <c r="D1123" s="2" t="s">
        <v>637</v>
      </c>
      <c r="E1123" s="2" t="s">
        <v>638</v>
      </c>
    </row>
    <row r="1124" customFormat="false" ht="15" hidden="false" customHeight="false" outlineLevel="0" collapsed="false">
      <c r="A1124" s="2" t="s">
        <v>616</v>
      </c>
      <c r="B1124" s="2" t="n">
        <v>334</v>
      </c>
      <c r="C1124" s="2" t="s">
        <v>125</v>
      </c>
      <c r="D1124" s="2" t="s">
        <v>847</v>
      </c>
      <c r="E1124" s="2" t="s">
        <v>127</v>
      </c>
    </row>
    <row r="1125" customFormat="false" ht="15" hidden="false" customHeight="false" outlineLevel="0" collapsed="false">
      <c r="A1125" s="2" t="s">
        <v>616</v>
      </c>
      <c r="B1125" s="2" t="n">
        <v>334</v>
      </c>
      <c r="C1125" s="2" t="s">
        <v>617</v>
      </c>
      <c r="D1125" s="2" t="s">
        <v>711</v>
      </c>
      <c r="E1125" s="2" t="s">
        <v>647</v>
      </c>
    </row>
    <row r="1126" customFormat="false" ht="15" hidden="false" customHeight="false" outlineLevel="0" collapsed="false">
      <c r="A1126" s="2" t="s">
        <v>616</v>
      </c>
      <c r="B1126" s="2" t="n">
        <v>335</v>
      </c>
      <c r="C1126" s="2" t="s">
        <v>617</v>
      </c>
      <c r="D1126" s="2" t="s">
        <v>626</v>
      </c>
      <c r="E1126" s="2" t="s">
        <v>627</v>
      </c>
    </row>
    <row r="1127" customFormat="false" ht="15" hidden="false" customHeight="false" outlineLevel="0" collapsed="false">
      <c r="A1127" s="2" t="s">
        <v>616</v>
      </c>
      <c r="B1127" s="2" t="n">
        <v>336</v>
      </c>
      <c r="C1127" s="2" t="s">
        <v>128</v>
      </c>
      <c r="D1127" s="2" t="s">
        <v>848</v>
      </c>
      <c r="E1127" s="2" t="s">
        <v>130</v>
      </c>
    </row>
    <row r="1128" customFormat="false" ht="15" hidden="false" customHeight="false" outlineLevel="0" collapsed="false">
      <c r="A1128" s="2" t="s">
        <v>616</v>
      </c>
      <c r="B1128" s="2" t="n">
        <v>337</v>
      </c>
      <c r="C1128" s="2" t="s">
        <v>125</v>
      </c>
      <c r="D1128" s="2" t="s">
        <v>526</v>
      </c>
      <c r="E1128" s="2" t="s">
        <v>127</v>
      </c>
    </row>
    <row r="1129" customFormat="false" ht="15" hidden="false" customHeight="false" outlineLevel="0" collapsed="false">
      <c r="A1129" s="2" t="s">
        <v>616</v>
      </c>
      <c r="B1129" s="2" t="n">
        <v>337</v>
      </c>
      <c r="C1129" s="2" t="s">
        <v>617</v>
      </c>
      <c r="D1129" s="2" t="s">
        <v>629</v>
      </c>
      <c r="E1129" s="2" t="s">
        <v>630</v>
      </c>
    </row>
    <row r="1130" customFormat="false" ht="15" hidden="false" customHeight="false" outlineLevel="0" collapsed="false">
      <c r="A1130" s="2" t="s">
        <v>616</v>
      </c>
      <c r="B1130" s="2" t="n">
        <v>338</v>
      </c>
      <c r="C1130" s="2" t="s">
        <v>617</v>
      </c>
      <c r="D1130" s="2" t="s">
        <v>658</v>
      </c>
      <c r="E1130" s="2" t="s">
        <v>619</v>
      </c>
    </row>
    <row r="1131" customFormat="false" ht="15" hidden="false" customHeight="false" outlineLevel="0" collapsed="false">
      <c r="A1131" s="2" t="s">
        <v>616</v>
      </c>
      <c r="B1131" s="2" t="n">
        <v>339</v>
      </c>
      <c r="C1131" s="2" t="s">
        <v>617</v>
      </c>
      <c r="D1131" s="2" t="s">
        <v>818</v>
      </c>
      <c r="E1131" s="2" t="s">
        <v>665</v>
      </c>
    </row>
    <row r="1132" customFormat="false" ht="15" hidden="false" customHeight="false" outlineLevel="0" collapsed="false">
      <c r="A1132" s="2" t="s">
        <v>616</v>
      </c>
      <c r="B1132" s="2" t="n">
        <v>340</v>
      </c>
      <c r="C1132" s="2" t="s">
        <v>617</v>
      </c>
      <c r="D1132" s="2" t="s">
        <v>654</v>
      </c>
      <c r="E1132" s="2" t="s">
        <v>621</v>
      </c>
    </row>
    <row r="1133" customFormat="false" ht="15" hidden="false" customHeight="false" outlineLevel="0" collapsed="false">
      <c r="A1133" s="2" t="s">
        <v>616</v>
      </c>
      <c r="B1133" s="2" t="n">
        <v>341</v>
      </c>
      <c r="C1133" s="2" t="s">
        <v>617</v>
      </c>
      <c r="D1133" s="2" t="s">
        <v>661</v>
      </c>
      <c r="E1133" s="2" t="s">
        <v>638</v>
      </c>
    </row>
    <row r="1134" customFormat="false" ht="15" hidden="false" customHeight="false" outlineLevel="0" collapsed="false">
      <c r="A1134" s="2" t="s">
        <v>616</v>
      </c>
      <c r="B1134" s="2" t="n">
        <v>341</v>
      </c>
      <c r="C1134" s="2" t="s">
        <v>128</v>
      </c>
      <c r="D1134" s="2" t="s">
        <v>849</v>
      </c>
      <c r="E1134" s="2" t="s">
        <v>130</v>
      </c>
    </row>
    <row r="1135" customFormat="false" ht="15" hidden="false" customHeight="false" outlineLevel="0" collapsed="false">
      <c r="A1135" s="2" t="s">
        <v>616</v>
      </c>
      <c r="B1135" s="2" t="n">
        <v>343</v>
      </c>
      <c r="C1135" s="2" t="s">
        <v>125</v>
      </c>
      <c r="D1135" s="2" t="s">
        <v>850</v>
      </c>
      <c r="E1135" s="2" t="s">
        <v>127</v>
      </c>
    </row>
    <row r="1136" customFormat="false" ht="15" hidden="false" customHeight="false" outlineLevel="0" collapsed="false">
      <c r="A1136" s="2" t="s">
        <v>616</v>
      </c>
      <c r="B1136" s="2" t="n">
        <v>343</v>
      </c>
      <c r="C1136" s="2" t="s">
        <v>617</v>
      </c>
      <c r="D1136" s="2" t="s">
        <v>686</v>
      </c>
      <c r="E1136" s="2" t="s">
        <v>650</v>
      </c>
    </row>
    <row r="1137" customFormat="false" ht="15" hidden="false" customHeight="false" outlineLevel="0" collapsed="false">
      <c r="A1137" s="2" t="s">
        <v>616</v>
      </c>
      <c r="B1137" s="2" t="n">
        <v>345</v>
      </c>
      <c r="C1137" s="2" t="s">
        <v>125</v>
      </c>
      <c r="D1137" s="2" t="s">
        <v>850</v>
      </c>
      <c r="E1137" s="2" t="s">
        <v>127</v>
      </c>
    </row>
    <row r="1138" customFormat="false" ht="15" hidden="false" customHeight="false" outlineLevel="0" collapsed="false">
      <c r="A1138" s="2" t="s">
        <v>616</v>
      </c>
      <c r="B1138" s="2" t="n">
        <v>346</v>
      </c>
      <c r="C1138" s="2" t="s">
        <v>617</v>
      </c>
      <c r="D1138" s="2" t="s">
        <v>748</v>
      </c>
      <c r="E1138" s="2" t="s">
        <v>633</v>
      </c>
    </row>
    <row r="1139" customFormat="false" ht="15" hidden="false" customHeight="false" outlineLevel="0" collapsed="false">
      <c r="A1139" s="2" t="s">
        <v>616</v>
      </c>
      <c r="B1139" s="2" t="n">
        <v>347</v>
      </c>
      <c r="C1139" s="2" t="s">
        <v>125</v>
      </c>
      <c r="D1139" s="2" t="s">
        <v>851</v>
      </c>
      <c r="E1139" s="2" t="s">
        <v>127</v>
      </c>
    </row>
    <row r="1140" customFormat="false" ht="15" hidden="false" customHeight="false" outlineLevel="0" collapsed="false">
      <c r="A1140" s="2" t="s">
        <v>616</v>
      </c>
      <c r="B1140" s="2" t="n">
        <v>348</v>
      </c>
      <c r="C1140" s="2" t="s">
        <v>125</v>
      </c>
      <c r="D1140" s="2" t="s">
        <v>852</v>
      </c>
      <c r="E1140" s="2" t="s">
        <v>127</v>
      </c>
    </row>
    <row r="1141" customFormat="false" ht="15" hidden="false" customHeight="false" outlineLevel="0" collapsed="false">
      <c r="A1141" s="2" t="s">
        <v>616</v>
      </c>
      <c r="B1141" s="2" t="n">
        <v>348</v>
      </c>
      <c r="C1141" s="2" t="s">
        <v>617</v>
      </c>
      <c r="D1141" s="2" t="s">
        <v>658</v>
      </c>
      <c r="E1141" s="2" t="s">
        <v>619</v>
      </c>
    </row>
    <row r="1142" customFormat="false" ht="15" hidden="false" customHeight="false" outlineLevel="0" collapsed="false">
      <c r="A1142" s="2" t="s">
        <v>616</v>
      </c>
      <c r="B1142" s="2" t="n">
        <v>349</v>
      </c>
      <c r="C1142" s="2" t="s">
        <v>617</v>
      </c>
      <c r="D1142" s="2" t="s">
        <v>719</v>
      </c>
      <c r="E1142" s="2" t="s">
        <v>630</v>
      </c>
    </row>
    <row r="1143" customFormat="false" ht="15" hidden="false" customHeight="false" outlineLevel="0" collapsed="false">
      <c r="A1143" s="2" t="s">
        <v>616</v>
      </c>
      <c r="B1143" s="2" t="n">
        <v>350</v>
      </c>
      <c r="C1143" s="2" t="s">
        <v>125</v>
      </c>
      <c r="D1143" s="2" t="s">
        <v>853</v>
      </c>
      <c r="E1143" s="2" t="s">
        <v>127</v>
      </c>
    </row>
    <row r="1144" customFormat="false" ht="15" hidden="false" customHeight="false" outlineLevel="0" collapsed="false">
      <c r="A1144" s="2" t="s">
        <v>616</v>
      </c>
      <c r="B1144" s="2" t="n">
        <v>350</v>
      </c>
      <c r="C1144" s="2" t="s">
        <v>617</v>
      </c>
      <c r="D1144" s="2" t="s">
        <v>680</v>
      </c>
      <c r="E1144" s="2" t="s">
        <v>644</v>
      </c>
    </row>
    <row r="1145" customFormat="false" ht="15" hidden="false" customHeight="false" outlineLevel="0" collapsed="false">
      <c r="A1145" s="2" t="s">
        <v>616</v>
      </c>
      <c r="B1145" s="2" t="n">
        <v>350</v>
      </c>
      <c r="C1145" s="2" t="s">
        <v>128</v>
      </c>
      <c r="D1145" s="2" t="s">
        <v>854</v>
      </c>
      <c r="E1145" s="2" t="s">
        <v>130</v>
      </c>
    </row>
    <row r="1146" customFormat="false" ht="15" hidden="false" customHeight="false" outlineLevel="0" collapsed="false">
      <c r="A1146" s="2" t="s">
        <v>616</v>
      </c>
      <c r="B1146" s="2" t="n">
        <v>351</v>
      </c>
      <c r="C1146" s="2" t="s">
        <v>125</v>
      </c>
      <c r="D1146" s="2" t="s">
        <v>855</v>
      </c>
      <c r="E1146" s="2" t="s">
        <v>127</v>
      </c>
    </row>
    <row r="1147" customFormat="false" ht="15" hidden="false" customHeight="false" outlineLevel="0" collapsed="false">
      <c r="A1147" s="2" t="s">
        <v>616</v>
      </c>
      <c r="B1147" s="2" t="n">
        <v>351</v>
      </c>
      <c r="C1147" s="2" t="s">
        <v>617</v>
      </c>
      <c r="D1147" s="2" t="s">
        <v>725</v>
      </c>
      <c r="E1147" s="2" t="s">
        <v>621</v>
      </c>
    </row>
    <row r="1148" customFormat="false" ht="15" hidden="false" customHeight="false" outlineLevel="0" collapsed="false">
      <c r="A1148" s="2" t="s">
        <v>616</v>
      </c>
      <c r="B1148" s="2" t="n">
        <v>352</v>
      </c>
      <c r="C1148" s="2" t="s">
        <v>125</v>
      </c>
      <c r="D1148" s="2" t="s">
        <v>853</v>
      </c>
      <c r="E1148" s="2" t="s">
        <v>127</v>
      </c>
    </row>
    <row r="1149" customFormat="false" ht="15" hidden="false" customHeight="false" outlineLevel="0" collapsed="false">
      <c r="A1149" s="2" t="s">
        <v>616</v>
      </c>
      <c r="B1149" s="2" t="n">
        <v>352</v>
      </c>
      <c r="C1149" s="2" t="s">
        <v>617</v>
      </c>
      <c r="D1149" s="2" t="s">
        <v>718</v>
      </c>
      <c r="E1149" s="2" t="s">
        <v>638</v>
      </c>
    </row>
    <row r="1150" customFormat="false" ht="15" hidden="false" customHeight="false" outlineLevel="0" collapsed="false">
      <c r="A1150" s="2" t="s">
        <v>616</v>
      </c>
      <c r="B1150" s="2" t="n">
        <v>353</v>
      </c>
      <c r="C1150" s="2" t="s">
        <v>125</v>
      </c>
      <c r="D1150" s="2" t="s">
        <v>853</v>
      </c>
      <c r="E1150" s="2" t="s">
        <v>127</v>
      </c>
    </row>
    <row r="1151" customFormat="false" ht="15" hidden="false" customHeight="false" outlineLevel="0" collapsed="false">
      <c r="A1151" s="2" t="s">
        <v>616</v>
      </c>
      <c r="B1151" s="2" t="n">
        <v>353</v>
      </c>
      <c r="C1151" s="2" t="s">
        <v>617</v>
      </c>
      <c r="D1151" s="2" t="s">
        <v>701</v>
      </c>
      <c r="E1151" s="2" t="s">
        <v>647</v>
      </c>
    </row>
    <row r="1152" customFormat="false" ht="15" hidden="false" customHeight="false" outlineLevel="0" collapsed="false">
      <c r="A1152" s="2" t="s">
        <v>616</v>
      </c>
      <c r="B1152" s="2" t="n">
        <v>354</v>
      </c>
      <c r="C1152" s="2" t="s">
        <v>617</v>
      </c>
      <c r="D1152" s="2" t="s">
        <v>729</v>
      </c>
      <c r="E1152" s="2" t="s">
        <v>623</v>
      </c>
    </row>
    <row r="1153" customFormat="false" ht="15" hidden="false" customHeight="false" outlineLevel="0" collapsed="false">
      <c r="A1153" s="2" t="s">
        <v>616</v>
      </c>
      <c r="B1153" s="2" t="n">
        <v>355</v>
      </c>
      <c r="C1153" s="2" t="s">
        <v>617</v>
      </c>
      <c r="D1153" s="2" t="s">
        <v>793</v>
      </c>
      <c r="E1153" s="2" t="s">
        <v>732</v>
      </c>
    </row>
    <row r="1154" customFormat="false" ht="15" hidden="false" customHeight="false" outlineLevel="0" collapsed="false">
      <c r="A1154" s="2" t="s">
        <v>616</v>
      </c>
      <c r="B1154" s="2" t="n">
        <v>356</v>
      </c>
      <c r="C1154" s="2" t="s">
        <v>617</v>
      </c>
      <c r="D1154" s="2" t="s">
        <v>683</v>
      </c>
      <c r="E1154" s="2" t="s">
        <v>665</v>
      </c>
    </row>
    <row r="1155" customFormat="false" ht="15" hidden="false" customHeight="false" outlineLevel="0" collapsed="false">
      <c r="A1155" s="2" t="s">
        <v>616</v>
      </c>
      <c r="B1155" s="2" t="n">
        <v>357</v>
      </c>
      <c r="C1155" s="2" t="s">
        <v>617</v>
      </c>
      <c r="D1155" s="2" t="s">
        <v>765</v>
      </c>
      <c r="E1155" s="2" t="s">
        <v>732</v>
      </c>
    </row>
    <row r="1156" customFormat="false" ht="15" hidden="false" customHeight="false" outlineLevel="0" collapsed="false">
      <c r="A1156" s="2" t="s">
        <v>616</v>
      </c>
      <c r="B1156" s="2" t="n">
        <v>357</v>
      </c>
      <c r="C1156" s="2" t="s">
        <v>128</v>
      </c>
      <c r="D1156" s="2" t="s">
        <v>856</v>
      </c>
      <c r="E1156" s="2" t="s">
        <v>130</v>
      </c>
    </row>
    <row r="1157" customFormat="false" ht="15" hidden="false" customHeight="false" outlineLevel="0" collapsed="false">
      <c r="A1157" s="2" t="s">
        <v>616</v>
      </c>
      <c r="B1157" s="2" t="n">
        <v>358</v>
      </c>
      <c r="C1157" s="2" t="s">
        <v>125</v>
      </c>
      <c r="D1157" s="2" t="s">
        <v>857</v>
      </c>
      <c r="E1157" s="2" t="s">
        <v>127</v>
      </c>
    </row>
    <row r="1158" customFormat="false" ht="15" hidden="false" customHeight="false" outlineLevel="0" collapsed="false">
      <c r="A1158" s="2" t="s">
        <v>616</v>
      </c>
      <c r="B1158" s="2" t="n">
        <v>358</v>
      </c>
      <c r="C1158" s="2" t="s">
        <v>617</v>
      </c>
      <c r="D1158" s="2" t="s">
        <v>696</v>
      </c>
      <c r="E1158" s="2" t="s">
        <v>635</v>
      </c>
    </row>
    <row r="1159" customFormat="false" ht="15" hidden="false" customHeight="false" outlineLevel="0" collapsed="false">
      <c r="A1159" s="2" t="s">
        <v>616</v>
      </c>
      <c r="B1159" s="2" t="n">
        <v>358</v>
      </c>
      <c r="C1159" s="2" t="s">
        <v>128</v>
      </c>
      <c r="D1159" s="2" t="s">
        <v>858</v>
      </c>
      <c r="E1159" s="2" t="s">
        <v>130</v>
      </c>
    </row>
    <row r="1160" customFormat="false" ht="15" hidden="false" customHeight="false" outlineLevel="0" collapsed="false">
      <c r="A1160" s="2" t="s">
        <v>616</v>
      </c>
      <c r="B1160" s="2" t="n">
        <v>359</v>
      </c>
      <c r="C1160" s="2" t="s">
        <v>617</v>
      </c>
      <c r="D1160" s="2" t="s">
        <v>718</v>
      </c>
      <c r="E1160" s="2" t="s">
        <v>638</v>
      </c>
    </row>
    <row r="1161" customFormat="false" ht="15" hidden="false" customHeight="false" outlineLevel="0" collapsed="false">
      <c r="A1161" s="2" t="s">
        <v>616</v>
      </c>
      <c r="B1161" s="2" t="n">
        <v>360</v>
      </c>
      <c r="C1161" s="2" t="s">
        <v>617</v>
      </c>
      <c r="D1161" s="2" t="s">
        <v>632</v>
      </c>
      <c r="E1161" s="2" t="s">
        <v>633</v>
      </c>
    </row>
    <row r="1162" customFormat="false" ht="15" hidden="false" customHeight="false" outlineLevel="0" collapsed="false">
      <c r="A1162" s="2" t="s">
        <v>616</v>
      </c>
      <c r="B1162" s="2" t="n">
        <v>361</v>
      </c>
      <c r="C1162" s="2" t="s">
        <v>617</v>
      </c>
      <c r="D1162" s="2" t="s">
        <v>656</v>
      </c>
      <c r="E1162" s="2" t="s">
        <v>657</v>
      </c>
    </row>
    <row r="1163" customFormat="false" ht="15" hidden="false" customHeight="false" outlineLevel="0" collapsed="false">
      <c r="A1163" s="2" t="s">
        <v>616</v>
      </c>
      <c r="B1163" s="2" t="n">
        <v>362</v>
      </c>
      <c r="C1163" s="2" t="s">
        <v>125</v>
      </c>
      <c r="D1163" s="2" t="s">
        <v>859</v>
      </c>
      <c r="E1163" s="2" t="s">
        <v>127</v>
      </c>
    </row>
    <row r="1164" customFormat="false" ht="15" hidden="false" customHeight="false" outlineLevel="0" collapsed="false">
      <c r="A1164" s="2" t="s">
        <v>616</v>
      </c>
      <c r="B1164" s="2" t="n">
        <v>362</v>
      </c>
      <c r="C1164" s="2" t="s">
        <v>617</v>
      </c>
      <c r="D1164" s="2" t="s">
        <v>763</v>
      </c>
      <c r="E1164" s="2" t="s">
        <v>650</v>
      </c>
    </row>
    <row r="1165" customFormat="false" ht="15" hidden="false" customHeight="false" outlineLevel="0" collapsed="false">
      <c r="A1165" s="2" t="s">
        <v>616</v>
      </c>
      <c r="B1165" s="2" t="n">
        <v>363</v>
      </c>
      <c r="C1165" s="2" t="s">
        <v>125</v>
      </c>
      <c r="D1165" s="2" t="s">
        <v>571</v>
      </c>
      <c r="E1165" s="2" t="s">
        <v>127</v>
      </c>
    </row>
    <row r="1166" customFormat="false" ht="15" hidden="false" customHeight="false" outlineLevel="0" collapsed="false">
      <c r="A1166" s="2" t="s">
        <v>616</v>
      </c>
      <c r="B1166" s="2" t="n">
        <v>363</v>
      </c>
      <c r="C1166" s="2" t="s">
        <v>617</v>
      </c>
      <c r="D1166" s="2" t="s">
        <v>632</v>
      </c>
      <c r="E1166" s="2" t="s">
        <v>633</v>
      </c>
    </row>
    <row r="1167" customFormat="false" ht="15" hidden="false" customHeight="false" outlineLevel="0" collapsed="false">
      <c r="A1167" s="2" t="s">
        <v>616</v>
      </c>
      <c r="B1167" s="2" t="n">
        <v>364</v>
      </c>
      <c r="C1167" s="2" t="s">
        <v>617</v>
      </c>
      <c r="D1167" s="2" t="s">
        <v>620</v>
      </c>
      <c r="E1167" s="2" t="s">
        <v>621</v>
      </c>
    </row>
    <row r="1168" customFormat="false" ht="15" hidden="false" customHeight="false" outlineLevel="0" collapsed="false">
      <c r="A1168" s="2" t="s">
        <v>616</v>
      </c>
      <c r="B1168" s="2" t="n">
        <v>364</v>
      </c>
      <c r="C1168" s="2" t="s">
        <v>128</v>
      </c>
      <c r="D1168" s="2" t="s">
        <v>860</v>
      </c>
      <c r="E1168" s="2" t="s">
        <v>130</v>
      </c>
    </row>
    <row r="1169" customFormat="false" ht="15" hidden="false" customHeight="false" outlineLevel="0" collapsed="false">
      <c r="A1169" s="2" t="s">
        <v>616</v>
      </c>
      <c r="B1169" s="2" t="n">
        <v>365</v>
      </c>
      <c r="C1169" s="2" t="s">
        <v>125</v>
      </c>
      <c r="D1169" s="2" t="s">
        <v>571</v>
      </c>
      <c r="E1169" s="2" t="s">
        <v>127</v>
      </c>
    </row>
    <row r="1170" customFormat="false" ht="15" hidden="false" customHeight="false" outlineLevel="0" collapsed="false">
      <c r="A1170" s="2" t="s">
        <v>616</v>
      </c>
      <c r="B1170" s="2" t="n">
        <v>365</v>
      </c>
      <c r="C1170" s="2" t="s">
        <v>617</v>
      </c>
      <c r="D1170" s="2" t="s">
        <v>727</v>
      </c>
      <c r="E1170" s="2" t="s">
        <v>657</v>
      </c>
    </row>
    <row r="1171" customFormat="false" ht="15" hidden="false" customHeight="false" outlineLevel="0" collapsed="false">
      <c r="A1171" s="2" t="s">
        <v>616</v>
      </c>
      <c r="B1171" s="2" t="n">
        <v>366</v>
      </c>
      <c r="C1171" s="2" t="s">
        <v>617</v>
      </c>
      <c r="D1171" s="2" t="s">
        <v>678</v>
      </c>
      <c r="E1171" s="2" t="s">
        <v>619</v>
      </c>
    </row>
    <row r="1172" customFormat="false" ht="15" hidden="false" customHeight="false" outlineLevel="0" collapsed="false">
      <c r="A1172" s="2" t="s">
        <v>616</v>
      </c>
      <c r="B1172" s="2" t="n">
        <v>366</v>
      </c>
      <c r="C1172" s="2" t="s">
        <v>128</v>
      </c>
      <c r="D1172" s="2" t="s">
        <v>861</v>
      </c>
      <c r="E1172" s="2" t="s">
        <v>130</v>
      </c>
    </row>
    <row r="1173" customFormat="false" ht="15" hidden="false" customHeight="false" outlineLevel="0" collapsed="false">
      <c r="A1173" s="2" t="s">
        <v>616</v>
      </c>
      <c r="B1173" s="2" t="n">
        <v>367</v>
      </c>
      <c r="C1173" s="2" t="s">
        <v>617</v>
      </c>
      <c r="D1173" s="2" t="s">
        <v>862</v>
      </c>
      <c r="E1173" s="2" t="s">
        <v>630</v>
      </c>
    </row>
    <row r="1174" customFormat="false" ht="15" hidden="false" customHeight="false" outlineLevel="0" collapsed="false">
      <c r="A1174" s="2" t="s">
        <v>616</v>
      </c>
      <c r="B1174" s="2" t="n">
        <v>369</v>
      </c>
      <c r="C1174" s="2" t="s">
        <v>617</v>
      </c>
      <c r="D1174" s="2" t="s">
        <v>719</v>
      </c>
      <c r="E1174" s="2" t="s">
        <v>630</v>
      </c>
    </row>
    <row r="1175" customFormat="false" ht="15" hidden="false" customHeight="false" outlineLevel="0" collapsed="false">
      <c r="A1175" s="2" t="s">
        <v>616</v>
      </c>
      <c r="B1175" s="2" t="n">
        <v>369</v>
      </c>
      <c r="C1175" s="2" t="s">
        <v>128</v>
      </c>
      <c r="D1175" s="2" t="s">
        <v>863</v>
      </c>
      <c r="E1175" s="2" t="s">
        <v>130</v>
      </c>
    </row>
    <row r="1176" customFormat="false" ht="15" hidden="false" customHeight="false" outlineLevel="0" collapsed="false">
      <c r="A1176" s="2" t="s">
        <v>616</v>
      </c>
      <c r="B1176" s="2" t="n">
        <v>370</v>
      </c>
      <c r="C1176" s="2" t="s">
        <v>617</v>
      </c>
      <c r="D1176" s="2" t="s">
        <v>718</v>
      </c>
      <c r="E1176" s="2" t="s">
        <v>638</v>
      </c>
    </row>
    <row r="1177" customFormat="false" ht="15" hidden="false" customHeight="false" outlineLevel="0" collapsed="false">
      <c r="A1177" s="2" t="s">
        <v>616</v>
      </c>
      <c r="B1177" s="2" t="n">
        <v>370</v>
      </c>
      <c r="C1177" s="2" t="s">
        <v>128</v>
      </c>
      <c r="D1177" s="2" t="s">
        <v>864</v>
      </c>
      <c r="E1177" s="2" t="s">
        <v>130</v>
      </c>
    </row>
    <row r="1178" customFormat="false" ht="15" hidden="false" customHeight="false" outlineLevel="0" collapsed="false">
      <c r="A1178" s="2" t="s">
        <v>616</v>
      </c>
      <c r="B1178" s="2" t="n">
        <v>371</v>
      </c>
      <c r="C1178" s="2" t="s">
        <v>125</v>
      </c>
      <c r="D1178" s="2" t="s">
        <v>865</v>
      </c>
      <c r="E1178" s="2" t="s">
        <v>127</v>
      </c>
    </row>
    <row r="1179" customFormat="false" ht="15" hidden="false" customHeight="false" outlineLevel="0" collapsed="false">
      <c r="A1179" s="2" t="s">
        <v>616</v>
      </c>
      <c r="B1179" s="2" t="n">
        <v>372</v>
      </c>
      <c r="C1179" s="2" t="s">
        <v>617</v>
      </c>
      <c r="D1179" s="2" t="s">
        <v>740</v>
      </c>
      <c r="E1179" s="2" t="s">
        <v>627</v>
      </c>
    </row>
    <row r="1180" customFormat="false" ht="15" hidden="false" customHeight="false" outlineLevel="0" collapsed="false">
      <c r="A1180" s="2" t="s">
        <v>616</v>
      </c>
      <c r="B1180" s="2" t="n">
        <v>373</v>
      </c>
      <c r="C1180" s="2" t="s">
        <v>125</v>
      </c>
      <c r="D1180" s="2" t="s">
        <v>866</v>
      </c>
      <c r="E1180" s="2" t="s">
        <v>127</v>
      </c>
    </row>
    <row r="1181" customFormat="false" ht="15" hidden="false" customHeight="false" outlineLevel="0" collapsed="false">
      <c r="A1181" s="2" t="s">
        <v>616</v>
      </c>
      <c r="B1181" s="2" t="n">
        <v>373</v>
      </c>
      <c r="C1181" s="2" t="s">
        <v>617</v>
      </c>
      <c r="D1181" s="2" t="s">
        <v>701</v>
      </c>
      <c r="E1181" s="2" t="s">
        <v>647</v>
      </c>
    </row>
    <row r="1182" customFormat="false" ht="15" hidden="false" customHeight="false" outlineLevel="0" collapsed="false">
      <c r="A1182" s="2" t="s">
        <v>616</v>
      </c>
      <c r="B1182" s="2" t="n">
        <v>374</v>
      </c>
      <c r="C1182" s="2" t="s">
        <v>617</v>
      </c>
      <c r="D1182" s="2" t="s">
        <v>620</v>
      </c>
      <c r="E1182" s="2" t="s">
        <v>621</v>
      </c>
    </row>
    <row r="1183" customFormat="false" ht="15" hidden="false" customHeight="false" outlineLevel="0" collapsed="false">
      <c r="A1183" s="2" t="s">
        <v>616</v>
      </c>
      <c r="B1183" s="2" t="n">
        <v>375</v>
      </c>
      <c r="C1183" s="2" t="s">
        <v>125</v>
      </c>
      <c r="D1183" s="2" t="s">
        <v>588</v>
      </c>
      <c r="E1183" s="2" t="s">
        <v>127</v>
      </c>
    </row>
    <row r="1184" customFormat="false" ht="15" hidden="false" customHeight="false" outlineLevel="0" collapsed="false">
      <c r="A1184" s="2" t="s">
        <v>616</v>
      </c>
      <c r="B1184" s="2" t="n">
        <v>376</v>
      </c>
      <c r="C1184" s="2" t="s">
        <v>125</v>
      </c>
      <c r="D1184" s="2" t="s">
        <v>867</v>
      </c>
      <c r="E1184" s="2" t="s">
        <v>127</v>
      </c>
    </row>
    <row r="1185" customFormat="false" ht="15" hidden="false" customHeight="false" outlineLevel="0" collapsed="false">
      <c r="A1185" s="2" t="s">
        <v>616</v>
      </c>
      <c r="B1185" s="2" t="n">
        <v>376</v>
      </c>
      <c r="C1185" s="2" t="s">
        <v>617</v>
      </c>
      <c r="D1185" s="2" t="s">
        <v>818</v>
      </c>
      <c r="E1185" s="2" t="s">
        <v>665</v>
      </c>
    </row>
    <row r="1186" customFormat="false" ht="15" hidden="false" customHeight="false" outlineLevel="0" collapsed="false">
      <c r="A1186" s="2" t="s">
        <v>616</v>
      </c>
      <c r="B1186" s="2" t="n">
        <v>377</v>
      </c>
      <c r="C1186" s="2" t="s">
        <v>125</v>
      </c>
      <c r="D1186" s="2" t="s">
        <v>868</v>
      </c>
      <c r="E1186" s="2" t="s">
        <v>127</v>
      </c>
    </row>
    <row r="1187" customFormat="false" ht="15" hidden="false" customHeight="false" outlineLevel="0" collapsed="false">
      <c r="A1187" s="2" t="s">
        <v>616</v>
      </c>
      <c r="B1187" s="2" t="n">
        <v>378</v>
      </c>
      <c r="C1187" s="2" t="s">
        <v>125</v>
      </c>
      <c r="D1187" s="2" t="s">
        <v>868</v>
      </c>
      <c r="E1187" s="2" t="s">
        <v>127</v>
      </c>
    </row>
    <row r="1188" customFormat="false" ht="15" hidden="false" customHeight="false" outlineLevel="0" collapsed="false">
      <c r="A1188" s="2" t="s">
        <v>616</v>
      </c>
      <c r="B1188" s="2" t="n">
        <v>380</v>
      </c>
      <c r="C1188" s="2" t="s">
        <v>617</v>
      </c>
      <c r="D1188" s="2" t="s">
        <v>683</v>
      </c>
      <c r="E1188" s="2" t="s">
        <v>665</v>
      </c>
    </row>
    <row r="1189" customFormat="false" ht="15" hidden="false" customHeight="false" outlineLevel="0" collapsed="false">
      <c r="A1189" s="2" t="s">
        <v>616</v>
      </c>
      <c r="B1189" s="2" t="n">
        <v>381</v>
      </c>
      <c r="C1189" s="2" t="s">
        <v>617</v>
      </c>
      <c r="D1189" s="2" t="s">
        <v>765</v>
      </c>
      <c r="E1189" s="2" t="s">
        <v>732</v>
      </c>
    </row>
    <row r="1190" customFormat="false" ht="15" hidden="false" customHeight="false" outlineLevel="0" collapsed="false">
      <c r="A1190" s="2" t="s">
        <v>616</v>
      </c>
      <c r="B1190" s="2" t="n">
        <v>382</v>
      </c>
      <c r="C1190" s="2" t="s">
        <v>617</v>
      </c>
      <c r="D1190" s="2" t="s">
        <v>643</v>
      </c>
      <c r="E1190" s="2" t="s">
        <v>644</v>
      </c>
    </row>
    <row r="1191" customFormat="false" ht="15" hidden="false" customHeight="false" outlineLevel="0" collapsed="false">
      <c r="A1191" s="2" t="s">
        <v>616</v>
      </c>
      <c r="B1191" s="2" t="n">
        <v>383</v>
      </c>
      <c r="C1191" s="2" t="s">
        <v>125</v>
      </c>
      <c r="D1191" s="2" t="s">
        <v>869</v>
      </c>
      <c r="E1191" s="2" t="s">
        <v>127</v>
      </c>
    </row>
    <row r="1192" customFormat="false" ht="15" hidden="false" customHeight="false" outlineLevel="0" collapsed="false">
      <c r="A1192" s="2" t="s">
        <v>616</v>
      </c>
      <c r="B1192" s="2" t="n">
        <v>383</v>
      </c>
      <c r="C1192" s="2" t="s">
        <v>617</v>
      </c>
      <c r="D1192" s="2" t="s">
        <v>736</v>
      </c>
      <c r="E1192" s="2" t="s">
        <v>644</v>
      </c>
    </row>
    <row r="1193" customFormat="false" ht="15" hidden="false" customHeight="false" outlineLevel="0" collapsed="false">
      <c r="A1193" s="2" t="s">
        <v>616</v>
      </c>
      <c r="B1193" s="2" t="n">
        <v>383</v>
      </c>
      <c r="C1193" s="2" t="s">
        <v>128</v>
      </c>
      <c r="D1193" s="2" t="s">
        <v>870</v>
      </c>
      <c r="E1193" s="2" t="s">
        <v>130</v>
      </c>
    </row>
    <row r="1194" customFormat="false" ht="15" hidden="false" customHeight="false" outlineLevel="0" collapsed="false">
      <c r="A1194" s="2" t="s">
        <v>616</v>
      </c>
      <c r="B1194" s="2" t="n">
        <v>384</v>
      </c>
      <c r="C1194" s="2" t="s">
        <v>617</v>
      </c>
      <c r="D1194" s="2" t="s">
        <v>748</v>
      </c>
      <c r="E1194" s="2" t="s">
        <v>633</v>
      </c>
    </row>
    <row r="1195" customFormat="false" ht="15" hidden="false" customHeight="false" outlineLevel="0" collapsed="false">
      <c r="A1195" s="2" t="s">
        <v>616</v>
      </c>
      <c r="B1195" s="2" t="n">
        <v>385</v>
      </c>
      <c r="C1195" s="2" t="s">
        <v>617</v>
      </c>
      <c r="D1195" s="2" t="s">
        <v>629</v>
      </c>
      <c r="E1195" s="2" t="s">
        <v>630</v>
      </c>
    </row>
    <row r="1196" customFormat="false" ht="15" hidden="false" customHeight="false" outlineLevel="0" collapsed="false">
      <c r="A1196" s="2" t="s">
        <v>616</v>
      </c>
      <c r="B1196" s="2" t="n">
        <v>386</v>
      </c>
      <c r="C1196" s="2" t="s">
        <v>617</v>
      </c>
      <c r="D1196" s="2" t="s">
        <v>718</v>
      </c>
      <c r="E1196" s="2" t="s">
        <v>638</v>
      </c>
    </row>
    <row r="1197" customFormat="false" ht="15" hidden="false" customHeight="false" outlineLevel="0" collapsed="false">
      <c r="A1197" s="2" t="s">
        <v>616</v>
      </c>
      <c r="B1197" s="2" t="n">
        <v>387</v>
      </c>
      <c r="C1197" s="2" t="s">
        <v>125</v>
      </c>
      <c r="D1197" s="2" t="s">
        <v>869</v>
      </c>
      <c r="E1197" s="2" t="s">
        <v>127</v>
      </c>
    </row>
    <row r="1198" customFormat="false" ht="15" hidden="false" customHeight="false" outlineLevel="0" collapsed="false">
      <c r="A1198" s="2" t="s">
        <v>616</v>
      </c>
      <c r="B1198" s="2" t="n">
        <v>387</v>
      </c>
      <c r="C1198" s="2" t="s">
        <v>617</v>
      </c>
      <c r="D1198" s="2" t="s">
        <v>700</v>
      </c>
      <c r="E1198" s="2" t="s">
        <v>657</v>
      </c>
    </row>
    <row r="1199" customFormat="false" ht="15" hidden="false" customHeight="false" outlineLevel="0" collapsed="false">
      <c r="A1199" s="2" t="s">
        <v>616</v>
      </c>
      <c r="B1199" s="2" t="n">
        <v>387</v>
      </c>
      <c r="C1199" s="2" t="s">
        <v>128</v>
      </c>
      <c r="D1199" s="2" t="s">
        <v>871</v>
      </c>
      <c r="E1199" s="2" t="s">
        <v>130</v>
      </c>
    </row>
    <row r="1200" customFormat="false" ht="15" hidden="false" customHeight="false" outlineLevel="0" collapsed="false">
      <c r="A1200" s="2" t="s">
        <v>616</v>
      </c>
      <c r="B1200" s="2" t="n">
        <v>389</v>
      </c>
      <c r="C1200" s="2" t="s">
        <v>125</v>
      </c>
      <c r="D1200" s="2" t="s">
        <v>872</v>
      </c>
      <c r="E1200" s="2" t="s">
        <v>127</v>
      </c>
    </row>
    <row r="1201" customFormat="false" ht="15" hidden="false" customHeight="false" outlineLevel="0" collapsed="false">
      <c r="A1201" s="2" t="s">
        <v>616</v>
      </c>
      <c r="B1201" s="2" t="n">
        <v>389</v>
      </c>
      <c r="C1201" s="2" t="s">
        <v>617</v>
      </c>
      <c r="D1201" s="2" t="s">
        <v>620</v>
      </c>
      <c r="E1201" s="2" t="s">
        <v>621</v>
      </c>
    </row>
    <row r="1202" customFormat="false" ht="15" hidden="false" customHeight="false" outlineLevel="0" collapsed="false">
      <c r="A1202" s="2" t="s">
        <v>616</v>
      </c>
      <c r="B1202" s="2" t="n">
        <v>389</v>
      </c>
      <c r="C1202" s="2" t="s">
        <v>128</v>
      </c>
      <c r="D1202" s="2" t="s">
        <v>873</v>
      </c>
      <c r="E1202" s="2" t="s">
        <v>130</v>
      </c>
    </row>
    <row r="1203" customFormat="false" ht="15" hidden="false" customHeight="false" outlineLevel="0" collapsed="false">
      <c r="A1203" s="2" t="s">
        <v>616</v>
      </c>
      <c r="B1203" s="2"/>
      <c r="C1203" s="2" t="s">
        <v>874</v>
      </c>
      <c r="D1203" s="2" t="s">
        <v>875</v>
      </c>
      <c r="E1203" s="2" t="s">
        <v>876</v>
      </c>
    </row>
    <row r="1204" customFormat="false" ht="15" hidden="false" customHeight="false" outlineLevel="0" collapsed="false">
      <c r="A1204" s="2" t="s">
        <v>616</v>
      </c>
      <c r="B1204" s="2"/>
      <c r="C1204" s="2" t="s">
        <v>874</v>
      </c>
      <c r="D1204" s="2" t="s">
        <v>877</v>
      </c>
      <c r="E1204" s="2" t="s">
        <v>876</v>
      </c>
    </row>
    <row r="1205" customFormat="false" ht="15" hidden="false" customHeight="false" outlineLevel="0" collapsed="false">
      <c r="A1205" s="2" t="s">
        <v>616</v>
      </c>
      <c r="B1205" s="2"/>
      <c r="C1205" s="2" t="s">
        <v>874</v>
      </c>
      <c r="D1205" s="2" t="s">
        <v>878</v>
      </c>
      <c r="E1205" s="2" t="s">
        <v>876</v>
      </c>
    </row>
    <row r="1206" customFormat="false" ht="15" hidden="false" customHeight="false" outlineLevel="0" collapsed="false">
      <c r="A1206" s="2" t="s">
        <v>616</v>
      </c>
      <c r="B1206" s="2"/>
      <c r="C1206" s="2" t="s">
        <v>874</v>
      </c>
      <c r="D1206" s="2" t="s">
        <v>879</v>
      </c>
      <c r="E1206" s="2" t="s">
        <v>876</v>
      </c>
    </row>
    <row r="1207" customFormat="false" ht="15" hidden="false" customHeight="false" outlineLevel="0" collapsed="false">
      <c r="A1207" s="2" t="s">
        <v>616</v>
      </c>
      <c r="B1207" s="2"/>
      <c r="C1207" s="2" t="s">
        <v>874</v>
      </c>
      <c r="D1207" s="2" t="s">
        <v>880</v>
      </c>
      <c r="E1207" s="2" t="s">
        <v>876</v>
      </c>
    </row>
    <row r="1208" customFormat="false" ht="15" hidden="false" customHeight="false" outlineLevel="0" collapsed="false">
      <c r="A1208" s="2" t="s">
        <v>616</v>
      </c>
      <c r="B1208" s="2"/>
      <c r="C1208" s="2" t="s">
        <v>874</v>
      </c>
      <c r="D1208" s="2" t="s">
        <v>881</v>
      </c>
      <c r="E1208" s="2" t="s">
        <v>876</v>
      </c>
    </row>
    <row r="1209" customFormat="false" ht="15" hidden="false" customHeight="false" outlineLevel="0" collapsed="false">
      <c r="A1209" s="2" t="s">
        <v>616</v>
      </c>
      <c r="B1209" s="2"/>
      <c r="C1209" s="2" t="s">
        <v>874</v>
      </c>
      <c r="D1209" s="2" t="s">
        <v>882</v>
      </c>
      <c r="E1209" s="2" t="s">
        <v>876</v>
      </c>
    </row>
    <row r="1210" customFormat="false" ht="15" hidden="false" customHeight="false" outlineLevel="0" collapsed="false">
      <c r="A1210" s="2" t="s">
        <v>616</v>
      </c>
      <c r="B1210" s="2"/>
      <c r="C1210" s="2" t="s">
        <v>874</v>
      </c>
      <c r="D1210" s="2" t="s">
        <v>883</v>
      </c>
      <c r="E1210" s="2" t="s">
        <v>876</v>
      </c>
    </row>
    <row r="1211" customFormat="false" ht="15" hidden="false" customHeight="false" outlineLevel="0" collapsed="false">
      <c r="A1211" s="2" t="s">
        <v>616</v>
      </c>
      <c r="B1211" s="2"/>
      <c r="C1211" s="2" t="s">
        <v>874</v>
      </c>
      <c r="D1211" s="2" t="s">
        <v>884</v>
      </c>
      <c r="E1211" s="2" t="s">
        <v>876</v>
      </c>
    </row>
    <row r="1212" customFormat="false" ht="15" hidden="false" customHeight="false" outlineLevel="0" collapsed="false">
      <c r="A1212" s="2" t="s">
        <v>616</v>
      </c>
      <c r="B1212" s="2"/>
      <c r="C1212" s="2" t="s">
        <v>874</v>
      </c>
      <c r="D1212" s="2" t="s">
        <v>885</v>
      </c>
      <c r="E1212" s="2" t="s">
        <v>876</v>
      </c>
    </row>
    <row r="1213" customFormat="false" ht="15" hidden="false" customHeight="false" outlineLevel="0" collapsed="false">
      <c r="A1213" s="2" t="s">
        <v>616</v>
      </c>
      <c r="B1213" s="2"/>
      <c r="C1213" s="2" t="s">
        <v>874</v>
      </c>
      <c r="D1213" s="2" t="s">
        <v>886</v>
      </c>
      <c r="E1213" s="2" t="s">
        <v>876</v>
      </c>
    </row>
  </sheetData>
  <autoFilter ref="A1:E12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2026-10-17T12:16:54Z</dcterms:created>
  <dc:creator>Matías Garnica</dc:creator>
  <dc:description/>
  <dc:language>en-US</dc:language>
  <cp:lastModifiedBy/>
  <dcterms:modified xsi:type="dcterms:W3CDTF">2026-10-17T12:16:54Z</dcterms:modified>
  <cp:revision>0</cp:revision>
  <dc:subject/>
  <dc:title>Base de caja y clientes · Pastas Don Aldo (datos ficticios)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